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Comparatif" sheetId="1" state="visible" r:id="rId1"/>
    <sheet xmlns:r="http://schemas.openxmlformats.org/officeDocument/2006/relationships" name="Technique &amp; sources" sheetId="2" state="visible" r:id="rId2"/>
    <sheet xmlns:r="http://schemas.openxmlformats.org/officeDocument/2006/relationships" name="Sources technique" sheetId="3" state="visible" r:id="rId3"/>
    <sheet xmlns:r="http://schemas.openxmlformats.org/officeDocument/2006/relationships" name="Profils" sheetId="4" state="visible" r:id="rId4"/>
    <sheet xmlns:r="http://schemas.openxmlformats.org/officeDocument/2006/relationships" name="Pondérations" sheetId="5" state="visible" r:id="rId5"/>
    <sheet xmlns:r="http://schemas.openxmlformats.org/officeDocument/2006/relationships" name="Classement" sheetId="6" state="visible" r:id="rId6"/>
    <sheet xmlns:r="http://schemas.openxmlformats.org/officeDocument/2006/relationships" name="Synthèse" sheetId="7" state="visible" r:id="rId7"/>
    <sheet xmlns:r="http://schemas.openxmlformats.org/officeDocument/2006/relationships" name="Headfonics P1-P7" sheetId="8" state="visible" r:id="rId8"/>
    <sheet xmlns:r="http://schemas.openxmlformats.org/officeDocument/2006/relationships" name="Sources multi-avis" sheetId="9" state="visible" r:id="rId9"/>
    <sheet xmlns:r="http://schemas.openxmlformats.org/officeDocument/2006/relationships" name="Sources prix" sheetId="10" state="visible" r:id="rId10"/>
    <sheet xmlns:r="http://schemas.openxmlformats.org/officeDocument/2006/relationships" name="Formats" sheetId="11" state="visible" r:id="rId11"/>
  </sheets>
  <definedNames>
    <definedName name="_xlnm._FilterDatabase" localSheetId="0" hidden="1">'Comparatif'!$A$4:$AR$178</definedName>
    <definedName name="_xlnm._FilterDatabase" localSheetId="1" hidden="1">'Technique &amp; sources'!$A$4:$R$178</definedName>
    <definedName name="_xlnm._FilterDatabase" localSheetId="7" hidden="1">'Headfonics P1-P7'!$A$4:$M$144</definedName>
    <definedName name="_xlnm._FilterDatabase" localSheetId="8" hidden="1">'Sources multi-avis'!$A$1:$H$646</definedName>
    <definedName name="_xlnm._FilterDatabase" localSheetId="9" hidden="1">'Sources prix'!$A$1:$E$175</definedName>
  </definedNames>
  <calcPr calcId="124519" calcMode="auto" fullCalcOnLoad="1"/>
</workbook>
</file>

<file path=xl/styles.xml><?xml version="1.0" encoding="utf-8"?>
<styleSheet xmlns="http://schemas.openxmlformats.org/spreadsheetml/2006/main">
  <numFmts count="7">
    <numFmt numFmtId="164" formatCode="0.0"/>
    <numFmt numFmtId="165" formatCode="#,##0 &quot;€&quot;"/>
    <numFmt numFmtId="166" formatCode="dd/mm/yyyy"/>
    <numFmt numFmtId="167" formatCode="#,##0.00 [$€-fr-FR]"/>
    <numFmt numFmtId="168" formatCode="0.000"/>
    <numFmt numFmtId="169" formatCode="0.0%"/>
    <numFmt numFmtId="170" formatCode="0 %"/>
  </numFmts>
  <fonts count="37">
    <font>
      <name val="Calibri"/>
      <family val="2"/>
      <color theme="1"/>
      <sz val="11"/>
      <scheme val="minor"/>
    </font>
    <font>
      <b val="1"/>
      <color rgb="00FFFFFF"/>
      <sz val="16"/>
    </font>
    <font>
      <i val="1"/>
      <color rgb="00666666"/>
    </font>
    <font>
      <b val="1"/>
      <color rgb="00FFFFFF"/>
    </font>
    <font>
      <color rgb="00666666"/>
    </font>
    <font>
      <b val="1"/>
      <color rgb="00666666"/>
    </font>
    <font>
      <color rgb="00000000"/>
    </font>
    <font>
      <color rgb="00008000"/>
      <u val="single"/>
    </font>
    <font>
      <color rgb="00008000"/>
    </font>
    <font>
      <b val="1"/>
      <color rgb="000000FF"/>
    </font>
    <font>
      <b val="1"/>
    </font>
    <font>
      <b val="1"/>
      <color rgb="00000000"/>
    </font>
    <font>
      <i val="1"/>
      <color rgb="007030A0"/>
    </font>
    <font>
      <name val="Calibri"/>
      <family val="2"/>
      <color rgb="00008000"/>
      <sz val="11"/>
      <scheme val="minor"/>
    </font>
    <font>
      <name val="Calibri"/>
      <family val="2"/>
      <color theme="10"/>
      <sz val="12"/>
      <scheme val="minor"/>
    </font>
    <font>
      <name val="Calibri"/>
      <family val="2"/>
      <color rgb="00008000"/>
      <sz val="12"/>
      <scheme val="minor"/>
    </font>
    <font>
      <name val="Calibri"/>
      <family val="2"/>
      <color rgb="00666666"/>
      <sz val="11"/>
      <scheme val="minor"/>
    </font>
    <font>
      <b val="1"/>
      <color rgb="00FFFFFF"/>
      <sz val="14"/>
    </font>
    <font/>
    <font>
      <name val="Aptos Display"/>
      <b val="1"/>
      <color rgb="00FFFFFF"/>
      <sz val="16"/>
    </font>
    <font>
      <name val="Aptos"/>
      <i val="1"/>
      <color rgb="005B6573"/>
      <sz val="9"/>
    </font>
    <font>
      <name val="Aptos"/>
      <b val="1"/>
      <color rgb="00FFFFFF"/>
      <sz val="9"/>
    </font>
    <font>
      <name val="Aptos"/>
      <color rgb="00243447"/>
      <sz val="9"/>
    </font>
    <font>
      <name val="Aptos"/>
      <b val="1"/>
      <color rgb="00243447"/>
      <sz val="9"/>
    </font>
    <font>
      <name val="Aptos"/>
      <color rgb="002E7D5A"/>
      <sz val="8"/>
    </font>
    <font>
      <name val="Aptos"/>
      <b val="1"/>
      <color rgb="0017365D"/>
      <sz val="9"/>
    </font>
    <font>
      <name val="Aptos"/>
      <b val="1"/>
      <color rgb="00FFFFFF"/>
    </font>
    <font>
      <name val="Aptos"/>
      <i val="1"/>
      <color rgb="005B6573"/>
    </font>
    <font>
      <name val="Aptos"/>
      <b val="1"/>
      <color rgb="00243447"/>
    </font>
    <font>
      <b val="1"/>
      <color rgb="0017365D"/>
    </font>
    <font>
      <b val="1"/>
      <sz val="14"/>
    </font>
    <font>
      <i val="1"/>
      <color rgb="00606060"/>
      <sz val="9"/>
    </font>
    <font>
      <name val="Calibri"/>
      <b val="1"/>
      <color rgb="00FFFFFF"/>
      <sz val="10"/>
    </font>
    <font>
      <name val="Calibri"/>
      <sz val="9"/>
    </font>
    <font>
      <name val="Calibri"/>
      <i val="1"/>
      <color rgb="00FF6600"/>
      <sz val="9"/>
    </font>
    <font>
      <b val="1"/>
      <color rgb="009C0006"/>
    </font>
    <font>
      <b val="1"/>
      <sz val="12"/>
    </font>
  </fonts>
  <fills count="30">
    <fill>
      <patternFill/>
    </fill>
    <fill>
      <patternFill patternType="gray125"/>
    </fill>
    <fill>
      <patternFill patternType="solid">
        <fgColor rgb="0017365D"/>
      </patternFill>
    </fill>
    <fill>
      <patternFill patternType="solid">
        <fgColor rgb="00F3F6F8"/>
      </patternFill>
    </fill>
    <fill>
      <patternFill patternType="solid">
        <fgColor rgb="001F4E78"/>
      </patternFill>
    </fill>
    <fill>
      <patternFill patternType="solid">
        <fgColor rgb="000F6B78"/>
      </patternFill>
    </fill>
    <fill>
      <patternFill patternType="solid">
        <fgColor rgb="00D9EAF7"/>
      </patternFill>
    </fill>
    <fill>
      <patternFill patternType="solid">
        <fgColor rgb="00FCE4D6"/>
      </patternFill>
    </fill>
    <fill>
      <patternFill patternType="solid">
        <fgColor rgb="00EAF2F8"/>
      </patternFill>
    </fill>
    <fill>
      <patternFill patternType="solid">
        <fgColor rgb="00E2F0D9"/>
      </patternFill>
    </fill>
    <fill>
      <patternFill patternType="solid">
        <fgColor rgb="005B9BD5"/>
      </patternFill>
    </fill>
    <fill>
      <patternFill patternType="solid">
        <fgColor rgb="00F7F9FB"/>
      </patternFill>
    </fill>
    <fill>
      <patternFill patternType="solid">
        <fgColor rgb="00C65911"/>
      </patternFill>
    </fill>
    <fill>
      <patternFill patternType="solid">
        <fgColor rgb="00D9EAD3"/>
      </patternFill>
    </fill>
    <fill>
      <patternFill patternType="solid">
        <fgColor rgb="00FFF2CC"/>
      </patternFill>
    </fill>
    <fill>
      <patternFill patternType="solid">
        <fgColor rgb="00EAF1F8"/>
      </patternFill>
    </fill>
    <fill>
      <patternFill patternType="solid">
        <fgColor rgb="00806000"/>
      </patternFill>
    </fill>
    <fill>
      <patternFill patternType="solid">
        <fgColor rgb="00E3EEF7"/>
      </patternFill>
    </fill>
    <fill>
      <patternFill patternType="solid">
        <fgColor rgb="00FFFFFF"/>
      </patternFill>
    </fill>
    <fill>
      <patternFill patternType="solid">
        <fgColor rgb="00EAF4F4"/>
      </patternFill>
    </fill>
    <fill>
      <patternFill patternType="solid">
        <fgColor rgb="00FFF4D6"/>
      </patternFill>
    </fill>
    <fill>
      <patternFill patternType="solid">
        <fgColor rgb="00F4F8FB"/>
      </patternFill>
    </fill>
    <fill>
      <patternFill patternType="solid">
        <fgColor rgb="00EAF1F7"/>
      </patternFill>
    </fill>
    <fill>
      <patternFill patternType="solid">
        <fgColor rgb="00DCEAF5"/>
      </patternFill>
    </fill>
    <fill>
      <patternFill patternType="solid">
        <fgColor rgb="00E8F3F5"/>
      </patternFill>
    </fill>
    <fill>
      <patternFill patternType="solid">
        <fgColor rgb="00DCE9F7"/>
      </patternFill>
    </fill>
    <fill>
      <patternFill patternType="solid">
        <fgColor rgb="002F4F6F"/>
      </patternFill>
    </fill>
    <fill>
      <patternFill patternType="solid">
        <fgColor rgb="00FDE9D9"/>
      </patternFill>
    </fill>
    <fill>
      <patternFill patternType="solid">
        <fgColor rgb="002F5496"/>
        <bgColor rgb="002F5496"/>
      </patternFill>
    </fill>
    <fill>
      <patternFill patternType="solid">
        <fgColor rgb="00DDEBF7"/>
      </patternFill>
    </fill>
  </fills>
  <borders count="9">
    <border>
      <left/>
      <right/>
      <top/>
      <bottom/>
      <diagonal/>
    </border>
    <border>
      <bottom style="thin">
        <color rgb="00B4C7E7"/>
      </bottom>
    </border>
    <border>
      <left/>
      <bottom style="hair">
        <color rgb="00D9E2F3"/>
      </bottom>
    </border>
    <border>
      <left style="medium">
        <color rgb="008EA9C1"/>
      </left>
      <bottom style="hair">
        <color rgb="00D9E2F3"/>
      </bottom>
    </border>
    <border>
      <left style="medium">
        <color rgb="009CC2E5"/>
      </left>
      <bottom style="hair">
        <color rgb="00D9E2F3"/>
      </bottom>
    </border>
    <border>
      <left/>
      <right/>
      <top/>
      <bottom style="thin">
        <color rgb="00B4C7E7"/>
      </bottom>
      <diagonal/>
    </border>
    <border>
      <right/>
      <bottom style="thin">
        <color rgb="00B4C7E7"/>
      </bottom>
    </border>
    <border>
      <left style="thin">
        <color rgb="00B0B0B0"/>
      </left>
      <right style="thin">
        <color rgb="00B0B0B0"/>
      </right>
      <top style="thin">
        <color rgb="00B0B0B0"/>
      </top>
      <bottom style="thin">
        <color rgb="00B0B0B0"/>
      </bottom>
    </border>
    <border>
      <left style="thin">
        <color rgb="00B4C6E7"/>
      </left>
      <right style="thin">
        <color rgb="00B4C6E7"/>
      </right>
      <top style="thin">
        <color rgb="00B4C6E7"/>
      </top>
      <bottom style="thin">
        <color rgb="00B4C6E7"/>
      </bottom>
    </border>
  </borders>
  <cellStyleXfs count="2">
    <xf numFmtId="0" fontId="0" fillId="0" borderId="0"/>
    <xf numFmtId="0" fontId="14" fillId="0" borderId="0"/>
  </cellStyleXfs>
  <cellXfs count="196">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wrapText="1"/>
    </xf>
    <xf numFmtId="0" fontId="3" fillId="4" borderId="0" applyAlignment="1" pivotButton="0" quotePrefix="0" xfId="0">
      <alignment horizontal="center" vertical="center" wrapText="1"/>
    </xf>
    <xf numFmtId="0" fontId="3" fillId="5" borderId="0" applyAlignment="1" pivotButton="0" quotePrefix="0" xfId="0">
      <alignment horizontal="center" vertical="center" wrapText="1"/>
    </xf>
    <xf numFmtId="0" fontId="5" fillId="6" borderId="0" applyAlignment="1" pivotButton="0" quotePrefix="0" xfId="0">
      <alignment vertical="top" wrapText="1"/>
    </xf>
    <xf numFmtId="0" fontId="4" fillId="6" borderId="0" applyAlignment="1" pivotButton="0" quotePrefix="0" xfId="0">
      <alignment vertical="top" wrapText="1"/>
    </xf>
    <xf numFmtId="164" fontId="4" fillId="6" borderId="0" applyAlignment="1" pivotButton="0" quotePrefix="0" xfId="0">
      <alignment horizontal="center" vertical="center"/>
    </xf>
    <xf numFmtId="2" fontId="6" fillId="6" borderId="0" pivotButton="0" quotePrefix="0" xfId="0"/>
    <xf numFmtId="1" fontId="6" fillId="6" borderId="0" pivotButton="0" quotePrefix="0" xfId="0"/>
    <xf numFmtId="0" fontId="6" fillId="6" borderId="0" applyAlignment="1" pivotButton="0" quotePrefix="0" xfId="0">
      <alignment vertical="top" wrapText="1"/>
    </xf>
    <xf numFmtId="0" fontId="4" fillId="0" borderId="0" applyAlignment="1" pivotButton="0" quotePrefix="0" xfId="0">
      <alignment vertical="top" wrapText="1"/>
    </xf>
    <xf numFmtId="164" fontId="4" fillId="0" borderId="0" applyAlignment="1" pivotButton="0" quotePrefix="0" xfId="0">
      <alignment horizontal="center" vertical="center"/>
    </xf>
    <xf numFmtId="2" fontId="0" fillId="0" borderId="0" pivotButton="0" quotePrefix="0" xfId="0"/>
    <xf numFmtId="1" fontId="0" fillId="0" borderId="0" pivotButton="0" quotePrefix="0" xfId="0"/>
    <xf numFmtId="0" fontId="4" fillId="7" borderId="0" applyAlignment="1" pivotButton="0" quotePrefix="0" xfId="0">
      <alignment vertical="top" wrapText="1"/>
    </xf>
    <xf numFmtId="164" fontId="4" fillId="7" borderId="0" applyAlignment="1" pivotButton="0" quotePrefix="0" xfId="0">
      <alignment horizontal="center" vertical="center"/>
    </xf>
    <xf numFmtId="2" fontId="0" fillId="7" borderId="0" pivotButton="0" quotePrefix="0" xfId="0"/>
    <xf numFmtId="1" fontId="0" fillId="7" borderId="0" pivotButton="0" quotePrefix="0" xfId="0"/>
    <xf numFmtId="0" fontId="1" fillId="2" borderId="0" pivotButton="0" quotePrefix="0" xfId="0"/>
    <xf numFmtId="0" fontId="7" fillId="6" borderId="0" applyAlignment="1" pivotButton="0" quotePrefix="0" xfId="0">
      <alignment vertical="top" wrapText="1"/>
    </xf>
    <xf numFmtId="0" fontId="8" fillId="6" borderId="0" applyAlignment="1" pivotButton="0" quotePrefix="0" xfId="0">
      <alignment vertical="top" wrapText="1"/>
    </xf>
    <xf numFmtId="165" fontId="4" fillId="0" borderId="0" applyAlignment="1" pivotButton="0" quotePrefix="0" xfId="0">
      <alignment vertical="top" wrapText="1"/>
    </xf>
    <xf numFmtId="0" fontId="7" fillId="0" borderId="0" applyAlignment="1" pivotButton="0" quotePrefix="0" xfId="0">
      <alignment vertical="top" wrapText="1"/>
    </xf>
    <xf numFmtId="0" fontId="8" fillId="0" borderId="0" applyAlignment="1" pivotButton="0" quotePrefix="0" xfId="0">
      <alignment vertical="top" wrapText="1"/>
    </xf>
    <xf numFmtId="0" fontId="7" fillId="7" borderId="0" applyAlignment="1" pivotButton="0" quotePrefix="0" xfId="0">
      <alignment vertical="top" wrapText="1"/>
    </xf>
    <xf numFmtId="0" fontId="0" fillId="0" borderId="0" applyAlignment="1" pivotButton="0" quotePrefix="0" xfId="0">
      <alignment vertical="top" wrapText="1"/>
    </xf>
    <xf numFmtId="1" fontId="9" fillId="8" borderId="0" applyAlignment="1" pivotButton="0" quotePrefix="0" xfId="0">
      <alignment vertical="top" wrapText="1"/>
    </xf>
    <xf numFmtId="0" fontId="10" fillId="0" borderId="0" pivotButton="0" quotePrefix="0" xfId="0"/>
    <xf numFmtId="1" fontId="11" fillId="0" borderId="0" pivotButton="0" quotePrefix="0" xfId="0"/>
    <xf numFmtId="0" fontId="12" fillId="0" borderId="0" applyAlignment="1" pivotButton="0" quotePrefix="0" xfId="0">
      <alignment wrapText="1"/>
    </xf>
    <xf numFmtId="0" fontId="3" fillId="4" borderId="0" applyAlignment="1" pivotButton="0" quotePrefix="0" xfId="0">
      <alignment horizontal="center" wrapText="1"/>
    </xf>
    <xf numFmtId="164" fontId="0" fillId="0" borderId="0" applyAlignment="1" pivotButton="0" quotePrefix="0" xfId="0">
      <alignment horizontal="center" vertical="center"/>
    </xf>
    <xf numFmtId="0" fontId="2" fillId="3" borderId="0" pivotButton="0" quotePrefix="0" xfId="0"/>
    <xf numFmtId="2" fontId="0" fillId="0" borderId="0" applyAlignment="1" pivotButton="0" quotePrefix="0" xfId="0">
      <alignment vertical="top" wrapText="1"/>
    </xf>
    <xf numFmtId="0" fontId="9" fillId="8" borderId="0" applyAlignment="1" pivotButton="0" quotePrefix="0" xfId="0">
      <alignment vertical="top" wrapText="1"/>
    </xf>
    <xf numFmtId="0" fontId="11" fillId="0" borderId="0" pivotButton="0" quotePrefix="0" xfId="0"/>
    <xf numFmtId="0" fontId="2" fillId="3" borderId="0" applyAlignment="1" pivotButton="0" quotePrefix="0" xfId="0">
      <alignment vertical="center" wrapText="1"/>
    </xf>
    <xf numFmtId="0" fontId="16" fillId="0" borderId="0" pivotButton="0" quotePrefix="0" xfId="0"/>
    <xf numFmtId="164" fontId="0" fillId="9" borderId="0" pivotButton="0" quotePrefix="0" xfId="0"/>
    <xf numFmtId="166" fontId="0" fillId="0" borderId="0" pivotButton="0" quotePrefix="0" xfId="0"/>
    <xf numFmtId="0" fontId="14" fillId="0" borderId="0" pivotButton="0" quotePrefix="0" xfId="1"/>
    <xf numFmtId="164" fontId="0" fillId="13" borderId="0" pivotButton="0" quotePrefix="0" xfId="0"/>
    <xf numFmtId="164" fontId="0" fillId="14" borderId="0" pivotButton="0" quotePrefix="0" xfId="0"/>
    <xf numFmtId="0" fontId="8" fillId="9" borderId="0" applyAlignment="1" pivotButton="0" quotePrefix="0" xfId="0">
      <alignment vertical="top" wrapText="1"/>
    </xf>
    <xf numFmtId="0" fontId="4" fillId="9" borderId="0" applyAlignment="1" pivotButton="0" quotePrefix="0" xfId="0">
      <alignment vertical="top" wrapText="1"/>
    </xf>
    <xf numFmtId="164" fontId="4" fillId="9" borderId="0" applyAlignment="1" pivotButton="0" quotePrefix="0" xfId="0">
      <alignment horizontal="center" vertical="center"/>
    </xf>
    <xf numFmtId="2" fontId="0" fillId="9" borderId="0" pivotButton="0" quotePrefix="0" xfId="0"/>
    <xf numFmtId="1" fontId="0" fillId="9" borderId="0" pivotButton="0" quotePrefix="0" xfId="0"/>
    <xf numFmtId="0" fontId="13" fillId="9" borderId="0" pivotButton="0" quotePrefix="0" xfId="0"/>
    <xf numFmtId="164" fontId="13" fillId="13" borderId="0" pivotButton="0" quotePrefix="0" xfId="0"/>
    <xf numFmtId="166" fontId="13" fillId="9" borderId="0" pivotButton="0" quotePrefix="0" xfId="0"/>
    <xf numFmtId="164" fontId="13" fillId="9" borderId="0" pivotButton="0" quotePrefix="0" xfId="0"/>
    <xf numFmtId="164" fontId="13" fillId="14" borderId="0" pivotButton="0" quotePrefix="0" xfId="0"/>
    <xf numFmtId="164" fontId="13" fillId="7" borderId="0" pivotButton="0" quotePrefix="0" xfId="0"/>
    <xf numFmtId="165" fontId="4" fillId="9" borderId="0" applyAlignment="1" pivotButton="0" quotePrefix="0" xfId="0">
      <alignment vertical="top" wrapText="1"/>
    </xf>
    <xf numFmtId="0" fontId="7" fillId="9" borderId="0" applyAlignment="1" pivotButton="0" quotePrefix="0" xfId="0">
      <alignment vertical="top" wrapText="1"/>
    </xf>
    <xf numFmtId="0" fontId="17" fillId="4" borderId="0" pivotButton="0" quotePrefix="0" xfId="0"/>
    <xf numFmtId="0" fontId="2" fillId="0" borderId="0" pivotButton="0" quotePrefix="0" xfId="0"/>
    <xf numFmtId="0" fontId="6" fillId="0" borderId="0" pivotButton="0" quotePrefix="0" xfId="0"/>
    <xf numFmtId="0" fontId="18" fillId="0" borderId="0" pivotButton="0" quotePrefix="0" xfId="0"/>
    <xf numFmtId="0" fontId="3" fillId="12" borderId="0" pivotButton="0" quotePrefix="0" xfId="0"/>
    <xf numFmtId="0" fontId="1" fillId="4" borderId="0" applyAlignment="1" pivotButton="0" quotePrefix="0" xfId="0">
      <alignment vertical="center"/>
    </xf>
    <xf numFmtId="0" fontId="2" fillId="0" borderId="0" applyAlignment="1" pivotButton="0" quotePrefix="0" xfId="0">
      <alignment vertical="center" wrapText="1"/>
    </xf>
    <xf numFmtId="0" fontId="3" fillId="10" borderId="0" applyAlignment="1" pivotButton="0" quotePrefix="0" xfId="0">
      <alignment vertical="center" wrapText="1"/>
    </xf>
    <xf numFmtId="0" fontId="0" fillId="0" borderId="0" applyAlignment="1" pivotButton="0" quotePrefix="0" xfId="0">
      <alignment vertical="top"/>
    </xf>
    <xf numFmtId="166" fontId="0" fillId="0" borderId="0" applyAlignment="1" pivotButton="0" quotePrefix="0" xfId="0">
      <alignment vertical="top"/>
    </xf>
    <xf numFmtId="0" fontId="8" fillId="0" borderId="0" applyAlignment="1" pivotButton="0" quotePrefix="0" xfId="0">
      <alignment vertical="top"/>
    </xf>
    <xf numFmtId="164" fontId="8" fillId="13" borderId="0" applyAlignment="1" pivotButton="0" quotePrefix="0" xfId="0">
      <alignment vertical="top"/>
    </xf>
    <xf numFmtId="0" fontId="14" fillId="0" borderId="0" applyAlignment="1" pivotButton="0" quotePrefix="0" xfId="1">
      <alignment vertical="top"/>
    </xf>
    <xf numFmtId="0" fontId="0" fillId="11" borderId="0" applyAlignment="1" pivotButton="0" quotePrefix="0" xfId="0">
      <alignment vertical="top"/>
    </xf>
    <xf numFmtId="166" fontId="0" fillId="11" borderId="0" applyAlignment="1" pivotButton="0" quotePrefix="0" xfId="0">
      <alignment vertical="top"/>
    </xf>
    <xf numFmtId="0" fontId="8" fillId="11" borderId="0" applyAlignment="1" pivotButton="0" quotePrefix="0" xfId="0">
      <alignment vertical="top"/>
    </xf>
    <xf numFmtId="164" fontId="8" fillId="9" borderId="0" applyAlignment="1" pivotButton="0" quotePrefix="0" xfId="0">
      <alignment vertical="top"/>
    </xf>
    <xf numFmtId="0" fontId="8" fillId="11" borderId="0" applyAlignment="1" pivotButton="0" quotePrefix="0" xfId="0">
      <alignment vertical="top" wrapText="1"/>
    </xf>
    <xf numFmtId="0" fontId="14" fillId="11" borderId="0" applyAlignment="1" pivotButton="0" quotePrefix="0" xfId="1">
      <alignment vertical="top"/>
    </xf>
    <xf numFmtId="164" fontId="8" fillId="14" borderId="0" applyAlignment="1" pivotButton="0" quotePrefix="0" xfId="0">
      <alignment vertical="top"/>
    </xf>
    <xf numFmtId="0" fontId="8" fillId="6" borderId="0" applyAlignment="1" pivotButton="0" quotePrefix="0" xfId="0">
      <alignment vertical="top"/>
    </xf>
    <xf numFmtId="164" fontId="8" fillId="7" borderId="0" applyAlignment="1" pivotButton="0" quotePrefix="0" xfId="0">
      <alignment vertical="top"/>
    </xf>
    <xf numFmtId="167" fontId="0" fillId="0" borderId="0" pivotButton="0" quotePrefix="0" xfId="0"/>
    <xf numFmtId="166" fontId="0" fillId="0" borderId="0" pivotButton="0" quotePrefix="0" xfId="0"/>
    <xf numFmtId="166" fontId="13" fillId="9" borderId="0" pivotButton="0" quotePrefix="0" xfId="0"/>
    <xf numFmtId="167" fontId="3" fillId="5" borderId="0" applyAlignment="1" pivotButton="0" quotePrefix="0" xfId="0">
      <alignment horizontal="center" vertical="center" wrapText="1"/>
    </xf>
    <xf numFmtId="167" fontId="3" fillId="4" borderId="0" applyAlignment="1" pivotButton="0" quotePrefix="0" xfId="0">
      <alignment horizontal="center" vertical="center" wrapText="1"/>
    </xf>
    <xf numFmtId="166" fontId="0" fillId="0" borderId="0" applyAlignment="1" pivotButton="0" quotePrefix="0" xfId="0">
      <alignment vertical="top"/>
    </xf>
    <xf numFmtId="166" fontId="0" fillId="11" borderId="0" applyAlignment="1" pivotButton="0" quotePrefix="0" xfId="0">
      <alignment vertical="top"/>
    </xf>
    <xf numFmtId="167" fontId="8" fillId="0" borderId="0" applyAlignment="1" pivotButton="0" quotePrefix="0" xfId="0">
      <alignment vertical="top"/>
    </xf>
    <xf numFmtId="0" fontId="8" fillId="7" borderId="0" applyAlignment="1" pivotButton="0" quotePrefix="0" xfId="0">
      <alignment vertical="top" wrapText="1"/>
    </xf>
    <xf numFmtId="0" fontId="3" fillId="2" borderId="0" applyAlignment="1" pivotButton="0" quotePrefix="0" xfId="0">
      <alignment vertical="top" wrapText="1"/>
    </xf>
    <xf numFmtId="0" fontId="10" fillId="0" borderId="0" applyAlignment="1" pivotButton="0" quotePrefix="0" xfId="0">
      <alignment vertical="top" wrapText="1"/>
    </xf>
    <xf numFmtId="0" fontId="6" fillId="0" borderId="0" applyAlignment="1" pivotButton="0" quotePrefix="0" xfId="0">
      <alignment vertical="top" wrapText="1"/>
    </xf>
    <xf numFmtId="0" fontId="14" fillId="0" borderId="0" applyAlignment="1" pivotButton="0" quotePrefix="0" xfId="1">
      <alignment vertical="top" wrapText="1"/>
    </xf>
    <xf numFmtId="0" fontId="3" fillId="2" borderId="0" applyAlignment="1" pivotButton="0" quotePrefix="0" xfId="0">
      <alignment horizontal="center" vertical="center" wrapText="1"/>
    </xf>
    <xf numFmtId="0" fontId="0" fillId="9" borderId="0" applyAlignment="1" pivotButton="0" quotePrefix="0" xfId="0">
      <alignment vertical="top" wrapText="1"/>
    </xf>
    <xf numFmtId="0" fontId="0" fillId="14" borderId="0" applyAlignment="1" pivotButton="0" quotePrefix="0" xfId="0">
      <alignment vertical="top" wrapText="1"/>
    </xf>
    <xf numFmtId="0" fontId="0" fillId="7" borderId="0" applyAlignment="1" pivotButton="0" quotePrefix="0" xfId="0">
      <alignment vertical="top" wrapText="1"/>
    </xf>
    <xf numFmtId="0" fontId="3" fillId="2" borderId="0" pivotButton="0" quotePrefix="0" xfId="0"/>
    <xf numFmtId="0" fontId="19" fillId="2" borderId="0" applyAlignment="1" pivotButton="0" quotePrefix="0" xfId="0">
      <alignment horizontal="left" vertical="center"/>
    </xf>
    <xf numFmtId="0" fontId="20" fillId="15" borderId="0" applyAlignment="1" pivotButton="0" quotePrefix="0" xfId="0">
      <alignment horizontal="left" vertical="center" wrapText="1"/>
    </xf>
    <xf numFmtId="0" fontId="21" fillId="2" borderId="1" applyAlignment="1" pivotButton="0" quotePrefix="0" xfId="0">
      <alignment horizontal="center" vertical="center"/>
    </xf>
    <xf numFmtId="0" fontId="21" fillId="5" borderId="1" applyAlignment="1" pivotButton="0" quotePrefix="0" xfId="0">
      <alignment horizontal="center" vertical="center"/>
    </xf>
    <xf numFmtId="0" fontId="21" fillId="4" borderId="1" applyAlignment="1" pivotButton="0" quotePrefix="0" xfId="0">
      <alignment horizontal="center" vertical="center"/>
    </xf>
    <xf numFmtId="0" fontId="21" fillId="16" borderId="1" applyAlignment="1" pivotButton="0" quotePrefix="0" xfId="0">
      <alignment horizontal="center" vertical="center"/>
    </xf>
    <xf numFmtId="0" fontId="21" fillId="4" borderId="1" applyAlignment="1" pivotButton="0" quotePrefix="0" xfId="0">
      <alignment horizontal="center" vertical="center" wrapText="1"/>
    </xf>
    <xf numFmtId="0" fontId="25" fillId="17" borderId="4" applyAlignment="1" pivotButton="0" quotePrefix="0" xfId="0">
      <alignment horizontal="left" vertical="center" wrapText="1"/>
    </xf>
    <xf numFmtId="0" fontId="25" fillId="17" borderId="2" applyAlignment="1" pivotButton="0" quotePrefix="0" xfId="0">
      <alignment horizontal="left" vertical="center" wrapText="1"/>
    </xf>
    <xf numFmtId="0" fontId="22" fillId="17" borderId="2" applyAlignment="1" pivotButton="0" quotePrefix="0" xfId="0">
      <alignment horizontal="left" vertical="center" wrapText="1"/>
    </xf>
    <xf numFmtId="164" fontId="22" fillId="17" borderId="3" applyAlignment="1" pivotButton="0" quotePrefix="0" xfId="0">
      <alignment horizontal="center" vertical="center" wrapText="1"/>
    </xf>
    <xf numFmtId="164" fontId="22" fillId="17" borderId="2" applyAlignment="1" pivotButton="0" quotePrefix="0" xfId="0">
      <alignment horizontal="center" vertical="center" wrapText="1"/>
    </xf>
    <xf numFmtId="168" fontId="23" fillId="17" borderId="3" applyAlignment="1" pivotButton="0" quotePrefix="0" xfId="0">
      <alignment horizontal="center" vertical="center" wrapText="1"/>
    </xf>
    <xf numFmtId="1" fontId="23" fillId="17" borderId="2" applyAlignment="1" pivotButton="0" quotePrefix="0" xfId="0">
      <alignment horizontal="center" vertical="center" wrapText="1"/>
    </xf>
    <xf numFmtId="0" fontId="22" fillId="17" borderId="3" applyAlignment="1" pivotButton="0" quotePrefix="0" xfId="0">
      <alignment horizontal="left" vertical="center" wrapText="1"/>
    </xf>
    <xf numFmtId="0" fontId="22" fillId="17" borderId="2" applyAlignment="1" pivotButton="0" quotePrefix="0" xfId="0">
      <alignment horizontal="center" vertical="center" wrapText="1"/>
    </xf>
    <xf numFmtId="166" fontId="22" fillId="17" borderId="2" applyAlignment="1" pivotButton="0" quotePrefix="0" xfId="0">
      <alignment horizontal="center" vertical="center" wrapText="1"/>
    </xf>
    <xf numFmtId="1" fontId="22" fillId="17" borderId="2" applyAlignment="1" pivotButton="0" quotePrefix="0" xfId="0">
      <alignment horizontal="center" vertical="center" wrapText="1"/>
    </xf>
    <xf numFmtId="165" fontId="22" fillId="17" borderId="3" applyAlignment="1" pivotButton="0" quotePrefix="0" xfId="0">
      <alignment horizontal="center" vertical="center" wrapText="1"/>
    </xf>
    <xf numFmtId="0" fontId="24" fillId="17" borderId="2" applyAlignment="1" pivotButton="0" quotePrefix="0" xfId="0">
      <alignment horizontal="left" vertical="center" wrapText="1"/>
    </xf>
    <xf numFmtId="0" fontId="22" fillId="18" borderId="2" applyAlignment="1" pivotButton="0" quotePrefix="0" xfId="0">
      <alignment horizontal="left" vertical="center" wrapText="1"/>
    </xf>
    <xf numFmtId="164" fontId="22" fillId="18" borderId="3" applyAlignment="1" pivotButton="0" quotePrefix="0" xfId="0">
      <alignment horizontal="center" vertical="center" wrapText="1"/>
    </xf>
    <xf numFmtId="164" fontId="22" fillId="18" borderId="2" applyAlignment="1" pivotButton="0" quotePrefix="0" xfId="0">
      <alignment horizontal="center" vertical="center" wrapText="1"/>
    </xf>
    <xf numFmtId="168" fontId="23" fillId="19" borderId="3" applyAlignment="1" pivotButton="0" quotePrefix="0" xfId="0">
      <alignment horizontal="center" vertical="center" wrapText="1"/>
    </xf>
    <xf numFmtId="1" fontId="23" fillId="19" borderId="2" applyAlignment="1" pivotButton="0" quotePrefix="0" xfId="0">
      <alignment horizontal="center" vertical="center" wrapText="1"/>
    </xf>
    <xf numFmtId="0" fontId="22" fillId="18" borderId="3" applyAlignment="1" pivotButton="0" quotePrefix="0" xfId="0">
      <alignment horizontal="left" vertical="center" wrapText="1"/>
    </xf>
    <xf numFmtId="0" fontId="22" fillId="18" borderId="2" applyAlignment="1" pivotButton="0" quotePrefix="0" xfId="0">
      <alignment horizontal="center" vertical="center" wrapText="1"/>
    </xf>
    <xf numFmtId="166" fontId="22" fillId="18" borderId="2" applyAlignment="1" pivotButton="0" quotePrefix="0" xfId="0">
      <alignment horizontal="center" vertical="center" wrapText="1"/>
    </xf>
    <xf numFmtId="1" fontId="22" fillId="18" borderId="2" applyAlignment="1" pivotButton="0" quotePrefix="0" xfId="0">
      <alignment horizontal="center" vertical="center" wrapText="1"/>
    </xf>
    <xf numFmtId="0" fontId="24" fillId="18" borderId="2" applyAlignment="1" pivotButton="0" quotePrefix="0" xfId="1">
      <alignment horizontal="left" vertical="center" wrapText="1"/>
    </xf>
    <xf numFmtId="165" fontId="22" fillId="20" borderId="3" applyAlignment="1" pivotButton="0" quotePrefix="0" xfId="0">
      <alignment horizontal="center" vertical="center" wrapText="1"/>
    </xf>
    <xf numFmtId="0" fontId="24" fillId="18" borderId="2" applyAlignment="1" pivotButton="0" quotePrefix="0" xfId="0">
      <alignment horizontal="left" vertical="center" wrapText="1"/>
    </xf>
    <xf numFmtId="0" fontId="22" fillId="21" borderId="2" applyAlignment="1" pivotButton="0" quotePrefix="0" xfId="0">
      <alignment horizontal="left" vertical="center" wrapText="1"/>
    </xf>
    <xf numFmtId="164" fontId="22" fillId="21" borderId="3" applyAlignment="1" pivotButton="0" quotePrefix="0" xfId="0">
      <alignment horizontal="center" vertical="center" wrapText="1"/>
    </xf>
    <xf numFmtId="164" fontId="22" fillId="21" borderId="2" applyAlignment="1" pivotButton="0" quotePrefix="0" xfId="0">
      <alignment horizontal="center" vertical="center" wrapText="1"/>
    </xf>
    <xf numFmtId="0" fontId="22" fillId="21" borderId="3" applyAlignment="1" pivotButton="0" quotePrefix="0" xfId="0">
      <alignment horizontal="left" vertical="center" wrapText="1"/>
    </xf>
    <xf numFmtId="0" fontId="22" fillId="21" borderId="2" applyAlignment="1" pivotButton="0" quotePrefix="0" xfId="0">
      <alignment horizontal="center" vertical="center" wrapText="1"/>
    </xf>
    <xf numFmtId="166" fontId="22" fillId="21" borderId="2" applyAlignment="1" pivotButton="0" quotePrefix="0" xfId="0">
      <alignment horizontal="center" vertical="center" wrapText="1"/>
    </xf>
    <xf numFmtId="1" fontId="22" fillId="21" borderId="2" applyAlignment="1" pivotButton="0" quotePrefix="0" xfId="0">
      <alignment horizontal="center" vertical="center" wrapText="1"/>
    </xf>
    <xf numFmtId="165" fontId="22" fillId="21" borderId="3" applyAlignment="1" pivotButton="0" quotePrefix="0" xfId="0">
      <alignment horizontal="center" vertical="center" wrapText="1"/>
    </xf>
    <xf numFmtId="0" fontId="24" fillId="21" borderId="2" applyAlignment="1" pivotButton="0" quotePrefix="0" xfId="0">
      <alignment horizontal="left" vertical="center" wrapText="1"/>
    </xf>
    <xf numFmtId="165" fontId="22" fillId="18" borderId="3" applyAlignment="1" pivotButton="0" quotePrefix="0" xfId="0">
      <alignment horizontal="center" vertical="center" wrapText="1"/>
    </xf>
    <xf numFmtId="0" fontId="24" fillId="21" borderId="2" applyAlignment="1" pivotButton="0" quotePrefix="0" xfId="1">
      <alignment horizontal="left" vertical="center" wrapText="1"/>
    </xf>
    <xf numFmtId="0" fontId="22" fillId="18" borderId="2" applyAlignment="1" pivotButton="0" quotePrefix="0" xfId="1">
      <alignment horizontal="left" vertical="center" wrapText="1"/>
    </xf>
    <xf numFmtId="0" fontId="22" fillId="21" borderId="2" applyAlignment="1" pivotButton="0" quotePrefix="0" xfId="1">
      <alignment horizontal="left" vertical="center" wrapText="1"/>
    </xf>
    <xf numFmtId="165" fontId="4" fillId="6" borderId="0" applyAlignment="1" pivotButton="0" quotePrefix="0" xfId="0">
      <alignment vertical="top" wrapText="1"/>
    </xf>
    <xf numFmtId="165" fontId="4" fillId="7" borderId="0" applyAlignment="1" pivotButton="0" quotePrefix="0" xfId="0">
      <alignment vertical="top" wrapText="1"/>
    </xf>
    <xf numFmtId="0" fontId="26" fillId="2" borderId="0" pivotButton="0" quotePrefix="0" xfId="0"/>
    <xf numFmtId="0" fontId="27" fillId="15" borderId="0" pivotButton="0" quotePrefix="0" xfId="0"/>
    <xf numFmtId="0" fontId="28" fillId="21" borderId="0" pivotButton="0" quotePrefix="0" xfId="0"/>
    <xf numFmtId="0" fontId="6" fillId="18" borderId="0" applyAlignment="1" pivotButton="0" quotePrefix="0" xfId="0">
      <alignment vertical="center" wrapText="1"/>
    </xf>
    <xf numFmtId="169" fontId="6" fillId="18" borderId="0" applyAlignment="1" pivotButton="0" quotePrefix="0" xfId="0">
      <alignment vertical="center" wrapText="1"/>
    </xf>
    <xf numFmtId="0" fontId="0" fillId="0" borderId="5" pivotButton="0" quotePrefix="0" xfId="0"/>
    <xf numFmtId="0" fontId="21" fillId="2" borderId="6" applyAlignment="1" pivotButton="0" quotePrefix="0" xfId="0">
      <alignment horizontal="center" vertical="center"/>
    </xf>
    <xf numFmtId="0" fontId="21" fillId="5" borderId="6" applyAlignment="1" pivotButton="0" quotePrefix="0" xfId="0">
      <alignment horizontal="center" vertical="center"/>
    </xf>
    <xf numFmtId="0" fontId="21" fillId="4" borderId="6" applyAlignment="1" pivotButton="0" quotePrefix="0" xfId="0">
      <alignment horizontal="center" vertical="center"/>
    </xf>
    <xf numFmtId="0" fontId="29" fillId="23" borderId="4" applyAlignment="1" pivotButton="0" quotePrefix="0" xfId="0">
      <alignment horizontal="left" vertical="center" wrapText="1"/>
    </xf>
    <xf numFmtId="0" fontId="29" fillId="23" borderId="2" applyAlignment="1" pivotButton="0" quotePrefix="0" xfId="0">
      <alignment horizontal="left" vertical="center" wrapText="1"/>
    </xf>
    <xf numFmtId="0" fontId="22" fillId="23" borderId="2" applyAlignment="1" pivotButton="0" quotePrefix="0" xfId="0">
      <alignment horizontal="left" vertical="center" wrapText="1"/>
    </xf>
    <xf numFmtId="164" fontId="22" fillId="23" borderId="3" applyAlignment="1" pivotButton="0" quotePrefix="0" xfId="0">
      <alignment horizontal="center" vertical="center" wrapText="1"/>
    </xf>
    <xf numFmtId="164" fontId="22" fillId="23" borderId="2" applyAlignment="1" pivotButton="0" quotePrefix="0" xfId="0">
      <alignment horizontal="center" vertical="center" wrapText="1"/>
    </xf>
    <xf numFmtId="168" fontId="23" fillId="24" borderId="3" applyAlignment="1" pivotButton="0" quotePrefix="0" xfId="0">
      <alignment horizontal="center" vertical="center" wrapText="1"/>
    </xf>
    <xf numFmtId="1" fontId="23" fillId="24" borderId="2" applyAlignment="1" pivotButton="0" quotePrefix="0" xfId="0">
      <alignment horizontal="center" vertical="center" wrapText="1"/>
    </xf>
    <xf numFmtId="0" fontId="22" fillId="23" borderId="3" applyAlignment="1" pivotButton="0" quotePrefix="0" xfId="0">
      <alignment horizontal="left" vertical="center" wrapText="1"/>
    </xf>
    <xf numFmtId="0" fontId="22" fillId="23" borderId="2" applyAlignment="1" pivotButton="0" quotePrefix="0" xfId="0">
      <alignment horizontal="center" vertical="center" wrapText="1"/>
    </xf>
    <xf numFmtId="166" fontId="22" fillId="23" borderId="2" applyAlignment="1" pivotButton="0" quotePrefix="0" xfId="0">
      <alignment horizontal="center" vertical="center" wrapText="1"/>
    </xf>
    <xf numFmtId="1" fontId="22" fillId="23" borderId="2" applyAlignment="1" pivotButton="0" quotePrefix="0" xfId="0">
      <alignment horizontal="center" vertical="center" wrapText="1"/>
    </xf>
    <xf numFmtId="165" fontId="22" fillId="23" borderId="3" applyAlignment="1" pivotButton="0" quotePrefix="0" xfId="0">
      <alignment horizontal="center" vertical="center" wrapText="1"/>
    </xf>
    <xf numFmtId="0" fontId="24" fillId="23" borderId="2" applyAlignment="1" pivotButton="0" quotePrefix="0" xfId="0">
      <alignment horizontal="left" vertical="center" wrapText="1"/>
    </xf>
    <xf numFmtId="168" fontId="0" fillId="0" borderId="0" applyAlignment="1" pivotButton="0" quotePrefix="0" xfId="0">
      <alignment vertical="top" wrapText="1"/>
    </xf>
    <xf numFmtId="0" fontId="0" fillId="22" borderId="0" applyAlignment="1" pivotButton="0" quotePrefix="0" xfId="0">
      <alignment vertical="top"/>
    </xf>
    <xf numFmtId="165" fontId="0" fillId="22" borderId="0" applyAlignment="1" pivotButton="0" quotePrefix="0" xfId="0">
      <alignment vertical="top"/>
    </xf>
    <xf numFmtId="0" fontId="0" fillId="22" borderId="0" applyAlignment="1" pivotButton="0" quotePrefix="0" xfId="0">
      <alignment vertical="top" wrapText="1"/>
    </xf>
    <xf numFmtId="0" fontId="0" fillId="18" borderId="0" applyAlignment="1" pivotButton="0" quotePrefix="0" xfId="0">
      <alignment vertical="top"/>
    </xf>
    <xf numFmtId="165" fontId="0" fillId="18" borderId="0" applyAlignment="1" pivotButton="0" quotePrefix="0" xfId="0">
      <alignment vertical="top"/>
    </xf>
    <xf numFmtId="0" fontId="0" fillId="18" borderId="0" applyAlignment="1" pivotButton="0" quotePrefix="0" xfId="0">
      <alignment vertical="top" wrapText="1"/>
    </xf>
    <xf numFmtId="0" fontId="30" fillId="0" borderId="0" pivotButton="0" quotePrefix="0" xfId="0"/>
    <xf numFmtId="0" fontId="31" fillId="0" borderId="0" pivotButton="0" quotePrefix="0" xfId="0"/>
    <xf numFmtId="0" fontId="10" fillId="25" borderId="0" pivotButton="0" quotePrefix="0" xfId="0"/>
    <xf numFmtId="0" fontId="3" fillId="26" borderId="0" pivotButton="0" quotePrefix="0" xfId="0"/>
    <xf numFmtId="0" fontId="3" fillId="26" borderId="0" applyAlignment="1" pivotButton="0" quotePrefix="0" xfId="0">
      <alignment horizontal="center" vertical="center" wrapText="1"/>
    </xf>
    <xf numFmtId="0" fontId="0" fillId="0" borderId="7" pivotButton="0" quotePrefix="0" xfId="0"/>
    <xf numFmtId="0" fontId="0" fillId="25" borderId="7" applyAlignment="1" pivotButton="0" quotePrefix="0" xfId="0">
      <alignment horizontal="center"/>
    </xf>
    <xf numFmtId="0" fontId="0" fillId="0" borderId="7" applyAlignment="1" pivotButton="0" quotePrefix="0" xfId="0">
      <alignment horizontal="center"/>
    </xf>
    <xf numFmtId="0" fontId="10" fillId="0" borderId="0" applyAlignment="1" pivotButton="0" quotePrefix="0" xfId="0">
      <alignment horizontal="center"/>
    </xf>
    <xf numFmtId="170" fontId="0" fillId="0" borderId="0" pivotButton="0" quotePrefix="0" xfId="0"/>
    <xf numFmtId="0" fontId="3" fillId="26" borderId="0" applyAlignment="1" pivotButton="0" quotePrefix="0" xfId="0">
      <alignment vertical="center" wrapText="1"/>
    </xf>
    <xf numFmtId="0" fontId="0" fillId="27" borderId="0" pivotButton="0" quotePrefix="0" xfId="0"/>
    <xf numFmtId="0" fontId="34" fillId="0" borderId="0" applyAlignment="1" pivotButton="0" quotePrefix="0" xfId="0">
      <alignment horizontal="left" vertical="center"/>
    </xf>
    <xf numFmtId="0" fontId="32" fillId="28" borderId="8" applyAlignment="1" pivotButton="0" quotePrefix="0" xfId="0">
      <alignment horizontal="center" vertical="center" wrapText="1"/>
    </xf>
    <xf numFmtId="0" fontId="33" fillId="0" borderId="8" applyAlignment="1" pivotButton="0" quotePrefix="0" xfId="0">
      <alignment horizontal="center" vertical="center"/>
    </xf>
    <xf numFmtId="0" fontId="35" fillId="0" borderId="0" applyAlignment="1" pivotButton="0" quotePrefix="0" xfId="0">
      <alignment horizontal="left" vertical="center"/>
    </xf>
    <xf numFmtId="0" fontId="4" fillId="6" borderId="0" applyAlignment="1" pivotButton="0" quotePrefix="0" xfId="0">
      <alignment horizontal="center"/>
    </xf>
    <xf numFmtId="0" fontId="33" fillId="0" borderId="8" applyAlignment="1" pivotButton="0" quotePrefix="0" xfId="0">
      <alignment horizontal="center"/>
    </xf>
    <xf numFmtId="0" fontId="4" fillId="0" borderId="0" applyAlignment="1" pivotButton="0" quotePrefix="0" xfId="0">
      <alignment horizontal="center"/>
    </xf>
    <xf numFmtId="0" fontId="4" fillId="9" borderId="0" applyAlignment="1" pivotButton="0" quotePrefix="0" xfId="0">
      <alignment horizontal="center"/>
    </xf>
    <xf numFmtId="0" fontId="36" fillId="0" borderId="0" pivotButton="0" quotePrefix="0" xfId="0"/>
    <xf numFmtId="0" fontId="0" fillId="0" borderId="0" applyAlignment="1" pivotButton="0" quotePrefix="0" xfId="0">
      <alignment wrapText="1"/>
    </xf>
    <xf numFmtId="0" fontId="10" fillId="29" borderId="0" pivotButton="0" quotePrefix="0" xfId="0"/>
  </cellXfs>
  <cellStyles count="2">
    <cellStyle name="Normal" xfId="0" builtinId="0" hidden="0"/>
    <cellStyle name="Hyperlink" xfId="1" builtinId="8" hidden="0"/>
  </cellStyles>
  <dxfs count="2">
    <dxf>
      <font>
        <b val="1"/>
        <color rgb="00375623"/>
      </font>
      <fill>
        <patternFill patternType="solid">
          <fgColor rgb="00E2F0D9"/>
        </patternFill>
      </fill>
    </dxf>
    <dxf>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eadfonics.com/?s=iBasso+DC-Elite" TargetMode="External" Id="rId1"/><Relationship Type="http://schemas.openxmlformats.org/officeDocument/2006/relationships/hyperlink" Target="https://headfonics.com/?s=Cayin+RU7" TargetMode="External" Id="rId2"/><Relationship Type="http://schemas.openxmlformats.org/officeDocument/2006/relationships/hyperlink" Target="https://headfonics.com/?s=Moondrop+Moonriver+3" TargetMode="External" Id="rId3"/><Relationship Type="http://schemas.openxmlformats.org/officeDocument/2006/relationships/hyperlink" Target="https://headfonics.com/?s=ONIX+Beta+XI2" TargetMode="External" Id="rId4"/><Relationship Type="http://schemas.openxmlformats.org/officeDocument/2006/relationships/hyperlink" Target="https://headfonics.com/?s=MUSE+HiFi+M6+Double" TargetMode="External" Id="rId5"/><Relationship Type="http://schemas.openxmlformats.org/officeDocument/2006/relationships/hyperlink" Target="https://headfonics.com/?s=Shanling+UA7" TargetMode="External" Id="rId6"/><Relationship Type="http://schemas.openxmlformats.org/officeDocument/2006/relationships/hyperlink" Target="https://headfonics.com/?s=ONIX+Alpha+XI1" TargetMode="External" Id="rId7"/><Relationship Type="http://schemas.openxmlformats.org/officeDocument/2006/relationships/hyperlink" Target="https://headfonics.com/?s=xDuoo+XD05+BAL+2" TargetMode="External" Id="rId8"/><Relationship Type="http://schemas.openxmlformats.org/officeDocument/2006/relationships/hyperlink" Target="https://headfonics.com/?s=Shanling+H5" TargetMode="External" Id="rId9"/><Relationship Type="http://schemas.openxmlformats.org/officeDocument/2006/relationships/hyperlink" Target="https://headfonics.com/?s=xDuoo+POKE+II" TargetMode="External" Id="rId10"/><Relationship Type="http://schemas.openxmlformats.org/officeDocument/2006/relationships/hyperlink" Target="https://headfonics.com/?s=FiiO+QX13" TargetMode="External" Id="rId11"/><Relationship Type="http://schemas.openxmlformats.org/officeDocument/2006/relationships/hyperlink" Target="https://headfonics.com/?s=SMSL+DS20" TargetMode="External" Id="rId12"/><Relationship Type="http://schemas.openxmlformats.org/officeDocument/2006/relationships/hyperlink" Target="https://headfonics.com/?s=MUSE+HiFi+M5+Ultra" TargetMode="External" Id="rId13"/><Relationship Type="http://schemas.openxmlformats.org/officeDocument/2006/relationships/hyperlink" Target="https://headfonics.com/?s=Questyle+M15C" TargetMode="External" Id="rId14"/><Relationship Type="http://schemas.openxmlformats.org/officeDocument/2006/relationships/hyperlink" Target="https://headfonics.com/?s=Questyle+M18i+Max" TargetMode="External" Id="rId15"/><Relationship Type="http://schemas.openxmlformats.org/officeDocument/2006/relationships/hyperlink" Target="https://headfonics.com/?s=AFUL+ICEBORNE" TargetMode="External" Id="rId16"/><Relationship Type="http://schemas.openxmlformats.org/officeDocument/2006/relationships/hyperlink" Target="https://headfonics.com/?s=Fosi+Audio+MD3" TargetMode="External" Id="rId17"/><Relationship Type="http://schemas.openxmlformats.org/officeDocument/2006/relationships/hyperlink" Target="https://headfonics.com/?s=iFi+audio+GO+link+2" TargetMode="External" Id="rId18"/><Relationship Type="http://schemas.openxmlformats.org/officeDocument/2006/relationships/hyperlink" Target="https://headfonics.com/?s=MUSE+HiFi+M3+Ultra" TargetMode="External" Id="rId19"/><Relationship Type="http://schemas.openxmlformats.org/officeDocument/2006/relationships/hyperlink" Target="https://headfonics.com/?s=xDuoo+Link3" TargetMode="External" Id="rId20"/><Relationship Type="http://schemas.openxmlformats.org/officeDocument/2006/relationships/hyperlink" Target="https://headfonics.com/?s=xDuoo+XP-2+Bal" TargetMode="External" Id="rId21"/><Relationship Type="http://schemas.openxmlformats.org/officeDocument/2006/relationships/hyperlink" Target="https://headfonics.com/?s=iBasso+PB6+MACAW" TargetMode="External" Id="rId22"/><Relationship Type="http://schemas.openxmlformats.org/officeDocument/2006/relationships/hyperlink" Target="https://headfonics.com/?s=HiBy+W4" TargetMode="External" Id="rId23"/><Relationship Type="http://schemas.openxmlformats.org/officeDocument/2006/relationships/hyperlink" Target="https://headfonics.com/?s=Questyle+SIGMA+Pro" TargetMode="External" Id="rId24"/><Relationship Type="http://schemas.openxmlformats.org/officeDocument/2006/relationships/hyperlink" Target="https://headfonics.com/?s=iBasso+D17+Atheris" TargetMode="External" Id="rId25"/><Relationship Type="http://schemas.openxmlformats.org/officeDocument/2006/relationships/hyperlink" Target="https://headfonics.com/?s=Cayin+RU3" TargetMode="External" Id="rId26"/><Relationship Type="http://schemas.openxmlformats.org/officeDocument/2006/relationships/hyperlink" Target="https://headfonics.com/?s=FiiO+SNOWSKY+Tiny" TargetMode="External" Id="rId27"/><Relationship Type="http://schemas.openxmlformats.org/officeDocument/2006/relationships/hyperlink" Target="https://headfonics.com/?s=Khadas+Tea+Pro" TargetMode="External" Id="rId28"/><Relationship Type="http://schemas.openxmlformats.org/officeDocument/2006/relationships/hyperlink" Target="https://headfonics.com/?s=ddHiFi+TC44Grip" TargetMode="External" Id="rId29"/><Relationship Type="http://schemas.openxmlformats.org/officeDocument/2006/relationships/hyperlink" Target="https://headfonics.com/?s=ddHiFi+TC44+Pro+E3" TargetMode="External" Id="rId30"/><Relationship Type="http://schemas.openxmlformats.org/officeDocument/2006/relationships/hyperlink" Target="https://headfonics.com/?s=xDuoo+Link10" TargetMode="External" Id="rId31"/><Relationship Type="http://schemas.openxmlformats.org/officeDocument/2006/relationships/hyperlink" Target="https://headfonics.com/?s=FiiO+JIEZI" TargetMode="External" Id="rId32"/><Relationship Type="http://schemas.openxmlformats.org/officeDocument/2006/relationships/hyperlink" Target="https://headfonics.com/?s=FiiO+SNOWSKY+Melody" TargetMode="External" Id="rId33"/><Relationship Type="http://schemas.openxmlformats.org/officeDocument/2006/relationships/hyperlink" Target="https://headfonics.com/?s=xDuoo+XD05+Basic2" TargetMode="External" Id="rId34"/><Relationship Type="http://schemas.openxmlformats.org/officeDocument/2006/relationships/hyperlink" Target="https://headfonics.com/?s=iBasso+Nunchaku" TargetMode="External" Id="rId35"/><Relationship Type="http://schemas.openxmlformats.org/officeDocument/2006/relationships/hyperlink" Target="https://headfonics.com/?s=NiPO+A100" TargetMode="External" Id="rId36"/><Relationship Type="http://schemas.openxmlformats.org/officeDocument/2006/relationships/hyperlink" Target="https://headfonics.com/?s=ddHiFi+TC44Pro+M3" TargetMode="External" Id="rId37"/><Relationship Type="http://schemas.openxmlformats.org/officeDocument/2006/relationships/hyperlink" Target="https://headfonics.com/?s=Cayin+RU9" TargetMode="External" Id="rId38"/><Relationship Type="http://schemas.openxmlformats.org/officeDocument/2006/relationships/hyperlink" Target="https://headfonics.com/?s=Shanling+UP6" TargetMode="External" Id="rId39"/><Relationship Type="http://schemas.openxmlformats.org/officeDocument/2006/relationships/hyperlink" Target="https://headfonics.com/?s=Questyle+M18i" TargetMode="External" Id="rId40"/><Relationship Type="http://schemas.openxmlformats.org/officeDocument/2006/relationships/hyperlink" Target="https://headfonics.com/?s=FiiO+RR11" TargetMode="External" Id="rId41"/><Relationship Type="http://schemas.openxmlformats.org/officeDocument/2006/relationships/hyperlink" Target="https://headfonics.com/?s=EarMen+L-Amp" TargetMode="External" Id="rId42"/><Relationship Type="http://schemas.openxmlformats.org/officeDocument/2006/relationships/hyperlink" Target="https://headfonics.com/?s=FiiO+SNOWSKY+RETRO+NANO" TargetMode="External" Id="rId43"/><Relationship Type="http://schemas.openxmlformats.org/officeDocument/2006/relationships/hyperlink" Target="https://headfonics.com/?s=Cayin+C9ii" TargetMode="External" Id="rId44"/><Relationship Type="http://schemas.openxmlformats.org/officeDocument/2006/relationships/hyperlink" Target="https://headfonics.com/?s=ddHiFi+TC35M2" TargetMode="External" Id="rId45"/><Relationship Type="http://schemas.openxmlformats.org/officeDocument/2006/relationships/hyperlink" Target="https://headfonics.com/?s=iFi+audio+GO+link+Max" TargetMode="External" Id="rId46"/><Relationship Type="http://schemas.openxmlformats.org/officeDocument/2006/relationships/hyperlink" Target="https://headfonics.com/?s=Heartfield+R1" TargetMode="External" Id="rId47"/><Relationship Type="http://schemas.openxmlformats.org/officeDocument/2006/relationships/hyperlink" Target="https://headfonics.com/?s=iBasso+PB5+Osprey" TargetMode="External" Id="rId48"/><Relationship Type="http://schemas.openxmlformats.org/officeDocument/2006/relationships/hyperlink" Target="https://headfonics.com/?s=FiiO+KA15" TargetMode="External" Id="rId49"/><Relationship Type="http://schemas.openxmlformats.org/officeDocument/2006/relationships/hyperlink" Target="https://headfonics.com/?s=TempoTec+Sonata+BHD+Pro" TargetMode="External" Id="rId50"/><Relationship Type="http://schemas.openxmlformats.org/officeDocument/2006/relationships/hyperlink" Target="https://headfonics.com/?s=iBasso+D16+Taipan" TargetMode="External" Id="rId51"/><Relationship Type="http://schemas.openxmlformats.org/officeDocument/2006/relationships/hyperlink" Target="https://headfonics.com/?s=7Hz+Artemis39" TargetMode="External" Id="rId52"/><Relationship Type="http://schemas.openxmlformats.org/officeDocument/2006/relationships/hyperlink" Target="https://headfonics.com/?s=SMSL+D10" TargetMode="External" Id="rId53"/><Relationship Type="http://schemas.openxmlformats.org/officeDocument/2006/relationships/hyperlink" Target="https://headfonics.com/?s=FiiO+JA11" TargetMode="External" Id="rId54"/><Relationship Type="http://schemas.openxmlformats.org/officeDocument/2006/relationships/hyperlink" Target="https://headfonics.com/?s=Shanling+H2" TargetMode="External" Id="rId55"/><Relationship Type="http://schemas.openxmlformats.org/officeDocument/2006/relationships/hyperlink" Target="https://headfonics.com/?s=LETSHUOER+DT03" TargetMode="External" Id="rId56"/><Relationship Type="http://schemas.openxmlformats.org/officeDocument/2006/relationships/hyperlink" Target="https://headfonics.com/?s=Kiwi+Ears+Allegro" TargetMode="External" Id="rId57"/><Relationship Type="http://schemas.openxmlformats.org/officeDocument/2006/relationships/hyperlink" Target="https://headfonics.com/?s=Hidizs+S8+Pro+Robin" TargetMode="External" Id="rId58"/><Relationship Type="http://schemas.openxmlformats.org/officeDocument/2006/relationships/hyperlink" Target="https://headfonics.com/?s=iFi+audio+GO+bar+Kensei" TargetMode="External" Id="rId59"/><Relationship Type="http://schemas.openxmlformats.org/officeDocument/2006/relationships/hyperlink" Target="https://headfonics.com/?s=ONIX+Mystic+XP1" TargetMode="External" Id="rId60"/><Relationship Type="http://schemas.openxmlformats.org/officeDocument/2006/relationships/hyperlink" Target="https://headfonics.com/?s=Shanling+UA4" TargetMode="External" Id="rId61"/><Relationship Type="http://schemas.openxmlformats.org/officeDocument/2006/relationships/hyperlink" Target="https://headfonics.com/?s=FiiO+KA11" TargetMode="External" Id="rId62"/><Relationship Type="http://schemas.openxmlformats.org/officeDocument/2006/relationships/hyperlink" Target="https://headfonics.com/?s=FiiO+KA17" TargetMode="External" Id="rId63"/><Relationship Type="http://schemas.openxmlformats.org/officeDocument/2006/relationships/hyperlink" Target="https://headfonics.com/?s=Colorfly+CDA-M2" TargetMode="External" Id="rId64"/><Relationship Type="http://schemas.openxmlformats.org/officeDocument/2006/relationships/hyperlink" Target="https://headfonics.com/?s=ddHiFi+TC44Pro+E2" TargetMode="External" Id="rId65"/><Relationship Type="http://schemas.openxmlformats.org/officeDocument/2006/relationships/hyperlink" Target="https://headfonics.com/?s=Hidizs+SD2" TargetMode="External" Id="rId66"/><Relationship Type="http://schemas.openxmlformats.org/officeDocument/2006/relationships/hyperlink" Target="https://headfonics.com/?s=Colorfly+CDA-M1P" TargetMode="External" Id="rId67"/><Relationship Type="http://schemas.openxmlformats.org/officeDocument/2006/relationships/hyperlink" Target="https://headfonics.com/?s=FiiO+Q15" TargetMode="External" Id="rId68"/><Relationship Type="http://schemas.openxmlformats.org/officeDocument/2006/relationships/hyperlink" Target="https://headfonics.com/?s=iFi+audio+iDSD+Diablo+2" TargetMode="External" Id="rId69"/><Relationship Type="http://schemas.openxmlformats.org/officeDocument/2006/relationships/hyperlink" Target="https://headfonics.com/?s=ddHiFi+TC35Pro+Eye2+%26+Mountain2" TargetMode="External" Id="rId70"/><Relationship Type="http://schemas.openxmlformats.org/officeDocument/2006/relationships/hyperlink" Target="https://headfonics.com/?s=Shanling+UA1+Plus" TargetMode="External" Id="rId71"/><Relationship Type="http://schemas.openxmlformats.org/officeDocument/2006/relationships/hyperlink" Target="https://headfonics.com/?s=iFi+audio+hip-dac+3" TargetMode="External" Id="rId72"/><Relationship Type="http://schemas.openxmlformats.org/officeDocument/2006/relationships/hyperlink" Target="https://headfonics.com/?s=Hidizs+S9+Pro+Plus+Martha" TargetMode="External" Id="rId73"/><Relationship Type="http://schemas.openxmlformats.org/officeDocument/2006/relationships/hyperlink" Target="https://headfonics.com/?s=xDuoo+XD05+Pro" TargetMode="External" Id="rId74"/><Relationship Type="http://schemas.openxmlformats.org/officeDocument/2006/relationships/hyperlink" Target="https://headfonics.com/?s=FiiO+KA13" TargetMode="External" Id="rId75"/><Relationship Type="http://schemas.openxmlformats.org/officeDocument/2006/relationships/hyperlink" Target="https://headfonics.com/?s=Audirect+Beam+4" TargetMode="External" Id="rId76"/><Relationship Type="http://schemas.openxmlformats.org/officeDocument/2006/relationships/hyperlink" Target="https://headfonics.com/?s=ddHiFi+TC44Pro" TargetMode="External" Id="rId77"/><Relationship Type="http://schemas.openxmlformats.org/officeDocument/2006/relationships/hyperlink" Target="https://headfonics.com/?s=Moondrop+Dawn+Pro" TargetMode="External" Id="rId78"/><Relationship Type="http://schemas.openxmlformats.org/officeDocument/2006/relationships/hyperlink" Target="https://headfonics.com/?s=Moondrop+MoonRiver+2%3A+Ti" TargetMode="External" Id="rId79"/><Relationship Type="http://schemas.openxmlformats.org/officeDocument/2006/relationships/hyperlink" Target="https://headfonics.com/?s=HiBy+FC6" TargetMode="External" Id="rId80"/><Relationship Type="http://schemas.openxmlformats.org/officeDocument/2006/relationships/hyperlink" Target="https://headfonics.com/?s=ddHiFi+TC35C" TargetMode="External" Id="rId81"/><Relationship Type="http://schemas.openxmlformats.org/officeDocument/2006/relationships/hyperlink" Target="https://headfonics.com/?s=FiiO+KA5" TargetMode="External" Id="rId82"/><Relationship Type="http://schemas.openxmlformats.org/officeDocument/2006/relationships/hyperlink" Target="https://headfonics.com/?s=FiiO+Q11" TargetMode="External" Id="rId83"/><Relationship Type="http://schemas.openxmlformats.org/officeDocument/2006/relationships/hyperlink" Target="https://headfonics.com/?s=iFi+audio+UNO" TargetMode="External" Id="rId84"/><Relationship Type="http://schemas.openxmlformats.org/officeDocument/2006/relationships/hyperlink" Target="https://headfonics.com/?s=7Hz+SEVENHERTZ+71" TargetMode="External" Id="rId85"/><Relationship Type="http://schemas.openxmlformats.org/officeDocument/2006/relationships/hyperlink" Target="https://headfonics.com/?s=Venture+Electronics+Megatron" TargetMode="External" Id="rId86"/><Relationship Type="http://schemas.openxmlformats.org/officeDocument/2006/relationships/hyperlink" Target="https://headfonics.com/?s=Shanling+H7" TargetMode="External" Id="rId87"/><Relationship Type="http://schemas.openxmlformats.org/officeDocument/2006/relationships/hyperlink" Target="https://headfonics.com/?s=iKKO+Zerda+ITM02" TargetMode="External" Id="rId88"/><Relationship Type="http://schemas.openxmlformats.org/officeDocument/2006/relationships/hyperlink" Target="https://headfonics.com/?s=Quloos+QLS+MC01" TargetMode="External" Id="rId89"/><Relationship Type="http://schemas.openxmlformats.org/officeDocument/2006/relationships/hyperlink" Target="https://headfonics.com/?s=Hidizs+XO" TargetMode="External" Id="rId90"/><Relationship Type="http://schemas.openxmlformats.org/officeDocument/2006/relationships/hyperlink" Target="https://headfonics.com/?s=FiiO+Q7" TargetMode="External" Id="rId91"/><Relationship Type="http://schemas.openxmlformats.org/officeDocument/2006/relationships/hyperlink" Target="https://headfonics.com/?s=EarMen+Angel" TargetMode="External" Id="rId92"/><Relationship Type="http://schemas.openxmlformats.org/officeDocument/2006/relationships/hyperlink" Target="https://headfonics.com/?s=Moondrop+Dawn" TargetMode="External" Id="rId93"/><Relationship Type="http://schemas.openxmlformats.org/officeDocument/2006/relationships/hyperlink" Target="https://headfonics.com/?s=FiiO+KA2" TargetMode="External" Id="rId94"/><Relationship Type="http://schemas.openxmlformats.org/officeDocument/2006/relationships/hyperlink" Target="https://headfonics.com/?s=ddHiFi+TC44A+Lightning+DAC" TargetMode="External" Id="rId95"/><Relationship Type="http://schemas.openxmlformats.org/officeDocument/2006/relationships/hyperlink" Target="https://headfonics.com/?s=xDuoo+Link2+Bal" TargetMode="External" Id="rId96"/><Relationship Type="http://schemas.openxmlformats.org/officeDocument/2006/relationships/hyperlink" Target="https://headfonics.com/?s=Shanling+UA3" TargetMode="External" Id="rId97"/><Relationship Type="http://schemas.openxmlformats.org/officeDocument/2006/relationships/hyperlink" Target="https://headfonics.com/?s=HiBy+FC4" TargetMode="External" Id="rId98"/><Relationship Type="http://schemas.openxmlformats.org/officeDocument/2006/relationships/hyperlink" Target="https://headfonics.com/?s=Questyle+M15" TargetMode="External" Id="rId99"/><Relationship Type="http://schemas.openxmlformats.org/officeDocument/2006/relationships/hyperlink" Target="https://headfonics.com/?s=iBasso+DC06" TargetMode="External" Id="rId100"/><Relationship Type="http://schemas.openxmlformats.org/officeDocument/2006/relationships/hyperlink" Target="https://headfonics.com/?s=Topping+NX7" TargetMode="External" Id="rId101"/><Relationship Type="http://schemas.openxmlformats.org/officeDocument/2006/relationships/hyperlink" Target="https://headfonics.com/?s=Moondrop+MoonRiver+2" TargetMode="External" Id="rId102"/><Relationship Type="http://schemas.openxmlformats.org/officeDocument/2006/relationships/hyperlink" Target="https://headfonics.com/?s=Colorfly+CDA+M1" TargetMode="External" Id="rId103"/><Relationship Type="http://schemas.openxmlformats.org/officeDocument/2006/relationships/hyperlink" Target="https://headfonics.com/?s=FiiO+KA1" TargetMode="External" Id="rId104"/><Relationship Type="http://schemas.openxmlformats.org/officeDocument/2006/relationships/hyperlink" Target="https://headfonics.com/?s=iFi+audio+GO+bar" TargetMode="External" Id="rId105"/><Relationship Type="http://schemas.openxmlformats.org/officeDocument/2006/relationships/hyperlink" Target="https://headfonics.com/?s=Hilidac+Audirect+Beam+3+Plus" TargetMode="External" Id="rId106"/><Relationship Type="http://schemas.openxmlformats.org/officeDocument/2006/relationships/hyperlink" Target="https://headfonics.com/?s=ddHiFi+TC44C" TargetMode="External" Id="rId107"/><Relationship Type="http://schemas.openxmlformats.org/officeDocument/2006/relationships/hyperlink" Target="https://headfonics.com/?s=Shanling+UA5" TargetMode="External" Id="rId108"/><Relationship Type="http://schemas.openxmlformats.org/officeDocument/2006/relationships/hyperlink" Target="https://headfonics.com/?s=TempoTec+Sonata+E35" TargetMode="External" Id="rId109"/><Relationship Type="http://schemas.openxmlformats.org/officeDocument/2006/relationships/hyperlink" Target="https://headfonics.com/?s=Astell%26Kern+USB-C+Dual+DAC+Cable+PEE51" TargetMode="External" Id="rId110"/><Relationship Type="http://schemas.openxmlformats.org/officeDocument/2006/relationships/hyperlink" Target="https://headfonics.com/?s=Hilidac+Audirect+Beam+3+PRO" TargetMode="External" Id="rId111"/><Relationship Type="http://schemas.openxmlformats.org/officeDocument/2006/relationships/hyperlink" Target="https://headfonics.com/?s=EarMen+Colibri" TargetMode="External" Id="rId112"/><Relationship Type="http://schemas.openxmlformats.org/officeDocument/2006/relationships/hyperlink" Target="https://headfonics.com/?s=Swan+Song+Audio+Mini+Black" TargetMode="External" Id="rId113"/><Relationship Type="http://schemas.openxmlformats.org/officeDocument/2006/relationships/hyperlink" Target="https://headfonics.com/?s=iFi+audio+xDSD+Gryphon" TargetMode="External" Id="rId114"/><Relationship Type="http://schemas.openxmlformats.org/officeDocument/2006/relationships/hyperlink" Target="https://headfonics.com/?s=Khadas+Tea" TargetMode="External" Id="rId115"/><Relationship Type="http://schemas.openxmlformats.org/officeDocument/2006/relationships/hyperlink" Target="https://headfonics.com/?s=HiBy+FC5" TargetMode="External" Id="rId116"/><Relationship Type="http://schemas.openxmlformats.org/officeDocument/2006/relationships/hyperlink" Target="https://headfonics.com/?s=Chord+Mojo+2" TargetMode="External" Id="rId117"/><Relationship Type="http://schemas.openxmlformats.org/officeDocument/2006/relationships/hyperlink" Target="https://headfonics.com/?s=Cayin+RU6" TargetMode="External" Id="rId118"/><Relationship Type="http://schemas.openxmlformats.org/officeDocument/2006/relationships/hyperlink" Target="https://headfonics.com/?s=iBasso+DC05" TargetMode="External" Id="rId119"/><Relationship Type="http://schemas.openxmlformats.org/officeDocument/2006/relationships/hyperlink" Target="https://headfonics.com/?s=FiiO+KA3" TargetMode="External" Id="rId120"/><Relationship Type="http://schemas.openxmlformats.org/officeDocument/2006/relationships/hyperlink" Target="https://headfonics.com/?s=iFi+audio+hip-dac2" TargetMode="External" Id="rId121"/><Relationship Type="http://schemas.openxmlformats.org/officeDocument/2006/relationships/hyperlink" Target="https://headfonics.com/?s=Hidizs+S9+Pro+Copper" TargetMode="External" Id="rId122"/><Relationship Type="http://schemas.openxmlformats.org/officeDocument/2006/relationships/hyperlink" Target="https://headfonics.com/?s=Periodic+Audio+Rhodium+DAC" TargetMode="External" Id="rId123"/><Relationship Type="http://schemas.openxmlformats.org/officeDocument/2006/relationships/hyperlink" Target="https://headfonics.com/?s=Hidizs+DH80s" TargetMode="External" Id="rId124"/><Relationship Type="http://schemas.openxmlformats.org/officeDocument/2006/relationships/hyperlink" Target="https://headfonics.com/?s=Questyle+M12" TargetMode="External" Id="rId125"/><Relationship Type="http://schemas.openxmlformats.org/officeDocument/2006/relationships/hyperlink" Target="https://headfonics.com/?s=FiiO+E10K+TC" TargetMode="External" Id="rId126"/><Relationship Type="http://schemas.openxmlformats.org/officeDocument/2006/relationships/hyperlink" Target="https://headfonics.com/?s=Shanling+UA2" TargetMode="External" Id="rId127"/><Relationship Type="http://schemas.openxmlformats.org/officeDocument/2006/relationships/hyperlink" Target="https://headfonics.com/?s=FiiO+New+K3" TargetMode="External" Id="rId128"/><Relationship Type="http://schemas.openxmlformats.org/officeDocument/2006/relationships/hyperlink" Target="https://headfonics.com/?s=ddHiFi+TC35+Pro+Tetris" TargetMode="External" Id="rId129"/><Relationship Type="http://schemas.openxmlformats.org/officeDocument/2006/relationships/hyperlink" Target="https://headfonics.com/?s=Helm+Audio+Bolt" TargetMode="External" Id="rId130"/><Relationship Type="http://schemas.openxmlformats.org/officeDocument/2006/relationships/hyperlink" Target="https://headfonics.com/?s=Luxury+%26+Precision+W2" TargetMode="External" Id="rId131"/><Relationship Type="http://schemas.openxmlformats.org/officeDocument/2006/relationships/hyperlink" Target="https://headfonics.com/?s=Hidizs+S9+Pro" TargetMode="External" Id="rId132"/><Relationship Type="http://schemas.openxmlformats.org/officeDocument/2006/relationships/hyperlink" Target="https://headfonics.com/?s=Hidizs+S3+Pro" TargetMode="External" Id="rId133"/><Relationship Type="http://schemas.openxmlformats.org/officeDocument/2006/relationships/hyperlink" Target="https://headfonics.com/?s=iFi+audio+iDSD+Diablo" TargetMode="External" Id="rId134"/><Relationship Type="http://schemas.openxmlformats.org/officeDocument/2006/relationships/hyperlink" Target="https://headfonics.com/?s=Phatlab+Chimera" TargetMode="External" Id="rId135"/><Relationship Type="http://schemas.openxmlformats.org/officeDocument/2006/relationships/hyperlink" Target="https://headfonics.com/?s=HiBy+FC3" TargetMode="External" Id="rId136"/><Relationship Type="http://schemas.openxmlformats.org/officeDocument/2006/relationships/hyperlink" Target="https://headfonics.com/?s=Khadas+Tone2+Pro" TargetMode="External" Id="rId137"/><Relationship Type="http://schemas.openxmlformats.org/officeDocument/2006/relationships/hyperlink" Target="https://headfonics.com/?s=Hidizs+DH80" TargetMode="External" Id="rId138"/><Relationship Type="http://schemas.openxmlformats.org/officeDocument/2006/relationships/hyperlink" Target="https://headfonics.com/?s=iBasso+DC04" TargetMode="External" Id="rId139"/><Relationship Type="http://schemas.openxmlformats.org/officeDocument/2006/relationships/hyperlink" Target="https://headfonics.com/?s=HiBy+FD1+%26+Beans" TargetMode="External" Id="rId140"/></Relationships>
</file>

<file path=xl/worksheets/_rels/sheet2.xml.rels><Relationships xmlns="http://schemas.openxmlformats.org/package/2006/relationships"><Relationship Type="http://schemas.openxmlformats.org/officeDocument/2006/relationships/hyperlink" Target="https://en.cayin.cn/features/7/15/592.html" TargetMode="External" Id="rId1"/><Relationship Type="http://schemas.openxmlformats.org/officeDocument/2006/relationships/hyperlink" Target="https://www.audiophonics.fr/fr/amplificateurs-casque-mobiles/ibasso-dc-elite-p-18544.html" TargetMode="External" Id="rId2"/><Relationship Type="http://schemas.openxmlformats.org/officeDocument/2006/relationships/hyperlink" Target="https://headfonics.com/?s=iBasso+DC-Elite" TargetMode="External" Id="rId3"/><Relationship Type="http://schemas.openxmlformats.org/officeDocument/2006/relationships/hyperlink" Target="https://moonstarreviews.net/quloos-mub1-review/" TargetMode="External" Id="rId4"/><Relationship Type="http://schemas.openxmlformats.org/officeDocument/2006/relationships/hyperlink" Target="https://headfonics.com/cayin-ru7-review/" TargetMode="External" Id="rId5"/><Relationship Type="http://schemas.openxmlformats.org/officeDocument/2006/relationships/hyperlink" Target="https://headfonics.com/?s=Cayin+RU7" TargetMode="External" Id="rId6"/><Relationship Type="http://schemas.openxmlformats.org/officeDocument/2006/relationships/hyperlink" Target="https://www.audiophile-heaven.com/2025/04/the-canto-master-dethonray-clarinet-dac-headphone-amp.html" TargetMode="External" Id="rId7"/><Relationship Type="http://schemas.openxmlformats.org/officeDocument/2006/relationships/hyperlink" Target="https://www.audiophonics.fr/fr/dac-portables/moondrop-moonriver-3-p-21677.html" TargetMode="External" Id="rId8"/><Relationship Type="http://schemas.openxmlformats.org/officeDocument/2006/relationships/hyperlink" Target="https://headfonics.com/?s=Moondrop+Moonriver+3" TargetMode="External" Id="rId9"/><Relationship Type="http://schemas.openxmlformats.org/officeDocument/2006/relationships/hyperlink" Target="https://www.audiophonics.fr/fr/dac-portables/shanling-onix-beta-xi2-p-21159.html" TargetMode="External" Id="rId10"/><Relationship Type="http://schemas.openxmlformats.org/officeDocument/2006/relationships/hyperlink" Target="https://headfonics.com/?s=ONIX+Beta+XI2" TargetMode="External" Id="rId11"/><Relationship Type="http://schemas.openxmlformats.org/officeDocument/2006/relationships/hyperlink" Target="https://www.audiophonics.fr/fr/dac-portables/musehifi-m6-p-21634.html" TargetMode="External" Id="rId12"/><Relationship Type="http://schemas.openxmlformats.org/officeDocument/2006/relationships/hyperlink" Target="https://headfonics.com/?s=MUSE+HiFi+M6+Double" TargetMode="External" Id="rId13"/><Relationship Type="http://schemas.openxmlformats.org/officeDocument/2006/relationships/hyperlink" Target="https://www.audiophonics.fr/fr/dac-portables/questyle-m15i-p-19563.html" TargetMode="External" Id="rId14"/><Relationship Type="http://schemas.openxmlformats.org/officeDocument/2006/relationships/hyperlink" Target="https://www.headfonia.com/shanling-ua7-review/" TargetMode="External" Id="rId15"/><Relationship Type="http://schemas.openxmlformats.org/officeDocument/2006/relationships/hyperlink" Target="https://headfonics.com/?s=Shanling+UA7" TargetMode="External" Id="rId16"/><Relationship Type="http://schemas.openxmlformats.org/officeDocument/2006/relationships/hyperlink" Target="https://www.audiophonics.fr/fr/dac-portables/ibasso-dc07pro-noir-p-19619.html" TargetMode="External" Id="rId17"/><Relationship Type="http://schemas.openxmlformats.org/officeDocument/2006/relationships/hyperlink" Target="https://www.audiophonics.fr/fr/dac-portables/shanling-ua6-ii-p-22362.html" TargetMode="External" Id="rId18"/><Relationship Type="http://schemas.openxmlformats.org/officeDocument/2006/relationships/hyperlink" Target="https://www.audiophonics.fr/fr/dac-portables/shanling-onix-alpha-xi1-p-19347.html" TargetMode="External" Id="rId19"/><Relationship Type="http://schemas.openxmlformats.org/officeDocument/2006/relationships/hyperlink" Target="https://headfonics.com/?s=ONIX+Alpha+XI1" TargetMode="External" Id="rId20"/><Relationship Type="http://schemas.openxmlformats.org/officeDocument/2006/relationships/hyperlink" Target="https://xduoo.net/preview/xd05-bal2" TargetMode="External" Id="rId21"/><Relationship Type="http://schemas.openxmlformats.org/officeDocument/2006/relationships/hyperlink" Target="https://headfonics.com/?s=xDuoo+XD05+BAL+2" TargetMode="External" Id="rId22"/><Relationship Type="http://schemas.openxmlformats.org/officeDocument/2006/relationships/hyperlink" Target="https://www.dethonray.com/products/dac/pegasus-sg1/" TargetMode="External" Id="rId23"/><Relationship Type="http://schemas.openxmlformats.org/officeDocument/2006/relationships/hyperlink" Target="https://headfonics.com/shanling-h5-review/" TargetMode="External" Id="rId24"/><Relationship Type="http://schemas.openxmlformats.org/officeDocument/2006/relationships/hyperlink" Target="https://headfonics.com/?s=Shanling+H5" TargetMode="External" Id="rId25"/><Relationship Type="http://schemas.openxmlformats.org/officeDocument/2006/relationships/hyperlink" Target="https://www.headfonia.com/xduoo-poke-ii-review/3/" TargetMode="External" Id="rId26"/><Relationship Type="http://schemas.openxmlformats.org/officeDocument/2006/relationships/hyperlink" Target="https://headfonics.com/?s=xDuoo+POKE+II" TargetMode="External" Id="rId27"/><Relationship Type="http://schemas.openxmlformats.org/officeDocument/2006/relationships/hyperlink" Target="https://www.audiophonics.fr/fr/amplificateurs-casque-mobiles/fiio-btr17-noir-p-20087.html" TargetMode="External" Id="rId28"/><Relationship Type="http://schemas.openxmlformats.org/officeDocument/2006/relationships/hyperlink" Target="https://www.audiophonics.fr/fr/dac-portables-c-6399.html?orderby=price&amp;orderway=desc" TargetMode="External" Id="rId29"/><Relationship Type="http://schemas.openxmlformats.org/officeDocument/2006/relationships/hyperlink" Target="https://headfonics.com/?s=FiiO+QX13" TargetMode="External" Id="rId30"/><Relationship Type="http://schemas.openxmlformats.org/officeDocument/2006/relationships/hyperlink" Target="https://headfonics.com/smsl-ds20-review/" TargetMode="External" Id="rId31"/><Relationship Type="http://schemas.openxmlformats.org/officeDocument/2006/relationships/hyperlink" Target="https://headfonics.com/?s=SMSL+DS20" TargetMode="External" Id="rId32"/><Relationship Type="http://schemas.openxmlformats.org/officeDocument/2006/relationships/hyperlink" Target="https://www.headfonia.com/muse-hifi-m5-ultra-review/2/" TargetMode="External" Id="rId33"/><Relationship Type="http://schemas.openxmlformats.org/officeDocument/2006/relationships/hyperlink" Target="https://headfonics.com/?s=MUSE+HiFi+M5+Ultra" TargetMode="External" Id="rId34"/><Relationship Type="http://schemas.openxmlformats.org/officeDocument/2006/relationships/hyperlink" Target="https://www.audiosciencereview.com/forum/index.php?threads/topping-g5-review-portable-dac-hp-amp.36542/" TargetMode="External" Id="rId35"/><Relationship Type="http://schemas.openxmlformats.org/officeDocument/2006/relationships/hyperlink" Target="https://headfonics.com/?s=Questyle+M15C" TargetMode="External" Id="rId36"/><Relationship Type="http://schemas.openxmlformats.org/officeDocument/2006/relationships/hyperlink" Target="https://hifigo.com/blogs/news/ibasso-presents-dc-tonfa-24-bit-fully-balanced-r2r-flagship-portable-dac-amp" TargetMode="External" Id="rId37"/><Relationship Type="http://schemas.openxmlformats.org/officeDocument/2006/relationships/hyperlink" Target="https://headfonics.com/?s=Questyle+M18i+Max" TargetMode="External" Id="rId38"/><Relationship Type="http://schemas.openxmlformats.org/officeDocument/2006/relationships/hyperlink" Target="https://headfonics.com/?s=AFUL+ICEBORNE" TargetMode="External" Id="rId39"/><Relationship Type="http://schemas.openxmlformats.org/officeDocument/2006/relationships/hyperlink" Target="https://headfonics.com/?s=Fosi+Audio+MD3" TargetMode="External" Id="rId40"/><Relationship Type="http://schemas.openxmlformats.org/officeDocument/2006/relationships/hyperlink" Target="https://headfonics.com/?s=iFi+audio+GO+link+2" TargetMode="External" Id="rId41"/><Relationship Type="http://schemas.openxmlformats.org/officeDocument/2006/relationships/hyperlink" Target="https://headfonics.com/?s=MUSE+HiFi+M3+Ultra" TargetMode="External" Id="rId42"/><Relationship Type="http://schemas.openxmlformats.org/officeDocument/2006/relationships/hyperlink" Target="https://headfonics.com/?s=xDuoo+Link3" TargetMode="External" Id="rId43"/><Relationship Type="http://schemas.openxmlformats.org/officeDocument/2006/relationships/hyperlink" Target="https://headfonics.com/?s=xDuoo+XP-2+Bal" TargetMode="External" Id="rId44"/><Relationship Type="http://schemas.openxmlformats.org/officeDocument/2006/relationships/hyperlink" Target="https://headfonics.com/?s=iBasso+PB6+MACAW" TargetMode="External" Id="rId45"/><Relationship Type="http://schemas.openxmlformats.org/officeDocument/2006/relationships/hyperlink" Target="https://headfonics.com/?s=HiBy+W4" TargetMode="External" Id="rId46"/><Relationship Type="http://schemas.openxmlformats.org/officeDocument/2006/relationships/hyperlink" Target="https://headfonics.com/?s=Questyle+SIGMA+Pro" TargetMode="External" Id="rId47"/><Relationship Type="http://schemas.openxmlformats.org/officeDocument/2006/relationships/hyperlink" Target="https://headfonics.com/?s=iBasso+D17+Atheris" TargetMode="External" Id="rId48"/><Relationship Type="http://schemas.openxmlformats.org/officeDocument/2006/relationships/hyperlink" Target="https://headfonics.com/?s=Cayin+RU3" TargetMode="External" Id="rId49"/><Relationship Type="http://schemas.openxmlformats.org/officeDocument/2006/relationships/hyperlink" Target="https://headfonics.com/?s=FiiO+SNOWSKY+Tiny" TargetMode="External" Id="rId50"/><Relationship Type="http://schemas.openxmlformats.org/officeDocument/2006/relationships/hyperlink" Target="https://headfonics.com/?s=Khadas+Tea+Pro" TargetMode="External" Id="rId51"/><Relationship Type="http://schemas.openxmlformats.org/officeDocument/2006/relationships/hyperlink" Target="https://headfonics.com/?s=ddHiFi+TC44Grip" TargetMode="External" Id="rId52"/><Relationship Type="http://schemas.openxmlformats.org/officeDocument/2006/relationships/hyperlink" Target="https://headfonics.com/?s=ddHiFi+TC44+Pro+E3" TargetMode="External" Id="rId53"/><Relationship Type="http://schemas.openxmlformats.org/officeDocument/2006/relationships/hyperlink" Target="https://headfonics.com/?s=xDuoo+Link10" TargetMode="External" Id="rId54"/><Relationship Type="http://schemas.openxmlformats.org/officeDocument/2006/relationships/hyperlink" Target="https://headfonics.com/?s=FiiO+JIEZI" TargetMode="External" Id="rId55"/><Relationship Type="http://schemas.openxmlformats.org/officeDocument/2006/relationships/hyperlink" Target="https://headfonics.com/?s=FiiO+SNOWSKY+Melody" TargetMode="External" Id="rId56"/><Relationship Type="http://schemas.openxmlformats.org/officeDocument/2006/relationships/hyperlink" Target="https://headfonics.com/?s=xDuoo+XD05+Basic2" TargetMode="External" Id="rId57"/><Relationship Type="http://schemas.openxmlformats.org/officeDocument/2006/relationships/hyperlink" Target="https://headfonics.com/?s=iBasso+Nunchaku" TargetMode="External" Id="rId58"/><Relationship Type="http://schemas.openxmlformats.org/officeDocument/2006/relationships/hyperlink" Target="https://headfonics.com/?s=NiPO+A100" TargetMode="External" Id="rId59"/><Relationship Type="http://schemas.openxmlformats.org/officeDocument/2006/relationships/hyperlink" Target="https://headfonics.com/?s=ddHiFi+TC44Pro+M3" TargetMode="External" Id="rId60"/><Relationship Type="http://schemas.openxmlformats.org/officeDocument/2006/relationships/hyperlink" Target="https://headfonics.com/?s=Cayin+RU9" TargetMode="External" Id="rId61"/><Relationship Type="http://schemas.openxmlformats.org/officeDocument/2006/relationships/hyperlink" Target="https://headfonics.com/?s=Shanling+UP6" TargetMode="External" Id="rId62"/><Relationship Type="http://schemas.openxmlformats.org/officeDocument/2006/relationships/hyperlink" Target="https://headfonics.com/?s=Questyle+M18i" TargetMode="External" Id="rId63"/><Relationship Type="http://schemas.openxmlformats.org/officeDocument/2006/relationships/hyperlink" Target="https://headfonics.com/?s=FiiO+RR11" TargetMode="External" Id="rId64"/><Relationship Type="http://schemas.openxmlformats.org/officeDocument/2006/relationships/hyperlink" Target="https://headfonics.com/?s=EarMen+L-Amp" TargetMode="External" Id="rId65"/><Relationship Type="http://schemas.openxmlformats.org/officeDocument/2006/relationships/hyperlink" Target="https://headfonics.com/?s=FiiO+SNOWSKY+RETRO+NANO" TargetMode="External" Id="rId66"/><Relationship Type="http://schemas.openxmlformats.org/officeDocument/2006/relationships/hyperlink" Target="https://headfonics.com/?s=Cayin+C9ii" TargetMode="External" Id="rId67"/><Relationship Type="http://schemas.openxmlformats.org/officeDocument/2006/relationships/hyperlink" Target="https://headfonics.com/?s=ddHiFi+TC35M2" TargetMode="External" Id="rId68"/><Relationship Type="http://schemas.openxmlformats.org/officeDocument/2006/relationships/hyperlink" Target="https://headfonics.com/?s=iFi+audio+GO+link+Max" TargetMode="External" Id="rId69"/><Relationship Type="http://schemas.openxmlformats.org/officeDocument/2006/relationships/hyperlink" Target="https://headfonics.com/?s=Heartfield+R1" TargetMode="External" Id="rId70"/><Relationship Type="http://schemas.openxmlformats.org/officeDocument/2006/relationships/hyperlink" Target="https://headfonics.com/?s=iBasso+PB5+Osprey" TargetMode="External" Id="rId71"/><Relationship Type="http://schemas.openxmlformats.org/officeDocument/2006/relationships/hyperlink" Target="https://headfonics.com/?s=FiiO+KA15" TargetMode="External" Id="rId72"/><Relationship Type="http://schemas.openxmlformats.org/officeDocument/2006/relationships/hyperlink" Target="https://headfonics.com/?s=TempoTec+Sonata+BHD+Pro" TargetMode="External" Id="rId73"/><Relationship Type="http://schemas.openxmlformats.org/officeDocument/2006/relationships/hyperlink" Target="https://headfonics.com/?s=iBasso+D16+Taipan" TargetMode="External" Id="rId74"/><Relationship Type="http://schemas.openxmlformats.org/officeDocument/2006/relationships/hyperlink" Target="https://headfonics.com/?s=7Hz+Artemis39" TargetMode="External" Id="rId75"/><Relationship Type="http://schemas.openxmlformats.org/officeDocument/2006/relationships/hyperlink" Target="https://headfonics.com/?s=SMSL+D10" TargetMode="External" Id="rId76"/><Relationship Type="http://schemas.openxmlformats.org/officeDocument/2006/relationships/hyperlink" Target="https://headfonics.com/?s=FiiO+JA11" TargetMode="External" Id="rId77"/><Relationship Type="http://schemas.openxmlformats.org/officeDocument/2006/relationships/hyperlink" Target="https://headfonics.com/?s=Shanling+H2" TargetMode="External" Id="rId78"/><Relationship Type="http://schemas.openxmlformats.org/officeDocument/2006/relationships/hyperlink" Target="https://headfonics.com/?s=LETSHUOER+DT03" TargetMode="External" Id="rId79"/><Relationship Type="http://schemas.openxmlformats.org/officeDocument/2006/relationships/hyperlink" Target="https://headfonics.com/?s=Kiwi+Ears+Allegro" TargetMode="External" Id="rId80"/><Relationship Type="http://schemas.openxmlformats.org/officeDocument/2006/relationships/hyperlink" Target="https://headfonics.com/?s=Hidizs+S8+Pro+Robin" TargetMode="External" Id="rId81"/><Relationship Type="http://schemas.openxmlformats.org/officeDocument/2006/relationships/hyperlink" Target="https://headfonics.com/?s=iFi+audio+GO+bar+Kensei" TargetMode="External" Id="rId82"/><Relationship Type="http://schemas.openxmlformats.org/officeDocument/2006/relationships/hyperlink" Target="https://headfonics.com/?s=ONIX+Mystic+XP1" TargetMode="External" Id="rId83"/><Relationship Type="http://schemas.openxmlformats.org/officeDocument/2006/relationships/hyperlink" Target="https://headfonics.com/?s=Shanling+UA4" TargetMode="External" Id="rId84"/><Relationship Type="http://schemas.openxmlformats.org/officeDocument/2006/relationships/hyperlink" Target="https://headfonics.com/?s=FiiO+KA11" TargetMode="External" Id="rId85"/><Relationship Type="http://schemas.openxmlformats.org/officeDocument/2006/relationships/hyperlink" Target="https://headfonics.com/?s=FiiO+KA17" TargetMode="External" Id="rId86"/><Relationship Type="http://schemas.openxmlformats.org/officeDocument/2006/relationships/hyperlink" Target="https://headfonics.com/?s=Colorfly+CDA-M2" TargetMode="External" Id="rId87"/><Relationship Type="http://schemas.openxmlformats.org/officeDocument/2006/relationships/hyperlink" Target="https://headfonics.com/?s=ddHiFi+TC44Pro+E2" TargetMode="External" Id="rId88"/><Relationship Type="http://schemas.openxmlformats.org/officeDocument/2006/relationships/hyperlink" Target="https://headfonics.com/?s=Hidizs+SD2" TargetMode="External" Id="rId89"/><Relationship Type="http://schemas.openxmlformats.org/officeDocument/2006/relationships/hyperlink" Target="https://headfonics.com/?s=Colorfly+CDA-M1P" TargetMode="External" Id="rId90"/><Relationship Type="http://schemas.openxmlformats.org/officeDocument/2006/relationships/hyperlink" Target="https://headfonics.com/?s=FiiO+Q15" TargetMode="External" Id="rId91"/><Relationship Type="http://schemas.openxmlformats.org/officeDocument/2006/relationships/hyperlink" Target="https://headfonics.com/?s=iFi+audio+iDSD+Diablo+2" TargetMode="External" Id="rId92"/><Relationship Type="http://schemas.openxmlformats.org/officeDocument/2006/relationships/hyperlink" Target="https://headfonics.com/?s=ddHiFi+TC35Pro+Eye2+%26+Mountain2" TargetMode="External" Id="rId93"/><Relationship Type="http://schemas.openxmlformats.org/officeDocument/2006/relationships/hyperlink" Target="https://headfonics.com/?s=Shanling+UA1+Plus" TargetMode="External" Id="rId94"/><Relationship Type="http://schemas.openxmlformats.org/officeDocument/2006/relationships/hyperlink" Target="https://headfonics.com/?s=iFi+audio+hip-dac+3" TargetMode="External" Id="rId95"/><Relationship Type="http://schemas.openxmlformats.org/officeDocument/2006/relationships/hyperlink" Target="https://headfonics.com/?s=Hidizs+S9+Pro+Plus+Martha" TargetMode="External" Id="rId96"/><Relationship Type="http://schemas.openxmlformats.org/officeDocument/2006/relationships/hyperlink" Target="https://headfonics.com/?s=xDuoo+XD05+Pro" TargetMode="External" Id="rId97"/><Relationship Type="http://schemas.openxmlformats.org/officeDocument/2006/relationships/hyperlink" Target="https://headfonics.com/?s=FiiO+KA13" TargetMode="External" Id="rId98"/><Relationship Type="http://schemas.openxmlformats.org/officeDocument/2006/relationships/hyperlink" Target="https://headfonics.com/?s=Audirect+Beam+4" TargetMode="External" Id="rId99"/><Relationship Type="http://schemas.openxmlformats.org/officeDocument/2006/relationships/hyperlink" Target="https://headfonics.com/?s=ddHiFi+TC44Pro" TargetMode="External" Id="rId100"/><Relationship Type="http://schemas.openxmlformats.org/officeDocument/2006/relationships/hyperlink" Target="https://headfonics.com/?s=Moondrop+Dawn+Pro" TargetMode="External" Id="rId101"/><Relationship Type="http://schemas.openxmlformats.org/officeDocument/2006/relationships/hyperlink" Target="https://headfonics.com/?s=Moondrop+MoonRiver+2%3A+Ti" TargetMode="External" Id="rId102"/><Relationship Type="http://schemas.openxmlformats.org/officeDocument/2006/relationships/hyperlink" Target="https://headfonics.com/?s=HiBy+FC6" TargetMode="External" Id="rId103"/><Relationship Type="http://schemas.openxmlformats.org/officeDocument/2006/relationships/hyperlink" Target="https://headfonics.com/?s=ddHiFi+TC35C" TargetMode="External" Id="rId104"/><Relationship Type="http://schemas.openxmlformats.org/officeDocument/2006/relationships/hyperlink" Target="https://headfonics.com/?s=FiiO+KA5" TargetMode="External" Id="rId105"/><Relationship Type="http://schemas.openxmlformats.org/officeDocument/2006/relationships/hyperlink" Target="https://headfonics.com/?s=FiiO+Q11" TargetMode="External" Id="rId106"/><Relationship Type="http://schemas.openxmlformats.org/officeDocument/2006/relationships/hyperlink" Target="https://headfonics.com/?s=iFi+audio+UNO" TargetMode="External" Id="rId107"/><Relationship Type="http://schemas.openxmlformats.org/officeDocument/2006/relationships/hyperlink" Target="https://headfonics.com/?s=7Hz+SEVENHERTZ+71" TargetMode="External" Id="rId108"/><Relationship Type="http://schemas.openxmlformats.org/officeDocument/2006/relationships/hyperlink" Target="https://headfonics.com/?s=Venture+Electronics+Megatron" TargetMode="External" Id="rId109"/><Relationship Type="http://schemas.openxmlformats.org/officeDocument/2006/relationships/hyperlink" Target="https://headfonics.com/?s=Shanling+H7" TargetMode="External" Id="rId110"/><Relationship Type="http://schemas.openxmlformats.org/officeDocument/2006/relationships/hyperlink" Target="https://headfonics.com/?s=iKKO+Zerda+ITM02" TargetMode="External" Id="rId111"/><Relationship Type="http://schemas.openxmlformats.org/officeDocument/2006/relationships/hyperlink" Target="https://headfonics.com/?s=Quloos+QLS+MC01" TargetMode="External" Id="rId112"/><Relationship Type="http://schemas.openxmlformats.org/officeDocument/2006/relationships/hyperlink" Target="https://headfonics.com/?s=Hidizs+XO" TargetMode="External" Id="rId113"/><Relationship Type="http://schemas.openxmlformats.org/officeDocument/2006/relationships/hyperlink" Target="https://headfonics.com/?s=FiiO+Q7" TargetMode="External" Id="rId114"/><Relationship Type="http://schemas.openxmlformats.org/officeDocument/2006/relationships/hyperlink" Target="https://headfonics.com/?s=EarMen+Angel" TargetMode="External" Id="rId115"/><Relationship Type="http://schemas.openxmlformats.org/officeDocument/2006/relationships/hyperlink" Target="https://headfonics.com/?s=Moondrop+Dawn" TargetMode="External" Id="rId116"/><Relationship Type="http://schemas.openxmlformats.org/officeDocument/2006/relationships/hyperlink" Target="https://headfonics.com/?s=FiiO+KA2" TargetMode="External" Id="rId117"/><Relationship Type="http://schemas.openxmlformats.org/officeDocument/2006/relationships/hyperlink" Target="https://headfonics.com/?s=ddHiFi+TC44A+Lightning+DAC" TargetMode="External" Id="rId118"/><Relationship Type="http://schemas.openxmlformats.org/officeDocument/2006/relationships/hyperlink" Target="https://headfonics.com/?s=xDuoo+Link2+Bal" TargetMode="External" Id="rId119"/><Relationship Type="http://schemas.openxmlformats.org/officeDocument/2006/relationships/hyperlink" Target="https://headfonics.com/?s=Shanling+UA3" TargetMode="External" Id="rId120"/><Relationship Type="http://schemas.openxmlformats.org/officeDocument/2006/relationships/hyperlink" Target="https://headfonics.com/?s=HiBy+FC4" TargetMode="External" Id="rId121"/><Relationship Type="http://schemas.openxmlformats.org/officeDocument/2006/relationships/hyperlink" Target="https://headfonics.com/?s=Questyle+M15" TargetMode="External" Id="rId122"/><Relationship Type="http://schemas.openxmlformats.org/officeDocument/2006/relationships/hyperlink" Target="https://headfonics.com/?s=iBasso+DC06" TargetMode="External" Id="rId123"/><Relationship Type="http://schemas.openxmlformats.org/officeDocument/2006/relationships/hyperlink" Target="https://headfonics.com/?s=Topping+NX7" TargetMode="External" Id="rId124"/><Relationship Type="http://schemas.openxmlformats.org/officeDocument/2006/relationships/hyperlink" Target="https://headfonics.com/?s=Moondrop+MoonRiver+2" TargetMode="External" Id="rId125"/><Relationship Type="http://schemas.openxmlformats.org/officeDocument/2006/relationships/hyperlink" Target="https://headfonics.com/?s=Colorfly+CDA+M1" TargetMode="External" Id="rId126"/><Relationship Type="http://schemas.openxmlformats.org/officeDocument/2006/relationships/hyperlink" Target="https://headfonics.com/?s=FiiO+KA1" TargetMode="External" Id="rId127"/><Relationship Type="http://schemas.openxmlformats.org/officeDocument/2006/relationships/hyperlink" Target="https://headfonics.com/?s=iFi+audio+GO+bar" TargetMode="External" Id="rId128"/><Relationship Type="http://schemas.openxmlformats.org/officeDocument/2006/relationships/hyperlink" Target="https://headfonics.com/?s=Hilidac+Audirect+Beam+3+Plus" TargetMode="External" Id="rId129"/><Relationship Type="http://schemas.openxmlformats.org/officeDocument/2006/relationships/hyperlink" Target="https://headfonics.com/?s=ddHiFi+TC44C" TargetMode="External" Id="rId130"/><Relationship Type="http://schemas.openxmlformats.org/officeDocument/2006/relationships/hyperlink" Target="https://headfonics.com/?s=Shanling+UA5" TargetMode="External" Id="rId131"/><Relationship Type="http://schemas.openxmlformats.org/officeDocument/2006/relationships/hyperlink" Target="https://headfonics.com/?s=TempoTec+Sonata+E35" TargetMode="External" Id="rId132"/><Relationship Type="http://schemas.openxmlformats.org/officeDocument/2006/relationships/hyperlink" Target="https://headfonics.com/?s=Astell%26Kern+USB-C+Dual+DAC+Cable+PEE51" TargetMode="External" Id="rId133"/><Relationship Type="http://schemas.openxmlformats.org/officeDocument/2006/relationships/hyperlink" Target="https://headfonics.com/?s=Hilidac+Audirect+Beam+3+PRO" TargetMode="External" Id="rId134"/><Relationship Type="http://schemas.openxmlformats.org/officeDocument/2006/relationships/hyperlink" Target="https://headfonics.com/?s=EarMen+Colibri" TargetMode="External" Id="rId135"/><Relationship Type="http://schemas.openxmlformats.org/officeDocument/2006/relationships/hyperlink" Target="https://headfonics.com/?s=Swan+Song+Audio+Mini+Black" TargetMode="External" Id="rId136"/><Relationship Type="http://schemas.openxmlformats.org/officeDocument/2006/relationships/hyperlink" Target="https://headfonics.com/?s=iFi+audio+xDSD+Gryphon" TargetMode="External" Id="rId137"/><Relationship Type="http://schemas.openxmlformats.org/officeDocument/2006/relationships/hyperlink" Target="https://headfonics.com/?s=Khadas+Tea" TargetMode="External" Id="rId138"/><Relationship Type="http://schemas.openxmlformats.org/officeDocument/2006/relationships/hyperlink" Target="https://headfonics.com/?s=HiBy+FC5" TargetMode="External" Id="rId139"/><Relationship Type="http://schemas.openxmlformats.org/officeDocument/2006/relationships/hyperlink" Target="https://headfonics.com/?s=Chord+Mojo+2" TargetMode="External" Id="rId140"/><Relationship Type="http://schemas.openxmlformats.org/officeDocument/2006/relationships/hyperlink" Target="https://headfonics.com/?s=Cayin+RU6" TargetMode="External" Id="rId141"/><Relationship Type="http://schemas.openxmlformats.org/officeDocument/2006/relationships/hyperlink" Target="https://headfonics.com/?s=iBasso+DC05" TargetMode="External" Id="rId142"/><Relationship Type="http://schemas.openxmlformats.org/officeDocument/2006/relationships/hyperlink" Target="https://headfonics.com/?s=FiiO+KA3" TargetMode="External" Id="rId143"/><Relationship Type="http://schemas.openxmlformats.org/officeDocument/2006/relationships/hyperlink" Target="https://headfonics.com/?s=iFi+audio+hip-dac2" TargetMode="External" Id="rId144"/><Relationship Type="http://schemas.openxmlformats.org/officeDocument/2006/relationships/hyperlink" Target="https://headfonics.com/?s=Hidizs+S9+Pro+Copper" TargetMode="External" Id="rId145"/><Relationship Type="http://schemas.openxmlformats.org/officeDocument/2006/relationships/hyperlink" Target="https://headfonics.com/?s=Periodic+Audio+Rhodium+DAC" TargetMode="External" Id="rId146"/><Relationship Type="http://schemas.openxmlformats.org/officeDocument/2006/relationships/hyperlink" Target="https://headfonics.com/?s=Hidizs+DH80s" TargetMode="External" Id="rId147"/><Relationship Type="http://schemas.openxmlformats.org/officeDocument/2006/relationships/hyperlink" Target="https://headfonics.com/?s=Questyle+M12" TargetMode="External" Id="rId148"/><Relationship Type="http://schemas.openxmlformats.org/officeDocument/2006/relationships/hyperlink" Target="https://headfonics.com/?s=FiiO+E10K+TC" TargetMode="External" Id="rId149"/><Relationship Type="http://schemas.openxmlformats.org/officeDocument/2006/relationships/hyperlink" Target="https://headfonics.com/?s=Shanling+UA2" TargetMode="External" Id="rId150"/><Relationship Type="http://schemas.openxmlformats.org/officeDocument/2006/relationships/hyperlink" Target="https://headfonics.com/?s=FiiO+New+K3" TargetMode="External" Id="rId151"/><Relationship Type="http://schemas.openxmlformats.org/officeDocument/2006/relationships/hyperlink" Target="https://headfonics.com/?s=ddHiFi+TC35+Pro+Tetris" TargetMode="External" Id="rId152"/><Relationship Type="http://schemas.openxmlformats.org/officeDocument/2006/relationships/hyperlink" Target="https://headfonics.com/?s=Helm+Audio+Bolt" TargetMode="External" Id="rId153"/><Relationship Type="http://schemas.openxmlformats.org/officeDocument/2006/relationships/hyperlink" Target="https://headfonics.com/?s=Luxury+%26+Precision+W2" TargetMode="External" Id="rId154"/><Relationship Type="http://schemas.openxmlformats.org/officeDocument/2006/relationships/hyperlink" Target="https://headfonics.com/?s=Hidizs+S9+Pro" TargetMode="External" Id="rId155"/><Relationship Type="http://schemas.openxmlformats.org/officeDocument/2006/relationships/hyperlink" Target="https://headfonics.com/?s=Hidizs+S3+Pro" TargetMode="External" Id="rId156"/><Relationship Type="http://schemas.openxmlformats.org/officeDocument/2006/relationships/hyperlink" Target="https://headfonics.com/?s=iFi+audio+iDSD+Diablo" TargetMode="External" Id="rId157"/><Relationship Type="http://schemas.openxmlformats.org/officeDocument/2006/relationships/hyperlink" Target="https://headfonics.com/?s=Phatlab+Chimera" TargetMode="External" Id="rId158"/><Relationship Type="http://schemas.openxmlformats.org/officeDocument/2006/relationships/hyperlink" Target="https://headfonics.com/?s=HiBy+FC3" TargetMode="External" Id="rId159"/><Relationship Type="http://schemas.openxmlformats.org/officeDocument/2006/relationships/hyperlink" Target="https://headfonics.com/?s=Khadas+Tone2+Pro" TargetMode="External" Id="rId160"/><Relationship Type="http://schemas.openxmlformats.org/officeDocument/2006/relationships/hyperlink" Target="https://headfonics.com/?s=Hidizs+DH80" TargetMode="External" Id="rId161"/><Relationship Type="http://schemas.openxmlformats.org/officeDocument/2006/relationships/hyperlink" Target="https://headfonics.com/?s=iBasso+DC04" TargetMode="External" Id="rId162"/><Relationship Type="http://schemas.openxmlformats.org/officeDocument/2006/relationships/hyperlink" Target="https://headfonics.com/?s=HiBy+FD1+%26+Beans" TargetMode="External" Id="rId163"/></Relationships>
</file>

<file path=xl/worksheets/_rels/sheet8.xml.rels><Relationships xmlns="http://schemas.openxmlformats.org/package/2006/relationships"><Relationship Type="http://schemas.openxmlformats.org/officeDocument/2006/relationships/hyperlink" Target="https://headfonics.com/category/portable-amps-dacs/" TargetMode="External" Id="rId1"/><Relationship Type="http://schemas.openxmlformats.org/officeDocument/2006/relationships/hyperlink" Target="https://headfonics.com/?s=Questyle+M18i+Max" TargetMode="External" Id="rId2"/><Relationship Type="http://schemas.openxmlformats.org/officeDocument/2006/relationships/hyperlink" Target="https://headfonics.com/category/portable-amps-dacs/" TargetMode="External" Id="rId3"/><Relationship Type="http://schemas.openxmlformats.org/officeDocument/2006/relationships/hyperlink" Target="https://headfonics.com/?s=AFUL+ICEBORNE" TargetMode="External" Id="rId4"/><Relationship Type="http://schemas.openxmlformats.org/officeDocument/2006/relationships/hyperlink" Target="https://headfonics.com/category/portable-amps-dacs/" TargetMode="External" Id="rId5"/><Relationship Type="http://schemas.openxmlformats.org/officeDocument/2006/relationships/hyperlink" Target="https://headfonics.com/?s=Fosi+Audio+MD3" TargetMode="External" Id="rId6"/><Relationship Type="http://schemas.openxmlformats.org/officeDocument/2006/relationships/hyperlink" Target="https://headfonics.com/category/portable-amps-dacs/" TargetMode="External" Id="rId7"/><Relationship Type="http://schemas.openxmlformats.org/officeDocument/2006/relationships/hyperlink" Target="https://headfonics.com/?s=iFi+audio+GO+link+2" TargetMode="External" Id="rId8"/><Relationship Type="http://schemas.openxmlformats.org/officeDocument/2006/relationships/hyperlink" Target="https://headfonics.com/category/portable-amps-dacs/" TargetMode="External" Id="rId9"/><Relationship Type="http://schemas.openxmlformats.org/officeDocument/2006/relationships/hyperlink" Target="https://headfonics.com/?s=MUSE+HiFi+M3+Ultra" TargetMode="External" Id="rId10"/><Relationship Type="http://schemas.openxmlformats.org/officeDocument/2006/relationships/hyperlink" Target="https://headfonics.com/category/portable-amps-dacs/" TargetMode="External" Id="rId11"/><Relationship Type="http://schemas.openxmlformats.org/officeDocument/2006/relationships/hyperlink" Target="https://headfonics.com/?s=xDuoo+Link3" TargetMode="External" Id="rId12"/><Relationship Type="http://schemas.openxmlformats.org/officeDocument/2006/relationships/hyperlink" Target="https://headfonics.com/category/portable-amps-dacs/" TargetMode="External" Id="rId13"/><Relationship Type="http://schemas.openxmlformats.org/officeDocument/2006/relationships/hyperlink" Target="https://headfonics.com/?s=xDuoo+XP-2+Bal" TargetMode="External" Id="rId14"/><Relationship Type="http://schemas.openxmlformats.org/officeDocument/2006/relationships/hyperlink" Target="https://headfonics.com/category/portable-amps-dacs/" TargetMode="External" Id="rId15"/><Relationship Type="http://schemas.openxmlformats.org/officeDocument/2006/relationships/hyperlink" Target="https://headfonics.com/?s=Moondrop+Moonriver+3" TargetMode="External" Id="rId16"/><Relationship Type="http://schemas.openxmlformats.org/officeDocument/2006/relationships/hyperlink" Target="https://headfonics.com/category/portable-amps-dacs/" TargetMode="External" Id="rId17"/><Relationship Type="http://schemas.openxmlformats.org/officeDocument/2006/relationships/hyperlink" Target="https://headfonics.com/?s=iBasso+PB6+MACAW" TargetMode="External" Id="rId18"/><Relationship Type="http://schemas.openxmlformats.org/officeDocument/2006/relationships/hyperlink" Target="https://headfonics.com/category/portable-amps-dacs/" TargetMode="External" Id="rId19"/><Relationship Type="http://schemas.openxmlformats.org/officeDocument/2006/relationships/hyperlink" Target="https://headfonics.com/?s=HiBy+W4" TargetMode="External" Id="rId20"/><Relationship Type="http://schemas.openxmlformats.org/officeDocument/2006/relationships/hyperlink" Target="https://headfonics.com/category/portable-amps-dacs/" TargetMode="External" Id="rId21"/><Relationship Type="http://schemas.openxmlformats.org/officeDocument/2006/relationships/hyperlink" Target="https://headfonics.com/?s=Questyle+SIGMA+Pro" TargetMode="External" Id="rId22"/><Relationship Type="http://schemas.openxmlformats.org/officeDocument/2006/relationships/hyperlink" Target="https://headfonics.com/category/portable-amps-dacs/" TargetMode="External" Id="rId23"/><Relationship Type="http://schemas.openxmlformats.org/officeDocument/2006/relationships/hyperlink" Target="https://headfonics.com/?s=Shanling+UA7" TargetMode="External" Id="rId24"/><Relationship Type="http://schemas.openxmlformats.org/officeDocument/2006/relationships/hyperlink" Target="https://headfonics.com/category/portable-amps-dacs/" TargetMode="External" Id="rId25"/><Relationship Type="http://schemas.openxmlformats.org/officeDocument/2006/relationships/hyperlink" Target="https://headfonics.com/?s=iBasso+D17+Atheris" TargetMode="External" Id="rId26"/><Relationship Type="http://schemas.openxmlformats.org/officeDocument/2006/relationships/hyperlink" Target="https://headfonics.com/category/portable-amps-dacs/" TargetMode="External" Id="rId27"/><Relationship Type="http://schemas.openxmlformats.org/officeDocument/2006/relationships/hyperlink" Target="https://headfonics.com/?s=Cayin+RU3" TargetMode="External" Id="rId28"/><Relationship Type="http://schemas.openxmlformats.org/officeDocument/2006/relationships/hyperlink" Target="https://headfonics.com/category/portable-amps-dacs/" TargetMode="External" Id="rId29"/><Relationship Type="http://schemas.openxmlformats.org/officeDocument/2006/relationships/hyperlink" Target="https://headfonics.com/?s=FiiO+SNOWSKY+Tiny" TargetMode="External" Id="rId30"/><Relationship Type="http://schemas.openxmlformats.org/officeDocument/2006/relationships/hyperlink" Target="https://headfonics.com/category/portable-amps-dacs/" TargetMode="External" Id="rId31"/><Relationship Type="http://schemas.openxmlformats.org/officeDocument/2006/relationships/hyperlink" Target="https://headfonics.com/?s=ONIX+Beta+XI2" TargetMode="External" Id="rId32"/><Relationship Type="http://schemas.openxmlformats.org/officeDocument/2006/relationships/hyperlink" Target="https://headfonics.com/category/portable-amps-dacs/" TargetMode="External" Id="rId33"/><Relationship Type="http://schemas.openxmlformats.org/officeDocument/2006/relationships/hyperlink" Target="https://headfonics.com/?s=Khadas+Tea+Pro" TargetMode="External" Id="rId34"/><Relationship Type="http://schemas.openxmlformats.org/officeDocument/2006/relationships/hyperlink" Target="https://headfonics.com/category/portable-amps-dacs/" TargetMode="External" Id="rId35"/><Relationship Type="http://schemas.openxmlformats.org/officeDocument/2006/relationships/hyperlink" Target="https://headfonics.com/?s=ddHiFi+TC44Grip" TargetMode="External" Id="rId36"/><Relationship Type="http://schemas.openxmlformats.org/officeDocument/2006/relationships/hyperlink" Target="https://headfonics.com/category/portable-amps-dacs/" TargetMode="External" Id="rId37"/><Relationship Type="http://schemas.openxmlformats.org/officeDocument/2006/relationships/hyperlink" Target="https://headfonics.com/?s=MUSE+HiFi+M6+Double" TargetMode="External" Id="rId38"/><Relationship Type="http://schemas.openxmlformats.org/officeDocument/2006/relationships/hyperlink" Target="https://headfonics.com/category/portable-amps-dacs/" TargetMode="External" Id="rId39"/><Relationship Type="http://schemas.openxmlformats.org/officeDocument/2006/relationships/hyperlink" Target="https://headfonics.com/?s=ddHiFi+TC44+Pro+E3" TargetMode="External" Id="rId40"/><Relationship Type="http://schemas.openxmlformats.org/officeDocument/2006/relationships/hyperlink" Target="https://headfonics.com/category/portable-amps-dacs/" TargetMode="External" Id="rId41"/><Relationship Type="http://schemas.openxmlformats.org/officeDocument/2006/relationships/hyperlink" Target="https://headfonics.com/?s=xDuoo+Link10" TargetMode="External" Id="rId42"/><Relationship Type="http://schemas.openxmlformats.org/officeDocument/2006/relationships/hyperlink" Target="https://headfonics.com/category/portable-amps-dacs/page/2/" TargetMode="External" Id="rId43"/><Relationship Type="http://schemas.openxmlformats.org/officeDocument/2006/relationships/hyperlink" Target="https://headfonics.com/?s=FiiO+JIEZI" TargetMode="External" Id="rId44"/><Relationship Type="http://schemas.openxmlformats.org/officeDocument/2006/relationships/hyperlink" Target="https://headfonics.com/category/portable-amps-dacs/page/2/" TargetMode="External" Id="rId45"/><Relationship Type="http://schemas.openxmlformats.org/officeDocument/2006/relationships/hyperlink" Target="https://headfonics.com/?s=FiiO+SNOWSKY+Melody" TargetMode="External" Id="rId46"/><Relationship Type="http://schemas.openxmlformats.org/officeDocument/2006/relationships/hyperlink" Target="https://headfonics.com/category/portable-amps-dacs/page/2/" TargetMode="External" Id="rId47"/><Relationship Type="http://schemas.openxmlformats.org/officeDocument/2006/relationships/hyperlink" Target="https://headfonics.com/?s=SMSL+DS20" TargetMode="External" Id="rId48"/><Relationship Type="http://schemas.openxmlformats.org/officeDocument/2006/relationships/hyperlink" Target="https://headfonics.com/category/portable-amps-dacs/page/2/" TargetMode="External" Id="rId49"/><Relationship Type="http://schemas.openxmlformats.org/officeDocument/2006/relationships/hyperlink" Target="https://headfonics.com/?s=FiiO+QX13" TargetMode="External" Id="rId50"/><Relationship Type="http://schemas.openxmlformats.org/officeDocument/2006/relationships/hyperlink" Target="https://headfonics.com/category/portable-amps-dacs/page/2/" TargetMode="External" Id="rId51"/><Relationship Type="http://schemas.openxmlformats.org/officeDocument/2006/relationships/hyperlink" Target="https://headfonics.com/?s=xDuoo+XD05+Basic2" TargetMode="External" Id="rId52"/><Relationship Type="http://schemas.openxmlformats.org/officeDocument/2006/relationships/hyperlink" Target="https://headfonics.com/category/portable-amps-dacs/page/2/" TargetMode="External" Id="rId53"/><Relationship Type="http://schemas.openxmlformats.org/officeDocument/2006/relationships/hyperlink" Target="https://headfonics.com/?s=iBasso+Nunchaku" TargetMode="External" Id="rId54"/><Relationship Type="http://schemas.openxmlformats.org/officeDocument/2006/relationships/hyperlink" Target="https://headfonics.com/category/portable-amps-dacs/page/2/" TargetMode="External" Id="rId55"/><Relationship Type="http://schemas.openxmlformats.org/officeDocument/2006/relationships/hyperlink" Target="https://headfonics.com/?s=NiPO+A100" TargetMode="External" Id="rId56"/><Relationship Type="http://schemas.openxmlformats.org/officeDocument/2006/relationships/hyperlink" Target="https://headfonics.com/category/portable-amps-dacs/page/2/" TargetMode="External" Id="rId57"/><Relationship Type="http://schemas.openxmlformats.org/officeDocument/2006/relationships/hyperlink" Target="https://headfonics.com/?s=ddHiFi+TC44Pro+M3" TargetMode="External" Id="rId58"/><Relationship Type="http://schemas.openxmlformats.org/officeDocument/2006/relationships/hyperlink" Target="https://headfonics.com/category/portable-amps-dacs/page/2/" TargetMode="External" Id="rId59"/><Relationship Type="http://schemas.openxmlformats.org/officeDocument/2006/relationships/hyperlink" Target="https://headfonics.com/?s=Cayin+RU9" TargetMode="External" Id="rId60"/><Relationship Type="http://schemas.openxmlformats.org/officeDocument/2006/relationships/hyperlink" Target="https://headfonics.com/category/portable-amps-dacs/page/2/" TargetMode="External" Id="rId61"/><Relationship Type="http://schemas.openxmlformats.org/officeDocument/2006/relationships/hyperlink" Target="https://headfonics.com/?s=Shanling+UP6" TargetMode="External" Id="rId62"/><Relationship Type="http://schemas.openxmlformats.org/officeDocument/2006/relationships/hyperlink" Target="https://headfonics.com/category/portable-amps-dacs/page/2/" TargetMode="External" Id="rId63"/><Relationship Type="http://schemas.openxmlformats.org/officeDocument/2006/relationships/hyperlink" Target="https://headfonics.com/?s=MUSE+HiFi+M5+Ultra" TargetMode="External" Id="rId64"/><Relationship Type="http://schemas.openxmlformats.org/officeDocument/2006/relationships/hyperlink" Target="https://headfonics.com/category/portable-amps-dacs/page/2/" TargetMode="External" Id="rId65"/><Relationship Type="http://schemas.openxmlformats.org/officeDocument/2006/relationships/hyperlink" Target="https://headfonics.com/?s=Questyle+M18i" TargetMode="External" Id="rId66"/><Relationship Type="http://schemas.openxmlformats.org/officeDocument/2006/relationships/hyperlink" Target="https://headfonics.com/category/portable-amps-dacs/page/2/" TargetMode="External" Id="rId67"/><Relationship Type="http://schemas.openxmlformats.org/officeDocument/2006/relationships/hyperlink" Target="https://headfonics.com/?s=FiiO+RR11" TargetMode="External" Id="rId68"/><Relationship Type="http://schemas.openxmlformats.org/officeDocument/2006/relationships/hyperlink" Target="https://headfonics.com/category/portable-amps-dacs/page/2/" TargetMode="External" Id="rId69"/><Relationship Type="http://schemas.openxmlformats.org/officeDocument/2006/relationships/hyperlink" Target="https://headfonics.com/?s=EarMen+L-Amp" TargetMode="External" Id="rId70"/><Relationship Type="http://schemas.openxmlformats.org/officeDocument/2006/relationships/hyperlink" Target="https://headfonics.com/category/portable-amps-dacs/page/2/" TargetMode="External" Id="rId71"/><Relationship Type="http://schemas.openxmlformats.org/officeDocument/2006/relationships/hyperlink" Target="https://headfonics.com/?s=FiiO+SNOWSKY+RETRO+NANO" TargetMode="External" Id="rId72"/><Relationship Type="http://schemas.openxmlformats.org/officeDocument/2006/relationships/hyperlink" Target="https://headfonics.com/category/portable-amps-dacs/page/2/" TargetMode="External" Id="rId73"/><Relationship Type="http://schemas.openxmlformats.org/officeDocument/2006/relationships/hyperlink" Target="https://headfonics.com/?s=Cayin+C9ii" TargetMode="External" Id="rId74"/><Relationship Type="http://schemas.openxmlformats.org/officeDocument/2006/relationships/hyperlink" Target="https://headfonics.com/category/portable-amps-dacs/page/2/" TargetMode="External" Id="rId75"/><Relationship Type="http://schemas.openxmlformats.org/officeDocument/2006/relationships/hyperlink" Target="https://headfonics.com/?s=ddHiFi+TC35M2" TargetMode="External" Id="rId76"/><Relationship Type="http://schemas.openxmlformats.org/officeDocument/2006/relationships/hyperlink" Target="https://headfonics.com/category/portable-amps-dacs/page/2/" TargetMode="External" Id="rId77"/><Relationship Type="http://schemas.openxmlformats.org/officeDocument/2006/relationships/hyperlink" Target="https://headfonics.com/?s=iFi+audio+GO+link+Max" TargetMode="External" Id="rId78"/><Relationship Type="http://schemas.openxmlformats.org/officeDocument/2006/relationships/hyperlink" Target="https://headfonics.com/category/portable-amps-dacs/page/2/" TargetMode="External" Id="rId79"/><Relationship Type="http://schemas.openxmlformats.org/officeDocument/2006/relationships/hyperlink" Target="https://headfonics.com/?s=Heartfield+R1" TargetMode="External" Id="rId80"/><Relationship Type="http://schemas.openxmlformats.org/officeDocument/2006/relationships/hyperlink" Target="https://headfonics.com/category/portable-amps-dacs/page/2/" TargetMode="External" Id="rId81"/><Relationship Type="http://schemas.openxmlformats.org/officeDocument/2006/relationships/hyperlink" Target="https://headfonics.com/?s=Questyle+M15C" TargetMode="External" Id="rId82"/><Relationship Type="http://schemas.openxmlformats.org/officeDocument/2006/relationships/hyperlink" Target="https://headfonics.com/category/portable-amps-dacs/page/3/" TargetMode="External" Id="rId83"/><Relationship Type="http://schemas.openxmlformats.org/officeDocument/2006/relationships/hyperlink" Target="https://headfonics.com/?s=iBasso+PB5+Osprey" TargetMode="External" Id="rId84"/><Relationship Type="http://schemas.openxmlformats.org/officeDocument/2006/relationships/hyperlink" Target="https://headfonics.com/category/portable-amps-dacs/page/3/" TargetMode="External" Id="rId85"/><Relationship Type="http://schemas.openxmlformats.org/officeDocument/2006/relationships/hyperlink" Target="https://headfonics.com/?s=FiiO+KA15" TargetMode="External" Id="rId86"/><Relationship Type="http://schemas.openxmlformats.org/officeDocument/2006/relationships/hyperlink" Target="https://headfonics.com/category/portable-amps-dacs/page/3/" TargetMode="External" Id="rId87"/><Relationship Type="http://schemas.openxmlformats.org/officeDocument/2006/relationships/hyperlink" Target="https://headfonics.com/?s=TempoTec+Sonata+BHD+Pro" TargetMode="External" Id="rId88"/><Relationship Type="http://schemas.openxmlformats.org/officeDocument/2006/relationships/hyperlink" Target="https://headfonics.com/category/portable-amps-dacs/page/3/" TargetMode="External" Id="rId89"/><Relationship Type="http://schemas.openxmlformats.org/officeDocument/2006/relationships/hyperlink" Target="https://headfonics.com/?s=ONIX+Alpha+XI1" TargetMode="External" Id="rId90"/><Relationship Type="http://schemas.openxmlformats.org/officeDocument/2006/relationships/hyperlink" Target="https://headfonics.com/category/portable-amps-dacs/page/3/" TargetMode="External" Id="rId91"/><Relationship Type="http://schemas.openxmlformats.org/officeDocument/2006/relationships/hyperlink" Target="https://headfonics.com/?s=iBasso+D16+Taipan" TargetMode="External" Id="rId92"/><Relationship Type="http://schemas.openxmlformats.org/officeDocument/2006/relationships/hyperlink" Target="https://headfonics.com/category/portable-amps-dacs/page/3/" TargetMode="External" Id="rId93"/><Relationship Type="http://schemas.openxmlformats.org/officeDocument/2006/relationships/hyperlink" Target="https://headfonics.com/?s=7Hz+Artemis39" TargetMode="External" Id="rId94"/><Relationship Type="http://schemas.openxmlformats.org/officeDocument/2006/relationships/hyperlink" Target="https://headfonics.com/category/portable-amps-dacs/page/3/" TargetMode="External" Id="rId95"/><Relationship Type="http://schemas.openxmlformats.org/officeDocument/2006/relationships/hyperlink" Target="https://headfonics.com/?s=SMSL+D10" TargetMode="External" Id="rId96"/><Relationship Type="http://schemas.openxmlformats.org/officeDocument/2006/relationships/hyperlink" Target="https://headfonics.com/category/portable-amps-dacs/page/3/" TargetMode="External" Id="rId97"/><Relationship Type="http://schemas.openxmlformats.org/officeDocument/2006/relationships/hyperlink" Target="https://headfonics.com/?s=FiiO+JA11" TargetMode="External" Id="rId98"/><Relationship Type="http://schemas.openxmlformats.org/officeDocument/2006/relationships/hyperlink" Target="https://headfonics.com/category/portable-amps-dacs/page/3/" TargetMode="External" Id="rId99"/><Relationship Type="http://schemas.openxmlformats.org/officeDocument/2006/relationships/hyperlink" Target="https://headfonics.com/?s=Shanling+H2" TargetMode="External" Id="rId100"/><Relationship Type="http://schemas.openxmlformats.org/officeDocument/2006/relationships/hyperlink" Target="https://headfonics.com/category/portable-amps-dacs/page/3/" TargetMode="External" Id="rId101"/><Relationship Type="http://schemas.openxmlformats.org/officeDocument/2006/relationships/hyperlink" Target="https://headfonics.com/?s=iBasso+DC-Elite" TargetMode="External" Id="rId102"/><Relationship Type="http://schemas.openxmlformats.org/officeDocument/2006/relationships/hyperlink" Target="https://headfonics.com/category/portable-amps-dacs/page/3/" TargetMode="External" Id="rId103"/><Relationship Type="http://schemas.openxmlformats.org/officeDocument/2006/relationships/hyperlink" Target="https://headfonics.com/?s=LETSHUOER+DT03" TargetMode="External" Id="rId104"/><Relationship Type="http://schemas.openxmlformats.org/officeDocument/2006/relationships/hyperlink" Target="https://headfonics.com/category/portable-amps-dacs/page/3/" TargetMode="External" Id="rId105"/><Relationship Type="http://schemas.openxmlformats.org/officeDocument/2006/relationships/hyperlink" Target="https://headfonics.com/?s=Kiwi+Ears+Allegro" TargetMode="External" Id="rId106"/><Relationship Type="http://schemas.openxmlformats.org/officeDocument/2006/relationships/hyperlink" Target="https://headfonics.com/category/portable-amps-dacs/page/3/" TargetMode="External" Id="rId107"/><Relationship Type="http://schemas.openxmlformats.org/officeDocument/2006/relationships/hyperlink" Target="https://headfonics.com/?s=Hidizs+S8+Pro+Robin" TargetMode="External" Id="rId108"/><Relationship Type="http://schemas.openxmlformats.org/officeDocument/2006/relationships/hyperlink" Target="https://headfonics.com/category/portable-amps-dacs/page/3/" TargetMode="External" Id="rId109"/><Relationship Type="http://schemas.openxmlformats.org/officeDocument/2006/relationships/hyperlink" Target="https://headfonics.com/?s=iFi+audio+GO+bar+Kensei" TargetMode="External" Id="rId110"/><Relationship Type="http://schemas.openxmlformats.org/officeDocument/2006/relationships/hyperlink" Target="https://headfonics.com/category/portable-amps-dacs/page/3/" TargetMode="External" Id="rId111"/><Relationship Type="http://schemas.openxmlformats.org/officeDocument/2006/relationships/hyperlink" Target="https://headfonics.com/?s=ONIX+Mystic+XP1" TargetMode="External" Id="rId112"/><Relationship Type="http://schemas.openxmlformats.org/officeDocument/2006/relationships/hyperlink" Target="https://headfonics.com/category/portable-amps-dacs/page/3/" TargetMode="External" Id="rId113"/><Relationship Type="http://schemas.openxmlformats.org/officeDocument/2006/relationships/hyperlink" Target="https://headfonics.com/?s=Shanling+UA4" TargetMode="External" Id="rId114"/><Relationship Type="http://schemas.openxmlformats.org/officeDocument/2006/relationships/hyperlink" Target="https://headfonics.com/category/portable-amps-dacs/page/3/" TargetMode="External" Id="rId115"/><Relationship Type="http://schemas.openxmlformats.org/officeDocument/2006/relationships/hyperlink" Target="https://headfonics.com/?s=FiiO+KA11" TargetMode="External" Id="rId116"/><Relationship Type="http://schemas.openxmlformats.org/officeDocument/2006/relationships/hyperlink" Target="https://headfonics.com/category/portable-amps-dacs/page/3/" TargetMode="External" Id="rId117"/><Relationship Type="http://schemas.openxmlformats.org/officeDocument/2006/relationships/hyperlink" Target="https://headfonics.com/?s=FiiO+KA17" TargetMode="External" Id="rId118"/><Relationship Type="http://schemas.openxmlformats.org/officeDocument/2006/relationships/hyperlink" Target="https://headfonics.com/category/portable-amps-dacs/page/3/" TargetMode="External" Id="rId119"/><Relationship Type="http://schemas.openxmlformats.org/officeDocument/2006/relationships/hyperlink" Target="https://headfonics.com/?s=Colorfly+CDA-M2" TargetMode="External" Id="rId120"/><Relationship Type="http://schemas.openxmlformats.org/officeDocument/2006/relationships/hyperlink" Target="https://headfonics.com/category/portable-amps-dacs/page/3/" TargetMode="External" Id="rId121"/><Relationship Type="http://schemas.openxmlformats.org/officeDocument/2006/relationships/hyperlink" Target="https://headfonics.com/?s=ddHiFi+TC44Pro+E2" TargetMode="External" Id="rId122"/><Relationship Type="http://schemas.openxmlformats.org/officeDocument/2006/relationships/hyperlink" Target="https://headfonics.com/category/portable-amps-dacs/page/4/" TargetMode="External" Id="rId123"/><Relationship Type="http://schemas.openxmlformats.org/officeDocument/2006/relationships/hyperlink" Target="https://headfonics.com/?s=Hidizs+SD2" TargetMode="External" Id="rId124"/><Relationship Type="http://schemas.openxmlformats.org/officeDocument/2006/relationships/hyperlink" Target="https://headfonics.com/category/portable-amps-dacs/page/4/" TargetMode="External" Id="rId125"/><Relationship Type="http://schemas.openxmlformats.org/officeDocument/2006/relationships/hyperlink" Target="https://headfonics.com/?s=Colorfly+CDA-M1P" TargetMode="External" Id="rId126"/><Relationship Type="http://schemas.openxmlformats.org/officeDocument/2006/relationships/hyperlink" Target="https://headfonics.com/category/portable-amps-dacs/page/4/" TargetMode="External" Id="rId127"/><Relationship Type="http://schemas.openxmlformats.org/officeDocument/2006/relationships/hyperlink" Target="https://headfonics.com/?s=FiiO+Q15" TargetMode="External" Id="rId128"/><Relationship Type="http://schemas.openxmlformats.org/officeDocument/2006/relationships/hyperlink" Target="https://headfonics.com/category/portable-amps-dacs/page/4/" TargetMode="External" Id="rId129"/><Relationship Type="http://schemas.openxmlformats.org/officeDocument/2006/relationships/hyperlink" Target="https://headfonics.com/?s=iFi+audio+iDSD+Diablo+2" TargetMode="External" Id="rId130"/><Relationship Type="http://schemas.openxmlformats.org/officeDocument/2006/relationships/hyperlink" Target="https://headfonics.com/category/portable-amps-dacs/page/4/" TargetMode="External" Id="rId131"/><Relationship Type="http://schemas.openxmlformats.org/officeDocument/2006/relationships/hyperlink" Target="https://headfonics.com/?s=ddHiFi+TC35Pro+Eye2+%26+Mountain2" TargetMode="External" Id="rId132"/><Relationship Type="http://schemas.openxmlformats.org/officeDocument/2006/relationships/hyperlink" Target="https://headfonics.com/category/portable-amps-dacs/page/4/" TargetMode="External" Id="rId133"/><Relationship Type="http://schemas.openxmlformats.org/officeDocument/2006/relationships/hyperlink" Target="https://headfonics.com/?s=Shanling+UA1+Plus" TargetMode="External" Id="rId134"/><Relationship Type="http://schemas.openxmlformats.org/officeDocument/2006/relationships/hyperlink" Target="https://headfonics.com/category/portable-amps-dacs/page/4/" TargetMode="External" Id="rId135"/><Relationship Type="http://schemas.openxmlformats.org/officeDocument/2006/relationships/hyperlink" Target="https://headfonics.com/?s=iFi+audio+hip-dac+3" TargetMode="External" Id="rId136"/><Relationship Type="http://schemas.openxmlformats.org/officeDocument/2006/relationships/hyperlink" Target="https://headfonics.com/category/portable-amps-dacs/page/4/" TargetMode="External" Id="rId137"/><Relationship Type="http://schemas.openxmlformats.org/officeDocument/2006/relationships/hyperlink" Target="https://headfonics.com/?s=Hidizs+S9+Pro+Plus+Martha" TargetMode="External" Id="rId138"/><Relationship Type="http://schemas.openxmlformats.org/officeDocument/2006/relationships/hyperlink" Target="https://headfonics.com/category/portable-amps-dacs/page/4/" TargetMode="External" Id="rId139"/><Relationship Type="http://schemas.openxmlformats.org/officeDocument/2006/relationships/hyperlink" Target="https://headfonics.com/?s=xDuoo+XD05+Pro" TargetMode="External" Id="rId140"/><Relationship Type="http://schemas.openxmlformats.org/officeDocument/2006/relationships/hyperlink" Target="https://headfonics.com/category/portable-amps-dacs/page/4/" TargetMode="External" Id="rId141"/><Relationship Type="http://schemas.openxmlformats.org/officeDocument/2006/relationships/hyperlink" Target="https://headfonics.com/?s=FiiO+KA13" TargetMode="External" Id="rId142"/><Relationship Type="http://schemas.openxmlformats.org/officeDocument/2006/relationships/hyperlink" Target="https://headfonics.com/category/portable-amps-dacs/page/4/" TargetMode="External" Id="rId143"/><Relationship Type="http://schemas.openxmlformats.org/officeDocument/2006/relationships/hyperlink" Target="https://headfonics.com/?s=Audirect+Beam+4" TargetMode="External" Id="rId144"/><Relationship Type="http://schemas.openxmlformats.org/officeDocument/2006/relationships/hyperlink" Target="https://headfonics.com/category/portable-amps-dacs/page/4/" TargetMode="External" Id="rId145"/><Relationship Type="http://schemas.openxmlformats.org/officeDocument/2006/relationships/hyperlink" Target="https://headfonics.com/?s=ddHiFi+TC44Pro" TargetMode="External" Id="rId146"/><Relationship Type="http://schemas.openxmlformats.org/officeDocument/2006/relationships/hyperlink" Target="https://headfonics.com/category/portable-amps-dacs/page/4/" TargetMode="External" Id="rId147"/><Relationship Type="http://schemas.openxmlformats.org/officeDocument/2006/relationships/hyperlink" Target="https://headfonics.com/?s=Moondrop+Dawn+Pro" TargetMode="External" Id="rId148"/><Relationship Type="http://schemas.openxmlformats.org/officeDocument/2006/relationships/hyperlink" Target="https://headfonics.com/category/portable-amps-dacs/page/4/" TargetMode="External" Id="rId149"/><Relationship Type="http://schemas.openxmlformats.org/officeDocument/2006/relationships/hyperlink" Target="https://headfonics.com/?s=Shanling+H5" TargetMode="External" Id="rId150"/><Relationship Type="http://schemas.openxmlformats.org/officeDocument/2006/relationships/hyperlink" Target="https://headfonics.com/category/portable-amps-dacs/page/4/" TargetMode="External" Id="rId151"/><Relationship Type="http://schemas.openxmlformats.org/officeDocument/2006/relationships/hyperlink" Target="https://headfonics.com/?s=xDuoo+XD05+BAL+2" TargetMode="External" Id="rId152"/><Relationship Type="http://schemas.openxmlformats.org/officeDocument/2006/relationships/hyperlink" Target="https://headfonics.com/category/portable-amps-dacs/page/4/" TargetMode="External" Id="rId153"/><Relationship Type="http://schemas.openxmlformats.org/officeDocument/2006/relationships/hyperlink" Target="https://headfonics.com/?s=Moondrop+MoonRiver+2%3A+Ti" TargetMode="External" Id="rId154"/><Relationship Type="http://schemas.openxmlformats.org/officeDocument/2006/relationships/hyperlink" Target="https://headfonics.com/category/portable-amps-dacs/page/4/" TargetMode="External" Id="rId155"/><Relationship Type="http://schemas.openxmlformats.org/officeDocument/2006/relationships/hyperlink" Target="https://headfonics.com/?s=Cayin+RU7" TargetMode="External" Id="rId156"/><Relationship Type="http://schemas.openxmlformats.org/officeDocument/2006/relationships/hyperlink" Target="https://headfonics.com/category/portable-amps-dacs/page/4/" TargetMode="External" Id="rId157"/><Relationship Type="http://schemas.openxmlformats.org/officeDocument/2006/relationships/hyperlink" Target="https://headfonics.com/?s=HiBy+FC6" TargetMode="External" Id="rId158"/><Relationship Type="http://schemas.openxmlformats.org/officeDocument/2006/relationships/hyperlink" Target="https://headfonics.com/category/portable-amps-dacs/page/4/" TargetMode="External" Id="rId159"/><Relationship Type="http://schemas.openxmlformats.org/officeDocument/2006/relationships/hyperlink" Target="https://headfonics.com/?s=ddHiFi+TC35C" TargetMode="External" Id="rId160"/><Relationship Type="http://schemas.openxmlformats.org/officeDocument/2006/relationships/hyperlink" Target="https://headfonics.com/category/portable-amps-dacs/page/4/" TargetMode="External" Id="rId161"/><Relationship Type="http://schemas.openxmlformats.org/officeDocument/2006/relationships/hyperlink" Target="https://headfonics.com/?s=FiiO+KA5" TargetMode="External" Id="rId162"/><Relationship Type="http://schemas.openxmlformats.org/officeDocument/2006/relationships/hyperlink" Target="https://headfonics.com/category/portable-amps-dacs/page/5/" TargetMode="External" Id="rId163"/><Relationship Type="http://schemas.openxmlformats.org/officeDocument/2006/relationships/hyperlink" Target="https://headfonics.com/?s=FiiO+Q11" TargetMode="External" Id="rId164"/><Relationship Type="http://schemas.openxmlformats.org/officeDocument/2006/relationships/hyperlink" Target="https://headfonics.com/category/portable-amps-dacs/page/5/" TargetMode="External" Id="rId165"/><Relationship Type="http://schemas.openxmlformats.org/officeDocument/2006/relationships/hyperlink" Target="https://headfonics.com/?s=iFi+audio+UNO" TargetMode="External" Id="rId166"/><Relationship Type="http://schemas.openxmlformats.org/officeDocument/2006/relationships/hyperlink" Target="https://headfonics.com/category/portable-amps-dacs/page/5/" TargetMode="External" Id="rId167"/><Relationship Type="http://schemas.openxmlformats.org/officeDocument/2006/relationships/hyperlink" Target="https://headfonics.com/?s=7Hz+SEVENHERTZ+71" TargetMode="External" Id="rId168"/><Relationship Type="http://schemas.openxmlformats.org/officeDocument/2006/relationships/hyperlink" Target="https://headfonics.com/category/portable-amps-dacs/page/5/" TargetMode="External" Id="rId169"/><Relationship Type="http://schemas.openxmlformats.org/officeDocument/2006/relationships/hyperlink" Target="https://headfonics.com/?s=Venture+Electronics+Megatron" TargetMode="External" Id="rId170"/><Relationship Type="http://schemas.openxmlformats.org/officeDocument/2006/relationships/hyperlink" Target="https://headfonics.com/category/portable-amps-dacs/page/5/" TargetMode="External" Id="rId171"/><Relationship Type="http://schemas.openxmlformats.org/officeDocument/2006/relationships/hyperlink" Target="https://headfonics.com/?s=Shanling+H7" TargetMode="External" Id="rId172"/><Relationship Type="http://schemas.openxmlformats.org/officeDocument/2006/relationships/hyperlink" Target="https://headfonics.com/category/portable-amps-dacs/page/5/" TargetMode="External" Id="rId173"/><Relationship Type="http://schemas.openxmlformats.org/officeDocument/2006/relationships/hyperlink" Target="https://headfonics.com/?s=iKKO+Zerda+ITM02" TargetMode="External" Id="rId174"/><Relationship Type="http://schemas.openxmlformats.org/officeDocument/2006/relationships/hyperlink" Target="https://headfonics.com/category/portable-amps-dacs/page/5/" TargetMode="External" Id="rId175"/><Relationship Type="http://schemas.openxmlformats.org/officeDocument/2006/relationships/hyperlink" Target="https://headfonics.com/?s=Quloos+QLS+MC01" TargetMode="External" Id="rId176"/><Relationship Type="http://schemas.openxmlformats.org/officeDocument/2006/relationships/hyperlink" Target="https://headfonics.com/category/portable-amps-dacs/page/5/" TargetMode="External" Id="rId177"/><Relationship Type="http://schemas.openxmlformats.org/officeDocument/2006/relationships/hyperlink" Target="https://headfonics.com/?s=Hidizs+XO" TargetMode="External" Id="rId178"/><Relationship Type="http://schemas.openxmlformats.org/officeDocument/2006/relationships/hyperlink" Target="https://headfonics.com/category/portable-amps-dacs/page/5/" TargetMode="External" Id="rId179"/><Relationship Type="http://schemas.openxmlformats.org/officeDocument/2006/relationships/hyperlink" Target="https://headfonics.com/?s=FiiO+Q7" TargetMode="External" Id="rId180"/><Relationship Type="http://schemas.openxmlformats.org/officeDocument/2006/relationships/hyperlink" Target="https://headfonics.com/category/portable-amps-dacs/page/5/" TargetMode="External" Id="rId181"/><Relationship Type="http://schemas.openxmlformats.org/officeDocument/2006/relationships/hyperlink" Target="https://headfonics.com/?s=EarMen+Angel" TargetMode="External" Id="rId182"/><Relationship Type="http://schemas.openxmlformats.org/officeDocument/2006/relationships/hyperlink" Target="https://headfonics.com/category/portable-amps-dacs/page/5/" TargetMode="External" Id="rId183"/><Relationship Type="http://schemas.openxmlformats.org/officeDocument/2006/relationships/hyperlink" Target="https://headfonics.com/?s=Moondrop+Dawn" TargetMode="External" Id="rId184"/><Relationship Type="http://schemas.openxmlformats.org/officeDocument/2006/relationships/hyperlink" Target="https://headfonics.com/category/portable-amps-dacs/page/5/" TargetMode="External" Id="rId185"/><Relationship Type="http://schemas.openxmlformats.org/officeDocument/2006/relationships/hyperlink" Target="https://headfonics.com/?s=FiiO+KA2" TargetMode="External" Id="rId186"/><Relationship Type="http://schemas.openxmlformats.org/officeDocument/2006/relationships/hyperlink" Target="https://headfonics.com/category/portable-amps-dacs/page/5/" TargetMode="External" Id="rId187"/><Relationship Type="http://schemas.openxmlformats.org/officeDocument/2006/relationships/hyperlink" Target="https://headfonics.com/?s=ddHiFi+TC44A+Lightning+DAC" TargetMode="External" Id="rId188"/><Relationship Type="http://schemas.openxmlformats.org/officeDocument/2006/relationships/hyperlink" Target="https://headfonics.com/category/portable-amps-dacs/page/5/" TargetMode="External" Id="rId189"/><Relationship Type="http://schemas.openxmlformats.org/officeDocument/2006/relationships/hyperlink" Target="https://headfonics.com/?s=xDuoo+Link2+Bal" TargetMode="External" Id="rId190"/><Relationship Type="http://schemas.openxmlformats.org/officeDocument/2006/relationships/hyperlink" Target="https://headfonics.com/category/portable-amps-dacs/page/5/" TargetMode="External" Id="rId191"/><Relationship Type="http://schemas.openxmlformats.org/officeDocument/2006/relationships/hyperlink" Target="https://headfonics.com/?s=Shanling+UA3" TargetMode="External" Id="rId192"/><Relationship Type="http://schemas.openxmlformats.org/officeDocument/2006/relationships/hyperlink" Target="https://headfonics.com/category/portable-amps-dacs/page/5/" TargetMode="External" Id="rId193"/><Relationship Type="http://schemas.openxmlformats.org/officeDocument/2006/relationships/hyperlink" Target="https://headfonics.com/?s=HiBy+FC4" TargetMode="External" Id="rId194"/><Relationship Type="http://schemas.openxmlformats.org/officeDocument/2006/relationships/hyperlink" Target="https://headfonics.com/category/portable-amps-dacs/page/5/" TargetMode="External" Id="rId195"/><Relationship Type="http://schemas.openxmlformats.org/officeDocument/2006/relationships/hyperlink" Target="https://headfonics.com/?s=Questyle+M15" TargetMode="External" Id="rId196"/><Relationship Type="http://schemas.openxmlformats.org/officeDocument/2006/relationships/hyperlink" Target="https://headfonics.com/category/portable-amps-dacs/page/5/" TargetMode="External" Id="rId197"/><Relationship Type="http://schemas.openxmlformats.org/officeDocument/2006/relationships/hyperlink" Target="https://headfonics.com/?s=iBasso+DC06" TargetMode="External" Id="rId198"/><Relationship Type="http://schemas.openxmlformats.org/officeDocument/2006/relationships/hyperlink" Target="https://headfonics.com/category/portable-amps-dacs/page/5/" TargetMode="External" Id="rId199"/><Relationship Type="http://schemas.openxmlformats.org/officeDocument/2006/relationships/hyperlink" Target="https://headfonics.com/?s=xDuoo+POKE+II" TargetMode="External" Id="rId200"/><Relationship Type="http://schemas.openxmlformats.org/officeDocument/2006/relationships/hyperlink" Target="https://headfonics.com/category/portable-amps-dacs/page/5/" TargetMode="External" Id="rId201"/><Relationship Type="http://schemas.openxmlformats.org/officeDocument/2006/relationships/hyperlink" Target="https://headfonics.com/?s=Topping+NX7" TargetMode="External" Id="rId202"/><Relationship Type="http://schemas.openxmlformats.org/officeDocument/2006/relationships/hyperlink" Target="https://headfonics.com/category/portable-amps-dacs/page/6/" TargetMode="External" Id="rId203"/><Relationship Type="http://schemas.openxmlformats.org/officeDocument/2006/relationships/hyperlink" Target="https://headfonics.com/?s=Moondrop+MoonRiver+2" TargetMode="External" Id="rId204"/><Relationship Type="http://schemas.openxmlformats.org/officeDocument/2006/relationships/hyperlink" Target="https://headfonics.com/category/portable-amps-dacs/page/6/" TargetMode="External" Id="rId205"/><Relationship Type="http://schemas.openxmlformats.org/officeDocument/2006/relationships/hyperlink" Target="https://headfonics.com/?s=Colorfly+CDA+M1" TargetMode="External" Id="rId206"/><Relationship Type="http://schemas.openxmlformats.org/officeDocument/2006/relationships/hyperlink" Target="https://headfonics.com/category/portable-amps-dacs/page/6/" TargetMode="External" Id="rId207"/><Relationship Type="http://schemas.openxmlformats.org/officeDocument/2006/relationships/hyperlink" Target="https://headfonics.com/?s=FiiO+KA1" TargetMode="External" Id="rId208"/><Relationship Type="http://schemas.openxmlformats.org/officeDocument/2006/relationships/hyperlink" Target="https://headfonics.com/category/portable-amps-dacs/page/6/" TargetMode="External" Id="rId209"/><Relationship Type="http://schemas.openxmlformats.org/officeDocument/2006/relationships/hyperlink" Target="https://headfonics.com/?s=iFi+audio+GO+bar" TargetMode="External" Id="rId210"/><Relationship Type="http://schemas.openxmlformats.org/officeDocument/2006/relationships/hyperlink" Target="https://headfonics.com/category/portable-amps-dacs/page/6/" TargetMode="External" Id="rId211"/><Relationship Type="http://schemas.openxmlformats.org/officeDocument/2006/relationships/hyperlink" Target="https://headfonics.com/?s=Hilidac+Audirect+Beam+3+Plus" TargetMode="External" Id="rId212"/><Relationship Type="http://schemas.openxmlformats.org/officeDocument/2006/relationships/hyperlink" Target="https://headfonics.com/category/portable-amps-dacs/page/6/" TargetMode="External" Id="rId213"/><Relationship Type="http://schemas.openxmlformats.org/officeDocument/2006/relationships/hyperlink" Target="https://headfonics.com/?s=ddHiFi+TC44C" TargetMode="External" Id="rId214"/><Relationship Type="http://schemas.openxmlformats.org/officeDocument/2006/relationships/hyperlink" Target="https://headfonics.com/category/portable-amps-dacs/page/6/" TargetMode="External" Id="rId215"/><Relationship Type="http://schemas.openxmlformats.org/officeDocument/2006/relationships/hyperlink" Target="https://headfonics.com/?s=Shanling+UA5" TargetMode="External" Id="rId216"/><Relationship Type="http://schemas.openxmlformats.org/officeDocument/2006/relationships/hyperlink" Target="https://headfonics.com/category/portable-amps-dacs/page/6/" TargetMode="External" Id="rId217"/><Relationship Type="http://schemas.openxmlformats.org/officeDocument/2006/relationships/hyperlink" Target="https://headfonics.com/?s=TempoTec+Sonata+E35" TargetMode="External" Id="rId218"/><Relationship Type="http://schemas.openxmlformats.org/officeDocument/2006/relationships/hyperlink" Target="https://headfonics.com/category/portable-amps-dacs/page/6/" TargetMode="External" Id="rId219"/><Relationship Type="http://schemas.openxmlformats.org/officeDocument/2006/relationships/hyperlink" Target="https://headfonics.com/?s=Astell%26Kern+USB-C+Dual+DAC+Cable+PEE51" TargetMode="External" Id="rId220"/><Relationship Type="http://schemas.openxmlformats.org/officeDocument/2006/relationships/hyperlink" Target="https://headfonics.com/category/portable-amps-dacs/page/6/" TargetMode="External" Id="rId221"/><Relationship Type="http://schemas.openxmlformats.org/officeDocument/2006/relationships/hyperlink" Target="https://headfonics.com/?s=Hilidac+Audirect+Beam+3+PRO" TargetMode="External" Id="rId222"/><Relationship Type="http://schemas.openxmlformats.org/officeDocument/2006/relationships/hyperlink" Target="https://headfonics.com/category/portable-amps-dacs/page/6/" TargetMode="External" Id="rId223"/><Relationship Type="http://schemas.openxmlformats.org/officeDocument/2006/relationships/hyperlink" Target="https://headfonics.com/?s=EarMen+Colibri" TargetMode="External" Id="rId224"/><Relationship Type="http://schemas.openxmlformats.org/officeDocument/2006/relationships/hyperlink" Target="https://headfonics.com/category/portable-amps-dacs/page/6/" TargetMode="External" Id="rId225"/><Relationship Type="http://schemas.openxmlformats.org/officeDocument/2006/relationships/hyperlink" Target="https://headfonics.com/?s=Swan+Song+Audio+Mini+Black" TargetMode="External" Id="rId226"/><Relationship Type="http://schemas.openxmlformats.org/officeDocument/2006/relationships/hyperlink" Target="https://headfonics.com/category/portable-amps-dacs/page/6/" TargetMode="External" Id="rId227"/><Relationship Type="http://schemas.openxmlformats.org/officeDocument/2006/relationships/hyperlink" Target="https://headfonics.com/?s=iFi+audio+xDSD+Gryphon" TargetMode="External" Id="rId228"/><Relationship Type="http://schemas.openxmlformats.org/officeDocument/2006/relationships/hyperlink" Target="https://headfonics.com/category/portable-amps-dacs/page/6/" TargetMode="External" Id="rId229"/><Relationship Type="http://schemas.openxmlformats.org/officeDocument/2006/relationships/hyperlink" Target="https://headfonics.com/?s=Khadas+Tea" TargetMode="External" Id="rId230"/><Relationship Type="http://schemas.openxmlformats.org/officeDocument/2006/relationships/hyperlink" Target="https://headfonics.com/category/portable-amps-dacs/page/6/" TargetMode="External" Id="rId231"/><Relationship Type="http://schemas.openxmlformats.org/officeDocument/2006/relationships/hyperlink" Target="https://headfonics.com/?s=HiBy+FC5" TargetMode="External" Id="rId232"/><Relationship Type="http://schemas.openxmlformats.org/officeDocument/2006/relationships/hyperlink" Target="https://headfonics.com/category/portable-amps-dacs/page/6/" TargetMode="External" Id="rId233"/><Relationship Type="http://schemas.openxmlformats.org/officeDocument/2006/relationships/hyperlink" Target="https://headfonics.com/?s=Chord+Mojo+2" TargetMode="External" Id="rId234"/><Relationship Type="http://schemas.openxmlformats.org/officeDocument/2006/relationships/hyperlink" Target="https://headfonics.com/category/portable-amps-dacs/page/6/" TargetMode="External" Id="rId235"/><Relationship Type="http://schemas.openxmlformats.org/officeDocument/2006/relationships/hyperlink" Target="https://headfonics.com/?s=Cayin+RU6" TargetMode="External" Id="rId236"/><Relationship Type="http://schemas.openxmlformats.org/officeDocument/2006/relationships/hyperlink" Target="https://headfonics.com/category/portable-amps-dacs/page/6/" TargetMode="External" Id="rId237"/><Relationship Type="http://schemas.openxmlformats.org/officeDocument/2006/relationships/hyperlink" Target="https://headfonics.com/?s=iBasso+DC05" TargetMode="External" Id="rId238"/><Relationship Type="http://schemas.openxmlformats.org/officeDocument/2006/relationships/hyperlink" Target="https://headfonics.com/category/portable-amps-dacs/page/6/" TargetMode="External" Id="rId239"/><Relationship Type="http://schemas.openxmlformats.org/officeDocument/2006/relationships/hyperlink" Target="https://headfonics.com/?s=FiiO+KA3" TargetMode="External" Id="rId240"/><Relationship Type="http://schemas.openxmlformats.org/officeDocument/2006/relationships/hyperlink" Target="https://headfonics.com/category/portable-amps-dacs/page/6/" TargetMode="External" Id="rId241"/><Relationship Type="http://schemas.openxmlformats.org/officeDocument/2006/relationships/hyperlink" Target="https://headfonics.com/?s=iFi+audio+hip-dac2" TargetMode="External" Id="rId242"/><Relationship Type="http://schemas.openxmlformats.org/officeDocument/2006/relationships/hyperlink" Target="https://headfonics.com/category/portable-amps-dacs/page/7/" TargetMode="External" Id="rId243"/><Relationship Type="http://schemas.openxmlformats.org/officeDocument/2006/relationships/hyperlink" Target="https://headfonics.com/?s=Hidizs+S9+Pro+Copper" TargetMode="External" Id="rId244"/><Relationship Type="http://schemas.openxmlformats.org/officeDocument/2006/relationships/hyperlink" Target="https://headfonics.com/category/portable-amps-dacs/page/7/" TargetMode="External" Id="rId245"/><Relationship Type="http://schemas.openxmlformats.org/officeDocument/2006/relationships/hyperlink" Target="https://headfonics.com/?s=Periodic+Audio+Rhodium+DAC" TargetMode="External" Id="rId246"/><Relationship Type="http://schemas.openxmlformats.org/officeDocument/2006/relationships/hyperlink" Target="https://headfonics.com/category/portable-amps-dacs/page/7/" TargetMode="External" Id="rId247"/><Relationship Type="http://schemas.openxmlformats.org/officeDocument/2006/relationships/hyperlink" Target="https://headfonics.com/?s=Hidizs+DH80s" TargetMode="External" Id="rId248"/><Relationship Type="http://schemas.openxmlformats.org/officeDocument/2006/relationships/hyperlink" Target="https://headfonics.com/category/portable-amps-dacs/page/7/" TargetMode="External" Id="rId249"/><Relationship Type="http://schemas.openxmlformats.org/officeDocument/2006/relationships/hyperlink" Target="https://headfonics.com/?s=Questyle+M12" TargetMode="External" Id="rId250"/><Relationship Type="http://schemas.openxmlformats.org/officeDocument/2006/relationships/hyperlink" Target="https://headfonics.com/category/portable-amps-dacs/page/7/" TargetMode="External" Id="rId251"/><Relationship Type="http://schemas.openxmlformats.org/officeDocument/2006/relationships/hyperlink" Target="https://headfonics.com/?s=FiiO+E10K+TC" TargetMode="External" Id="rId252"/><Relationship Type="http://schemas.openxmlformats.org/officeDocument/2006/relationships/hyperlink" Target="https://headfonics.com/category/portable-amps-dacs/page/7/" TargetMode="External" Id="rId253"/><Relationship Type="http://schemas.openxmlformats.org/officeDocument/2006/relationships/hyperlink" Target="https://headfonics.com/?s=Shanling+UA2" TargetMode="External" Id="rId254"/><Relationship Type="http://schemas.openxmlformats.org/officeDocument/2006/relationships/hyperlink" Target="https://headfonics.com/category/portable-amps-dacs/page/7/" TargetMode="External" Id="rId255"/><Relationship Type="http://schemas.openxmlformats.org/officeDocument/2006/relationships/hyperlink" Target="https://headfonics.com/?s=FiiO+New+K3" TargetMode="External" Id="rId256"/><Relationship Type="http://schemas.openxmlformats.org/officeDocument/2006/relationships/hyperlink" Target="https://headfonics.com/category/portable-amps-dacs/page/7/" TargetMode="External" Id="rId257"/><Relationship Type="http://schemas.openxmlformats.org/officeDocument/2006/relationships/hyperlink" Target="https://headfonics.com/?s=ddHiFi+TC35+Pro+Tetris" TargetMode="External" Id="rId258"/><Relationship Type="http://schemas.openxmlformats.org/officeDocument/2006/relationships/hyperlink" Target="https://headfonics.com/category/portable-amps-dacs/page/7/" TargetMode="External" Id="rId259"/><Relationship Type="http://schemas.openxmlformats.org/officeDocument/2006/relationships/hyperlink" Target="https://headfonics.com/?s=Helm+Audio+Bolt" TargetMode="External" Id="rId260"/><Relationship Type="http://schemas.openxmlformats.org/officeDocument/2006/relationships/hyperlink" Target="https://headfonics.com/category/portable-amps-dacs/page/7/" TargetMode="External" Id="rId261"/><Relationship Type="http://schemas.openxmlformats.org/officeDocument/2006/relationships/hyperlink" Target="https://headfonics.com/?s=Luxury+%26+Precision+W2" TargetMode="External" Id="rId262"/><Relationship Type="http://schemas.openxmlformats.org/officeDocument/2006/relationships/hyperlink" Target="https://headfonics.com/category/portable-amps-dacs/page/7/" TargetMode="External" Id="rId263"/><Relationship Type="http://schemas.openxmlformats.org/officeDocument/2006/relationships/hyperlink" Target="https://headfonics.com/?s=Hidizs+S9+Pro" TargetMode="External" Id="rId264"/><Relationship Type="http://schemas.openxmlformats.org/officeDocument/2006/relationships/hyperlink" Target="https://headfonics.com/category/portable-amps-dacs/page/7/" TargetMode="External" Id="rId265"/><Relationship Type="http://schemas.openxmlformats.org/officeDocument/2006/relationships/hyperlink" Target="https://headfonics.com/?s=Hidizs+S3+Pro" TargetMode="External" Id="rId266"/><Relationship Type="http://schemas.openxmlformats.org/officeDocument/2006/relationships/hyperlink" Target="https://headfonics.com/category/portable-amps-dacs/page/7/" TargetMode="External" Id="rId267"/><Relationship Type="http://schemas.openxmlformats.org/officeDocument/2006/relationships/hyperlink" Target="https://headfonics.com/?s=iFi+audio+iDSD+Diablo" TargetMode="External" Id="rId268"/><Relationship Type="http://schemas.openxmlformats.org/officeDocument/2006/relationships/hyperlink" Target="https://headfonics.com/category/portable-amps-dacs/page/7/" TargetMode="External" Id="rId269"/><Relationship Type="http://schemas.openxmlformats.org/officeDocument/2006/relationships/hyperlink" Target="https://headfonics.com/?s=Phatlab+Chimera" TargetMode="External" Id="rId270"/><Relationship Type="http://schemas.openxmlformats.org/officeDocument/2006/relationships/hyperlink" Target="https://headfonics.com/category/portable-amps-dacs/page/7/" TargetMode="External" Id="rId271"/><Relationship Type="http://schemas.openxmlformats.org/officeDocument/2006/relationships/hyperlink" Target="https://headfonics.com/?s=HiBy+FC3" TargetMode="External" Id="rId272"/><Relationship Type="http://schemas.openxmlformats.org/officeDocument/2006/relationships/hyperlink" Target="https://headfonics.com/category/portable-amps-dacs/page/7/" TargetMode="External" Id="rId273"/><Relationship Type="http://schemas.openxmlformats.org/officeDocument/2006/relationships/hyperlink" Target="https://headfonics.com/?s=Khadas+Tone2+Pro" TargetMode="External" Id="rId274"/><Relationship Type="http://schemas.openxmlformats.org/officeDocument/2006/relationships/hyperlink" Target="https://headfonics.com/category/portable-amps-dacs/page/7/" TargetMode="External" Id="rId275"/><Relationship Type="http://schemas.openxmlformats.org/officeDocument/2006/relationships/hyperlink" Target="https://headfonics.com/?s=Hidizs+DH80" TargetMode="External" Id="rId276"/><Relationship Type="http://schemas.openxmlformats.org/officeDocument/2006/relationships/hyperlink" Target="https://headfonics.com/category/portable-amps-dacs/page/7/" TargetMode="External" Id="rId277"/><Relationship Type="http://schemas.openxmlformats.org/officeDocument/2006/relationships/hyperlink" Target="https://headfonics.com/?s=iBasso+DC04" TargetMode="External" Id="rId278"/><Relationship Type="http://schemas.openxmlformats.org/officeDocument/2006/relationships/hyperlink" Target="https://headfonics.com/category/portable-amps-dacs/page/7/" TargetMode="External" Id="rId279"/><Relationship Type="http://schemas.openxmlformats.org/officeDocument/2006/relationships/hyperlink" Target="https://headfonics.com/?s=HiBy+FD1+%26+Beans" TargetMode="External" Id="rId280"/><Relationship Type="http://schemas.openxmlformats.org/officeDocument/2006/relationships/hyperlink" Target="https://headfonics.com/category/portable-amps-dacs/page/7/" TargetMode="External" Id="rId281"/></Relationships>
</file>

<file path=xl/worksheets/_rels/sheet10.xml.rels><Relationships xmlns="http://schemas.openxmlformats.org/package/2006/relationships"><Relationship Type="http://schemas.openxmlformats.org/officeDocument/2006/relationships/hyperlink" Target="https://headfonics.com/cayin-n7-review/" TargetMode="External" Id="rId1"/><Relationship Type="http://schemas.openxmlformats.org/officeDocument/2006/relationships/hyperlink" Target="https://headfonics.com/topping-l70-review/" TargetMode="External" Id="rId2"/><Relationship Type="http://schemas.openxmlformats.org/officeDocument/2006/relationships/hyperlink" Target="https://www.audiophonics.fr/fr/amplificateurs-casque-mobiles/ibasso-dc-elite-p-18544.html" TargetMode="External" Id="rId3"/><Relationship Type="http://schemas.openxmlformats.org/officeDocument/2006/relationships/hyperlink" Target="https://moonstarreviews.net/quloos-mub1-review/" TargetMode="External" Id="rId4"/><Relationship Type="http://schemas.openxmlformats.org/officeDocument/2006/relationships/hyperlink" Target="https://headfonics.com/cayin-ru7-review/" TargetMode="External" Id="rId5"/><Relationship Type="http://schemas.openxmlformats.org/officeDocument/2006/relationships/hyperlink" Target="https://www.headfonia.com/dethonray-clarinet-review/" TargetMode="External" Id="rId6"/><Relationship Type="http://schemas.openxmlformats.org/officeDocument/2006/relationships/hyperlink" Target="https://www.audiophonics.fr/fr/dac-portables/moondrop-moonriver-3-p-21677.html" TargetMode="External" Id="rId7"/><Relationship Type="http://schemas.openxmlformats.org/officeDocument/2006/relationships/hyperlink" Target="https://www.audiophonics.fr/fr/dac-portables/shanling-onix-beta-xi2-p-21159.html" TargetMode="External" Id="rId8"/><Relationship Type="http://schemas.openxmlformats.org/officeDocument/2006/relationships/hyperlink" Target="https://www.audiophonics.fr/fr/dac-portables/musehifi-m6-p-21634.html" TargetMode="External" Id="rId9"/><Relationship Type="http://schemas.openxmlformats.org/officeDocument/2006/relationships/hyperlink" Target="https://www.audiophonics.fr/fr/dac-portables/questyle-m15i-p-19563.html" TargetMode="External" Id="rId10"/><Relationship Type="http://schemas.openxmlformats.org/officeDocument/2006/relationships/hyperlink" Target="https://www.headfonia.com/shanling-ua7-review/" TargetMode="External" Id="rId11"/><Relationship Type="http://schemas.openxmlformats.org/officeDocument/2006/relationships/hyperlink" Target="https://www.audiophonics.fr/fr/dac-portables/ibasso-dc07pro-noir-p-19619.html" TargetMode="External" Id="rId12"/><Relationship Type="http://schemas.openxmlformats.org/officeDocument/2006/relationships/hyperlink" Target="https://www.audiophonics.fr/fr/dac-portables/shanling-ua6-ii-p-22362.html" TargetMode="External" Id="rId13"/><Relationship Type="http://schemas.openxmlformats.org/officeDocument/2006/relationships/hyperlink" Target="https://www.audiophonics.fr/fr/dac-portables/shanling-onix-alpha-xi1-p-19347.html" TargetMode="External" Id="rId14"/><Relationship Type="http://schemas.openxmlformats.org/officeDocument/2006/relationships/hyperlink" Target="https://xduoo.net/preview/xd05-bal2" TargetMode="External" Id="rId15"/><Relationship Type="http://schemas.openxmlformats.org/officeDocument/2006/relationships/hyperlink" Target="https://www.dethonray.com/products/dac/pegasus-sg1/" TargetMode="External" Id="rId16"/><Relationship Type="http://schemas.openxmlformats.org/officeDocument/2006/relationships/hyperlink" Target="https://headfonics.com/shanling-h5-review/" TargetMode="External" Id="rId17"/><Relationship Type="http://schemas.openxmlformats.org/officeDocument/2006/relationships/hyperlink" Target="https://headfonics.com/xduoo-poke-ii-review/" TargetMode="External" Id="rId18"/><Relationship Type="http://schemas.openxmlformats.org/officeDocument/2006/relationships/hyperlink" Target="https://www.audiophonics.fr/fr/amplificateurs-casque-mobiles/fiio-btr17-noir-p-20087.html" TargetMode="External" Id="rId19"/><Relationship Type="http://schemas.openxmlformats.org/officeDocument/2006/relationships/hyperlink" Target="https://www.audiophonics.fr/fr/dac-portables-c-6399.html?orderby=price&amp;orderway=desc" TargetMode="External" Id="rId20"/><Relationship Type="http://schemas.openxmlformats.org/officeDocument/2006/relationships/hyperlink" Target="https://headfonics.com/smsl-ds20-review/" TargetMode="External" Id="rId21"/><Relationship Type="http://schemas.openxmlformats.org/officeDocument/2006/relationships/hyperlink" Target="https://www.headfonia.com/muse-hifi-m5-ultra-review/2/" TargetMode="External" Id="rId22"/><Relationship Type="http://schemas.openxmlformats.org/officeDocument/2006/relationships/hyperlink" Target="https://www.audiosciencereview.com/forum/index.php?threads/topping-g5-review-portable-dac-hp-amp.36542/" TargetMode="External" Id="rId23"/><Relationship Type="http://schemas.openxmlformats.org/officeDocument/2006/relationships/hyperlink" Target="https://www.audiophonics.fr/fr/dac-portables-c-6399.html?orderby=price&amp;orderway=desc&amp;orderway=desc" TargetMode="External" Id="rId24"/><Relationship Type="http://schemas.openxmlformats.org/officeDocument/2006/relationships/hyperlink" Target="https://www.audiophonics.fr/fr/dac-portables-c-6399.html?orderby=price&amp;orderway=desc&amp;orderway=desc&amp;p=2" TargetMode="External" Id="rId25"/><Relationship Type="http://schemas.openxmlformats.org/officeDocument/2006/relationships/hyperlink" Target="https://av.watch.impress.co.jp/docs/review/review/2126352.html" TargetMode="External" Id="rId26"/><Relationship Type="http://schemas.openxmlformats.org/officeDocument/2006/relationships/hyperlink" Target="https://headfonics.com/questyle-m18i-max-review/" TargetMode="External" Id="rId27"/><Relationship Type="http://schemas.openxmlformats.org/officeDocument/2006/relationships/hyperlink" Target="https://headfonics.com/aful-iceborne-review/" TargetMode="External" Id="rId28"/><Relationship Type="http://schemas.openxmlformats.org/officeDocument/2006/relationships/hyperlink" Target="https://headfonics.com/fosi-audio-md3-review/" TargetMode="External" Id="rId29"/><Relationship Type="http://schemas.openxmlformats.org/officeDocument/2006/relationships/hyperlink" Target="https://www.whathifi.com/hi-fi/dacs/ifi-go-link-2" TargetMode="External" Id="rId30"/><Relationship Type="http://schemas.openxmlformats.org/officeDocument/2006/relationships/hyperlink" Target="https://www.audiophonics.fr/fr/dac-portables-c-6399.html?orderby=price&amp;orderway=desc&amp;orderway=desc&amp;p=2" TargetMode="External" Id="rId31"/><Relationship Type="http://schemas.openxmlformats.org/officeDocument/2006/relationships/hyperlink" Target="https://www.audiophonics.fr/fr/dac-portables-c-6399.html?orderby=price&amp;orderway=desc&amp;orderway=desc" TargetMode="External" Id="rId32"/><Relationship Type="http://schemas.openxmlformats.org/officeDocument/2006/relationships/hyperlink" Target="https://headfonics.com/xduoo-xp-2-bal-review/" TargetMode="External" Id="rId33"/><Relationship Type="http://schemas.openxmlformats.org/officeDocument/2006/relationships/hyperlink" Target="https://headfonics.com/ibasso-pb6-macaw-review/" TargetMode="External" Id="rId34"/><Relationship Type="http://schemas.openxmlformats.org/officeDocument/2006/relationships/hyperlink" Target="https://headfonics.com/hiby-w4-review/" TargetMode="External" Id="rId35"/><Relationship Type="http://schemas.openxmlformats.org/officeDocument/2006/relationships/hyperlink" Target="https://headfonics.com/questyle-sigma-pro-review/" TargetMode="External" Id="rId36"/><Relationship Type="http://schemas.openxmlformats.org/officeDocument/2006/relationships/hyperlink" Target="https://headfonics.com/ibasso-d17-atheris-review/" TargetMode="External" Id="rId37"/><Relationship Type="http://schemas.openxmlformats.org/officeDocument/2006/relationships/hyperlink" Target="https://headfonics.com/cayin-ru3-review/" TargetMode="External" Id="rId38"/><Relationship Type="http://schemas.openxmlformats.org/officeDocument/2006/relationships/hyperlink" Target="https://headfonics.com/fiio-snowsky-tiny-review/" TargetMode="External" Id="rId39"/><Relationship Type="http://schemas.openxmlformats.org/officeDocument/2006/relationships/hyperlink" Target="https://headfonics.com/khadas-tea-pro-review/" TargetMode="External" Id="rId40"/><Relationship Type="http://schemas.openxmlformats.org/officeDocument/2006/relationships/hyperlink" Target="https://www.audiophonics.fr/fr/dac-portables-c-6399.html?orderby=price&amp;orderway=desc&amp;orderway=desc&amp;p=2" TargetMode="External" Id="rId41"/><Relationship Type="http://schemas.openxmlformats.org/officeDocument/2006/relationships/hyperlink" Target="https://www.audiophonics.fr/fr/dac-portables-c-6399.html?orderby=price&amp;orderway=desc&amp;orderway=desc&amp;p=2" TargetMode="External" Id="rId42"/><Relationship Type="http://schemas.openxmlformats.org/officeDocument/2006/relationships/hyperlink" Target="https://www.audiophonics.fr/fr/dac-portables-c-6399.html?orderby=price&amp;orderway=desc&amp;orderway=desc&amp;p=2" TargetMode="External" Id="rId43"/><Relationship Type="http://schemas.openxmlformats.org/officeDocument/2006/relationships/hyperlink" Target="https://headfonics.com/fiio-jiezi-review/" TargetMode="External" Id="rId44"/><Relationship Type="http://schemas.openxmlformats.org/officeDocument/2006/relationships/hyperlink" Target="https://headfonics.com/fiio-snowsky-melody-review/" TargetMode="External" Id="rId45"/><Relationship Type="http://schemas.openxmlformats.org/officeDocument/2006/relationships/hyperlink" Target="https://www.audiophonics.fr/fr/dac-portables-c-6399.html?orderby=price&amp;orderway=desc&amp;orderway=desc" TargetMode="External" Id="rId46"/><Relationship Type="http://schemas.openxmlformats.org/officeDocument/2006/relationships/hyperlink" Target="https://www.audiophonics.fr/fr/dac-portables-c-6399.html?orderby=price&amp;orderway=desc&amp;orderway=desc" TargetMode="External" Id="rId47"/><Relationship Type="http://schemas.openxmlformats.org/officeDocument/2006/relationships/hyperlink" Target="https://headfonics.com/nipo-a100-review/" TargetMode="External" Id="rId48"/><Relationship Type="http://schemas.openxmlformats.org/officeDocument/2006/relationships/hyperlink" Target="https://headfonics.com/ddhifi-tc44pro-m3-review/" TargetMode="External" Id="rId49"/><Relationship Type="http://schemas.openxmlformats.org/officeDocument/2006/relationships/hyperlink" Target="https://headfonics.com/cayin-ru9-review/" TargetMode="External" Id="rId50"/><Relationship Type="http://schemas.openxmlformats.org/officeDocument/2006/relationships/hyperlink" Target="https://www.audiophonics.fr/fr/dac-portables-c-6399.html?orderby=price&amp;orderway=desc&amp;orderway=desc" TargetMode="External" Id="rId51"/><Relationship Type="http://schemas.openxmlformats.org/officeDocument/2006/relationships/hyperlink" Target="https://headfonics.com/questyle-m18i-review/" TargetMode="External" Id="rId52"/><Relationship Type="http://schemas.openxmlformats.org/officeDocument/2006/relationships/hyperlink" Target="https://headfonics.com/fiio-rr11-review/" TargetMode="External" Id="rId53"/><Relationship Type="http://schemas.openxmlformats.org/officeDocument/2006/relationships/hyperlink" Target="https://headfonics.com/earmen-l-amp-review/" TargetMode="External" Id="rId54"/><Relationship Type="http://schemas.openxmlformats.org/officeDocument/2006/relationships/hyperlink" Target="https://headfonics.com/fiio-snowsky-retro-nano-review/" TargetMode="External" Id="rId55"/><Relationship Type="http://schemas.openxmlformats.org/officeDocument/2006/relationships/hyperlink" Target="https://headfonics.com/cayin-c9ii-review/" TargetMode="External" Id="rId56"/><Relationship Type="http://schemas.openxmlformats.org/officeDocument/2006/relationships/hyperlink" Target="https://headfonics.com/ddhifi-tc35m2-review/" TargetMode="External" Id="rId57"/><Relationship Type="http://schemas.openxmlformats.org/officeDocument/2006/relationships/hyperlink" Target="https://headfonics.com/ifi-audio-go-link-max-review/" TargetMode="External" Id="rId58"/><Relationship Type="http://schemas.openxmlformats.org/officeDocument/2006/relationships/hyperlink" Target="https://headfonics.com/heartfield-r1-review/" TargetMode="External" Id="rId59"/><Relationship Type="http://schemas.openxmlformats.org/officeDocument/2006/relationships/hyperlink" Target="https://headfonics.com/ibasso-pb5-osprey-review/" TargetMode="External" Id="rId60"/><Relationship Type="http://schemas.openxmlformats.org/officeDocument/2006/relationships/hyperlink" Target="https://www.audiophonics.fr/fr/dac-portables-c-6399.html?orderby=price&amp;orderway=desc&amp;orderway=desc&amp;p=2" TargetMode="External" Id="rId61"/><Relationship Type="http://schemas.openxmlformats.org/officeDocument/2006/relationships/hyperlink" Target="https://headfonics.com/tempotec-sonata-bhd-pro-review/" TargetMode="External" Id="rId62"/><Relationship Type="http://schemas.openxmlformats.org/officeDocument/2006/relationships/hyperlink" Target="https://www.audiophonics.fr/fr/dac-portables/ibasso-d16-p-21830.html" TargetMode="External" Id="rId63"/><Relationship Type="http://schemas.openxmlformats.org/officeDocument/2006/relationships/hyperlink" Target="https://www.audiophonics.fr/fr/dac-portables-c-6399.html?orderby=price&amp;orderway=desc&amp;orderway=desc&amp;p=2" TargetMode="External" Id="rId64"/><Relationship Type="http://schemas.openxmlformats.org/officeDocument/2006/relationships/hyperlink" Target="https://headfonics.com/smsl-d10-review/" TargetMode="External" Id="rId65"/><Relationship Type="http://schemas.openxmlformats.org/officeDocument/2006/relationships/hyperlink" Target="https://headfonics.com/fiio-ja11-review/" TargetMode="External" Id="rId66"/><Relationship Type="http://schemas.openxmlformats.org/officeDocument/2006/relationships/hyperlink" Target="https://headfonics.com/shanling-h2-review/" TargetMode="External" Id="rId67"/><Relationship Type="http://schemas.openxmlformats.org/officeDocument/2006/relationships/hyperlink" Target="https://headfonics.com/letshuoer-dt03-review/" TargetMode="External" Id="rId68"/><Relationship Type="http://schemas.openxmlformats.org/officeDocument/2006/relationships/hyperlink" Target="https://headfonics.com/kiwi-ears-allegro-review/" TargetMode="External" Id="rId69"/><Relationship Type="http://schemas.openxmlformats.org/officeDocument/2006/relationships/hyperlink" Target="https://www.audiophonics.fr/fr/dac-portables-c-6399.html?orderby=price&amp;orderway=desc&amp;orderway=desc&amp;p=2" TargetMode="External" Id="rId70"/><Relationship Type="http://schemas.openxmlformats.org/officeDocument/2006/relationships/hyperlink" Target="https://www.audiophonics.fr/fr/dac-portables-c-6399.html?orderby=price&amp;orderway=desc&amp;orderway=desc" TargetMode="External" Id="rId71"/><Relationship Type="http://schemas.openxmlformats.org/officeDocument/2006/relationships/hyperlink" Target="https://headfonics.com/onix-mystic-xp1-review/" TargetMode="External" Id="rId72"/><Relationship Type="http://schemas.openxmlformats.org/officeDocument/2006/relationships/hyperlink" Target="https://www.audiophonics.fr/fr/dac-portables-c-6399.html?orderby=price&amp;orderway=desc&amp;orderway=desc&amp;p=2" TargetMode="External" Id="rId73"/><Relationship Type="http://schemas.openxmlformats.org/officeDocument/2006/relationships/hyperlink" Target="https://headfonics.com/fiio-ka11-review/" TargetMode="External" Id="rId74"/><Relationship Type="http://schemas.openxmlformats.org/officeDocument/2006/relationships/hyperlink" Target="https://www.audiophonics.fr/fr/dac-portables-c-6399.html?orderby=price&amp;orderway=desc&amp;orderway=desc&amp;p=2" TargetMode="External" Id="rId75"/><Relationship Type="http://schemas.openxmlformats.org/officeDocument/2006/relationships/hyperlink" Target="https://headfonics.com/colorfly-cda-m2-review/" TargetMode="External" Id="rId76"/><Relationship Type="http://schemas.openxmlformats.org/officeDocument/2006/relationships/hyperlink" Target="https://www.audiophonics.fr/fr/dac-portables/dd-tc44pro-e2-usb-c-p-19254.html" TargetMode="External" Id="rId77"/><Relationship Type="http://schemas.openxmlformats.org/officeDocument/2006/relationships/hyperlink" Target="https://headfonics.com/hidizs-sd2-review/" TargetMode="External" Id="rId78"/><Relationship Type="http://schemas.openxmlformats.org/officeDocument/2006/relationships/hyperlink" Target="https://headfonics.com/colorfly-cda-m1p-review/" TargetMode="External" Id="rId79"/><Relationship Type="http://schemas.openxmlformats.org/officeDocument/2006/relationships/hyperlink" Target="https://headfonics.com/fiio-q15-review/" TargetMode="External" Id="rId80"/><Relationship Type="http://schemas.openxmlformats.org/officeDocument/2006/relationships/hyperlink" Target="https://headfonics.com/ifi-audio-idsd-diablo-2-review/" TargetMode="External" Id="rId81"/><Relationship Type="http://schemas.openxmlformats.org/officeDocument/2006/relationships/hyperlink" Target="https://headfonics.com/ddhifi-tc35pro-eye2-mountain2-review/" TargetMode="External" Id="rId82"/><Relationship Type="http://schemas.openxmlformats.org/officeDocument/2006/relationships/hyperlink" Target="https://headfonics.com/shanling-ua1-plus-review/" TargetMode="External" Id="rId83"/><Relationship Type="http://schemas.openxmlformats.org/officeDocument/2006/relationships/hyperlink" Target="https://www.audiophonics.fr/fr/dac-portables-c-6399.html?orderby=price&amp;orderway=desc&amp;orderway=desc" TargetMode="External" Id="rId84"/><Relationship Type="http://schemas.openxmlformats.org/officeDocument/2006/relationships/hyperlink" Target="https://www.audiophonics.fr/fr/dac-portables-c-6399.html?orderby=price&amp;orderway=desc&amp;orderway=desc&amp;p=2" TargetMode="External" Id="rId85"/><Relationship Type="http://schemas.openxmlformats.org/officeDocument/2006/relationships/hyperlink" Target="https://www.audiophonics.fr/fr/dac-portables-c-6399.html?orderby=price&amp;orderway=desc&amp;orderway=desc" TargetMode="External" Id="rId86"/><Relationship Type="http://schemas.openxmlformats.org/officeDocument/2006/relationships/hyperlink" Target="https://www.headfonia.com/fiio-ka13-review/" TargetMode="External" Id="rId87"/><Relationship Type="http://schemas.openxmlformats.org/officeDocument/2006/relationships/hyperlink" Target="https://headfonics.com/audirect-beam-4-review/" TargetMode="External" Id="rId88"/><Relationship Type="http://schemas.openxmlformats.org/officeDocument/2006/relationships/hyperlink" Target="https://headfonics.com/ddhifi-tc44pro-review/" TargetMode="External" Id="rId89"/><Relationship Type="http://schemas.openxmlformats.org/officeDocument/2006/relationships/hyperlink" Target="https://headfonics.com/moondrop-dawn-pro-review/" TargetMode="External" Id="rId90"/><Relationship Type="http://schemas.openxmlformats.org/officeDocument/2006/relationships/hyperlink" Target="https://headfonics.com/moondrop-moonriver-2-ti-review/" TargetMode="External" Id="rId91"/><Relationship Type="http://schemas.openxmlformats.org/officeDocument/2006/relationships/hyperlink" Target="https://headfonics.com/hiby-fc6-review/" TargetMode="External" Id="rId92"/><Relationship Type="http://schemas.openxmlformats.org/officeDocument/2006/relationships/hyperlink" Target="https://headfonics.com/ddhifi-tc35c-review/" TargetMode="External" Id="rId93"/><Relationship Type="http://schemas.openxmlformats.org/officeDocument/2006/relationships/hyperlink" Target="https://www.headfonia.com/fiio-ka5-review/" TargetMode="External" Id="rId94"/><Relationship Type="http://schemas.openxmlformats.org/officeDocument/2006/relationships/hyperlink" Target="https://headfonics.com/fiio-q11-review/" TargetMode="External" Id="rId95"/><Relationship Type="http://schemas.openxmlformats.org/officeDocument/2006/relationships/hyperlink" Target="https://headfonics.com/ifi-audio-uno-review/" TargetMode="External" Id="rId96"/><Relationship Type="http://schemas.openxmlformats.org/officeDocument/2006/relationships/hyperlink" Target="https://headfonics.com/7hz-sevenhertz-71-review/" TargetMode="External" Id="rId97"/><Relationship Type="http://schemas.openxmlformats.org/officeDocument/2006/relationships/hyperlink" Target="https://headfonics.com/venture-electronics-megatron-review/" TargetMode="External" Id="rId98"/><Relationship Type="http://schemas.openxmlformats.org/officeDocument/2006/relationships/hyperlink" Target="https://headfonics.com/shanling-h7-review/" TargetMode="External" Id="rId99"/><Relationship Type="http://schemas.openxmlformats.org/officeDocument/2006/relationships/hyperlink" Target="https://headfonics.com/ikko-zerda-itm02-review/" TargetMode="External" Id="rId100"/><Relationship Type="http://schemas.openxmlformats.org/officeDocument/2006/relationships/hyperlink" Target="https://headfonics.com/quloos-qls-mc01-review/" TargetMode="External" Id="rId101"/><Relationship Type="http://schemas.openxmlformats.org/officeDocument/2006/relationships/hyperlink" Target="https://www.audiophonics.fr/fr/dac-portables-c-6399.html?orderby=price&amp;orderway=desc&amp;orderway=desc&amp;p=2" TargetMode="External" Id="rId102"/><Relationship Type="http://schemas.openxmlformats.org/officeDocument/2006/relationships/hyperlink" Target="https://www.audiophonics.fr/fr/dac-portables-c-6399.html?orderby=price&amp;orderway=desc&amp;orderway=desc" TargetMode="External" Id="rId103"/><Relationship Type="http://schemas.openxmlformats.org/officeDocument/2006/relationships/hyperlink" Target="https://headfonics.com/earmen-angel-review/" TargetMode="External" Id="rId104"/><Relationship Type="http://schemas.openxmlformats.org/officeDocument/2006/relationships/hyperlink" Target="https://headfonics.com/moondrop-dawn-review/" TargetMode="External" Id="rId105"/><Relationship Type="http://schemas.openxmlformats.org/officeDocument/2006/relationships/hyperlink" Target="https://headfonics.com/fiio-ka2-review/" TargetMode="External" Id="rId106"/><Relationship Type="http://schemas.openxmlformats.org/officeDocument/2006/relationships/hyperlink" Target="https://www.audiophonics.fr/fr/dac-portables/dd-tc44a-dac-cs43131-lightning-male-vers-jack-44mm-femelle-32bit-384khz-dsd256-p-15929.html" TargetMode="External" Id="rId107"/><Relationship Type="http://schemas.openxmlformats.org/officeDocument/2006/relationships/hyperlink" Target="https://www.audiophonics.fr/fr/dac-portables-c-6399.html?orderby=price&amp;orderway=desc&amp;orderway=desc&amp;p=2" TargetMode="External" Id="rId108"/><Relationship Type="http://schemas.openxmlformats.org/officeDocument/2006/relationships/hyperlink" Target="https://headfonics.com/shanling-ua3-review/" TargetMode="External" Id="rId109"/><Relationship Type="http://schemas.openxmlformats.org/officeDocument/2006/relationships/hyperlink" Target="https://headfonics.com/hiby-fc4-review/" TargetMode="External" Id="rId110"/><Relationship Type="http://schemas.openxmlformats.org/officeDocument/2006/relationships/hyperlink" Target="https://headfonics.com/questyle-m15-review/" TargetMode="External" Id="rId111"/><Relationship Type="http://schemas.openxmlformats.org/officeDocument/2006/relationships/hyperlink" Target="https://headfonics.com/ibasso-dc06-review/" TargetMode="External" Id="rId112"/><Relationship Type="http://schemas.openxmlformats.org/officeDocument/2006/relationships/hyperlink" Target="https://headfonics.com/topping-nx7-review/" TargetMode="External" Id="rId113"/><Relationship Type="http://schemas.openxmlformats.org/officeDocument/2006/relationships/hyperlink" Target="https://headfonics.com/moondrop-moonriver-2-review/" TargetMode="External" Id="rId114"/><Relationship Type="http://schemas.openxmlformats.org/officeDocument/2006/relationships/hyperlink" Target="https://headfonics.com/colorfly-cda-m1-review/" TargetMode="External" Id="rId115"/><Relationship Type="http://schemas.openxmlformats.org/officeDocument/2006/relationships/hyperlink" Target="https://headfonics.com/fiio-ka1-review/" TargetMode="External" Id="rId116"/><Relationship Type="http://schemas.openxmlformats.org/officeDocument/2006/relationships/hyperlink" Target="https://www.audiophonics.fr/fr/dac-portables-c-6399.html?orderby=price&amp;orderway=desc&amp;orderway=desc" TargetMode="External" Id="rId117"/><Relationship Type="http://schemas.openxmlformats.org/officeDocument/2006/relationships/hyperlink" Target="https://headfonics.com/hilidac-audirect-beam-3-plus-review/" TargetMode="External" Id="rId118"/><Relationship Type="http://schemas.openxmlformats.org/officeDocument/2006/relationships/hyperlink" Target="https://headfonics.com/ddhifi-tc44c-dac-review/" TargetMode="External" Id="rId119"/><Relationship Type="http://schemas.openxmlformats.org/officeDocument/2006/relationships/hyperlink" Target="https://headfonics.com/shanling-ua5-review/" TargetMode="External" Id="rId120"/><Relationship Type="http://schemas.openxmlformats.org/officeDocument/2006/relationships/hyperlink" Target="https://headfonics.com/tempotec-sonata-e35-review/" TargetMode="External" Id="rId121"/><Relationship Type="http://schemas.openxmlformats.org/officeDocument/2006/relationships/hyperlink" Target="https://headfonics.com/astellkern-usb-c-dual-dac-cable-pee51-review/" TargetMode="External" Id="rId122"/><Relationship Type="http://schemas.openxmlformats.org/officeDocument/2006/relationships/hyperlink" Target="https://headfonics.com/hilidac-audirect-beam-3-pro-review/" TargetMode="External" Id="rId123"/><Relationship Type="http://schemas.openxmlformats.org/officeDocument/2006/relationships/hyperlink" Target="https://headfonics.com/earmen-colibri-review/" TargetMode="External" Id="rId124"/><Relationship Type="http://schemas.openxmlformats.org/officeDocument/2006/relationships/hyperlink" Target="https://headfonics.com/swan-song-audio-mini-black-review/" TargetMode="External" Id="rId125"/><Relationship Type="http://schemas.openxmlformats.org/officeDocument/2006/relationships/hyperlink" Target="https://www.audiophonics.fr/fr/dac-portables-c-6399.html?orderby=price&amp;orderway=desc&amp;orderway=desc" TargetMode="External" Id="rId126"/><Relationship Type="http://schemas.openxmlformats.org/officeDocument/2006/relationships/hyperlink" Target="https://www.audiophonics.fr/fr/dac-portables-c-6399.html?orderby=price&amp;orderway=desc&amp;orderway=desc&amp;p=2" TargetMode="External" Id="rId127"/><Relationship Type="http://schemas.openxmlformats.org/officeDocument/2006/relationships/hyperlink" Target="https://headfonics.com/hiby-fc5-review/" TargetMode="External" Id="rId128"/><Relationship Type="http://schemas.openxmlformats.org/officeDocument/2006/relationships/hyperlink" Target="https://headfonics.com/chord-electronics-mojo-2-review/" TargetMode="External" Id="rId129"/><Relationship Type="http://schemas.openxmlformats.org/officeDocument/2006/relationships/hyperlink" Target="https://headfonics.com/cayin-ru6-review/" TargetMode="External" Id="rId130"/><Relationship Type="http://schemas.openxmlformats.org/officeDocument/2006/relationships/hyperlink" Target="https://headfonics.com/ibasso-dc05-review/" TargetMode="External" Id="rId131"/><Relationship Type="http://schemas.openxmlformats.org/officeDocument/2006/relationships/hyperlink" Target="https://headfonics.com/fiio-ka3-review/" TargetMode="External" Id="rId132"/><Relationship Type="http://schemas.openxmlformats.org/officeDocument/2006/relationships/hyperlink" Target="https://headfonics.com/ifi-audio-hip-dac2-review/" TargetMode="External" Id="rId133"/><Relationship Type="http://schemas.openxmlformats.org/officeDocument/2006/relationships/hyperlink" Target="https://headfonics.com/hidizs-s9-pro-copper-limited-edition-review/" TargetMode="External" Id="rId134"/><Relationship Type="http://schemas.openxmlformats.org/officeDocument/2006/relationships/hyperlink" Target="https://headfonics.com/periodic-audio-rhodium-dac-review/" TargetMode="External" Id="rId135"/><Relationship Type="http://schemas.openxmlformats.org/officeDocument/2006/relationships/hyperlink" Target="https://headfonics.com/hidizs-dh80s-review/" TargetMode="External" Id="rId136"/><Relationship Type="http://schemas.openxmlformats.org/officeDocument/2006/relationships/hyperlink" Target="https://headfonics.com/questyle-m12-review/" TargetMode="External" Id="rId137"/><Relationship Type="http://schemas.openxmlformats.org/officeDocument/2006/relationships/hyperlink" Target="https://headfonics.com/fiio-e10k-tc-review/" TargetMode="External" Id="rId138"/><Relationship Type="http://schemas.openxmlformats.org/officeDocument/2006/relationships/hyperlink" Target="https://headfonics.com/shanling-ua2-review/" TargetMode="External" Id="rId139"/><Relationship Type="http://schemas.openxmlformats.org/officeDocument/2006/relationships/hyperlink" Target="https://headfonics.com/fiio-new-k3-review/" TargetMode="External" Id="rId140"/><Relationship Type="http://schemas.openxmlformats.org/officeDocument/2006/relationships/hyperlink" Target="https://headfonics.com/ddhifi-tc35-pro-tetris-review/" TargetMode="External" Id="rId141"/><Relationship Type="http://schemas.openxmlformats.org/officeDocument/2006/relationships/hyperlink" Target="https://headfonics.com/helm-audio-bolt-review/" TargetMode="External" Id="rId142"/><Relationship Type="http://schemas.openxmlformats.org/officeDocument/2006/relationships/hyperlink" Target="https://headfonics.com/luxury-precision-w2-review/" TargetMode="External" Id="rId143"/><Relationship Type="http://schemas.openxmlformats.org/officeDocument/2006/relationships/hyperlink" Target="https://headfonics.com/hidizs-s9-pro-review/" TargetMode="External" Id="rId144"/><Relationship Type="http://schemas.openxmlformats.org/officeDocument/2006/relationships/hyperlink" Target="https://headfonics.com/hidizs-s3-pro-review/" TargetMode="External" Id="rId145"/><Relationship Type="http://schemas.openxmlformats.org/officeDocument/2006/relationships/hyperlink" Target="https://headfonics.com/ifi-audio-idsd-diablo-review/" TargetMode="External" Id="rId146"/><Relationship Type="http://schemas.openxmlformats.org/officeDocument/2006/relationships/hyperlink" Target="https://headfonics.com/phatlab-chimera-review/" TargetMode="External" Id="rId147"/><Relationship Type="http://schemas.openxmlformats.org/officeDocument/2006/relationships/hyperlink" Target="https://headfonics.com/hiby-fc3-review/" TargetMode="External" Id="rId148"/><Relationship Type="http://schemas.openxmlformats.org/officeDocument/2006/relationships/hyperlink" Target="https://headfonics.com/khadas-tone2-pro-review/" TargetMode="External" Id="rId149"/><Relationship Type="http://schemas.openxmlformats.org/officeDocument/2006/relationships/hyperlink" Target="https://headfonics.com/hidizs-dh80-review/" TargetMode="External" Id="rId150"/><Relationship Type="http://schemas.openxmlformats.org/officeDocument/2006/relationships/hyperlink" Target="https://headfonics.com/ibasso-dc04-review/" TargetMode="External" Id="rId151"/><Relationship Type="http://schemas.openxmlformats.org/officeDocument/2006/relationships/hyperlink" Target="https://headfonics.com/hiby-fd1-beans-review/" TargetMode="External" Id="rId152"/><Relationship Type="http://schemas.openxmlformats.org/officeDocument/2006/relationships/hyperlink" Target="https://www.audiophonics.fr/fr/dac-portables/ifi-audio-idsd-valkyrie-noir-p-21756.html" TargetMode="External" Id="rId153"/><Relationship Type="http://schemas.openxmlformats.org/officeDocument/2006/relationships/hyperlink" Target="https://www.audiophonics.fr/fr/dac-portables/fangsound-prometheus-p-21765.html" TargetMode="External" Id="rId154"/><Relationship Type="http://schemas.openxmlformats.org/officeDocument/2006/relationships/hyperlink" Target="https://www.audiophonics.fr/fr/amplificateurs-casque-mobiles/xduoo-xd05t-p-20232.html" TargetMode="External" Id="rId155"/><Relationship Type="http://schemas.openxmlformats.org/officeDocument/2006/relationships/hyperlink" Target="https://www.audiophonics.fr/fr/dac-portables-c-6399.html?orderby=price&amp;orderway=desc&amp;orderway=desc" TargetMode="External" Id="rId156"/><Relationship Type="http://schemas.openxmlformats.org/officeDocument/2006/relationships/hyperlink" Target="https://www.audiophonics.fr/fr/amplificateurs-casque-mobiles/xduoo-xd05-bal-amplificateur-casque-portable-symetrique-2x-es9038q2m-xmos-bluetooth-50-32bit-768khz-dsd512-argent-p-15104.html" TargetMode="External" Id="rId157"/><Relationship Type="http://schemas.openxmlformats.org/officeDocument/2006/relationships/hyperlink" Target="https://www.audiophonics.fr/fr/amplificateurs-casque-mobiles/fiio-btr7-amplificateur-casque-dac-portable-2x-thx-aaa-28-2x-es9219c-bluetooth-51-aptx-hd-ldac-32bit-384khz-dsd256-p-16614.html" TargetMode="External" Id="rId158"/><Relationship Type="http://schemas.openxmlformats.org/officeDocument/2006/relationships/hyperlink" Target="https://www.audiophonics.fr/fr/dac-portables/e1da-9039s-p-20971.html" TargetMode="External" Id="rId159"/><Relationship Type="http://schemas.openxmlformats.org/officeDocument/2006/relationships/hyperlink" Target="https://www.audiophonics.fr/fr/dac-portables/aune-yuki-p-18617.html" TargetMode="External" Id="rId160"/><Relationship Type="http://schemas.openxmlformats.org/officeDocument/2006/relationships/hyperlink" Target="https://www.audiophonics.fr/fr/amplificateurs-casque-mobiles/e1da-9038d6k-amplificateur-casque-dac-usb-es9038q2m-ad8397-32bit-384khz-dsd256-p-17305.html" TargetMode="External" Id="rId161"/><Relationship Type="http://schemas.openxmlformats.org/officeDocument/2006/relationships/hyperlink" Target="https://www.audiophonics.fr/fr/dac-portables-c-6399.html?orderby=price&amp;orderway=desc&amp;orderway=desc&amp;p=2" TargetMode="External" Id="rId162"/><Relationship Type="http://schemas.openxmlformats.org/officeDocument/2006/relationships/hyperlink" Target="https://www.audiophonics.fr/fr/amplificateurs-casque-mobiles/e1da-9038s-gen-3-amplificateur-casque-symetrique-dac-usb-es9038q2m-ad8397-32bit-384khz-dsd256-p-14638.html" TargetMode="External" Id="rId163"/><Relationship Type="http://schemas.openxmlformats.org/officeDocument/2006/relationships/hyperlink" Target="https://www.audiophonics.fr/fr/dac-portables/ibasso-dc04u-p-21828.html" TargetMode="External" Id="rId164"/><Relationship Type="http://schemas.openxmlformats.org/officeDocument/2006/relationships/hyperlink" Target="https://www.audiophonics.fr/fr/dac-portables/aiyima-h4-p-21905.html" TargetMode="External" Id="rId165"/><Relationship Type="http://schemas.openxmlformats.org/officeDocument/2006/relationships/hyperlink" Target="https://www.audiophonics.fr/fr/dac-portables/aune-yuki-se-p-19868.html" TargetMode="External" Id="rId166"/><Relationship Type="http://schemas.openxmlformats.org/officeDocument/2006/relationships/hyperlink" Target="https://www.audiophonics.fr/fr/dac-portables/tanchjim-space-pro-p-21768.html" TargetMode="External" Id="rId167"/><Relationship Type="http://schemas.openxmlformats.org/officeDocument/2006/relationships/hyperlink" Target="https://www.audiophonics.fr/fr/dac-portables-c-6399.html?orderby=price&amp;orderway=desc&amp;orderway=desc&amp;p=2" TargetMode="External" Id="rId168"/><Relationship Type="http://schemas.openxmlformats.org/officeDocument/2006/relationships/hyperlink" Target="https://www.audiophonics.fr/fr/amplificateurs-casque-sedentaires/fosi-audio-sk02-p-18861.html" TargetMode="External" Id="rId169"/><Relationship Type="http://schemas.openxmlformats.org/officeDocument/2006/relationships/hyperlink" Target="https://www.audiophonics.fr/fr/dac-portables/crinear-protocol-max-p-21200.html" TargetMode="External" Id="rId170"/><Relationship Type="http://schemas.openxmlformats.org/officeDocument/2006/relationships/hyperlink" Target="https://www.audiophonics.fr/fr/dac-portables-c-6399.html?orderby=price&amp;orderway=desc&amp;orderway=desc&amp;p=2" TargetMode="External" Id="rId171"/><Relationship Type="http://schemas.openxmlformats.org/officeDocument/2006/relationships/hyperlink" Target="https://www.audiophonics.fr/fr/dac-portables-c-6399.html?orderby=price&amp;orderway=desc&amp;orderway=desc&amp;p=2" TargetMode="External" Id="rId172"/><Relationship Type="http://schemas.openxmlformats.org/officeDocument/2006/relationships/hyperlink" Target="https://www.audiophonics.fr/fr/amplificateurs-casque-mobiles/fosi-audio-ds1-amplificateur-casque-dac-portable-2x-es9038q2m-symetrique-32bit-768khz-dsd512-p-16996.html" TargetMode="External" Id="rId173"/><Relationship Type="http://schemas.openxmlformats.org/officeDocument/2006/relationships/hyperlink" Target="https://www.audiophonics.fr/fr/dac-portables/tanchjim-space-dac-usb-portable-2x-cs43131-symetrique-32bit-384khz-dsd256-p-17668.html" TargetMode="External" Id="rId174"/></Relationships>
</file>

<file path=xl/worksheets/sheet1.xml><?xml version="1.0" encoding="utf-8"?>
<worksheet xmlns="http://schemas.openxmlformats.org/spreadsheetml/2006/main">
  <sheetPr>
    <outlinePr summaryBelow="1" summaryRight="1"/>
    <pageSetUpPr/>
  </sheetPr>
  <dimension ref="A1:AR210"/>
  <sheetViews>
    <sheetView showGridLines="0" zoomScale="70" workbookViewId="0">
      <pane xSplit="2" ySplit="4" topLeftCell="C5" activePane="bottomRight" state="frozen"/>
      <selection pane="top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4" customWidth="1" min="1" max="1"/>
    <col width="22" customWidth="1" min="2" max="2"/>
    <col width="24" customWidth="1" min="3" max="3"/>
    <col width="34" customWidth="1" min="4" max="4"/>
    <col width="32" customWidth="1" min="5" max="5"/>
    <col width="32" customWidth="1" min="6" max="6"/>
    <col width="12" customWidth="1" min="7" max="7"/>
    <col width="12" customWidth="1" min="8" max="8"/>
    <col width="13" customWidth="1" min="9" max="9"/>
    <col width="13" customWidth="1" min="10" max="10"/>
    <col width="12" customWidth="1" min="11" max="11"/>
    <col width="13" customWidth="1" min="12" max="12"/>
    <col width="13" customWidth="1" min="13" max="13"/>
    <col width="13" customWidth="1" min="14" max="14"/>
    <col width="11" customWidth="1" min="15" max="15"/>
    <col width="15" customWidth="1" min="16" max="16"/>
    <col width="12" customWidth="1" min="17" max="17"/>
    <col width="8" customWidth="1" min="18" max="18"/>
    <col width="28" customWidth="1" min="19" max="19"/>
    <col width="28" customWidth="1" min="20" max="20"/>
    <col width="30" customWidth="1" min="21" max="21"/>
    <col width="17" customWidth="1" min="22" max="22"/>
    <col width="19" customWidth="1" min="23" max="23"/>
    <col width="13" customWidth="1" min="24" max="24"/>
    <col width="14" customWidth="1" min="25" max="25"/>
    <col width="13" customWidth="1" min="26" max="26"/>
    <col width="12" customWidth="1" min="27" max="27"/>
    <col width="38" customWidth="1" min="28" max="28"/>
    <col width="42" customWidth="1" min="29" max="29"/>
    <col width="15" customWidth="1" min="30" max="30"/>
    <col width="12" customWidth="1" min="31" max="31"/>
    <col width="17" customWidth="1" min="32" max="32"/>
    <col width="46" customWidth="1" min="33" max="33"/>
    <col width="30" customWidth="1" min="34" max="34"/>
    <col width="40" customWidth="1" min="35" max="35"/>
    <col width="40" customWidth="1" min="36" max="36"/>
    <col width="42" customWidth="1" min="37" max="37"/>
    <col width="12" customWidth="1" min="38" max="38"/>
    <col width="19" customWidth="1" min="39" max="39"/>
    <col width="40" customWidth="1" min="40" max="40"/>
    <col width="40" customWidth="1" min="41" max="41"/>
    <col width="40" customWidth="1" min="42" max="42"/>
    <col width="19" customWidth="1" min="43" max="43"/>
    <col width="30" customWidth="1" min="44" max="44"/>
    <col width="55" customWidth="1" min="45" max="45"/>
    <col width="55" customWidth="1" min="46" max="46"/>
    <col width="24" customWidth="1" min="47" max="47"/>
    <col width="42" customWidth="1" min="48" max="48"/>
  </cols>
  <sheetData>
    <row r="1" ht="30" customHeight="1">
      <c r="A1" s="97" t="inlineStr">
        <is>
          <t>Comparatif DAC / amplis portables — synthèse personnalisée pour L70 + Cayin N7</t>
        </is>
      </c>
    </row>
    <row r="2" ht="34" customHeight="1">
      <c r="A2" s="98" t="inlineStr">
        <is>
          <t>Notes 1–10 selon le cahier des charges. Score pondéré compatible Excel/Gnumeric. Rang = appareils portables uniquement ; N7 et L70 sont marqués « Réf. ». Prix = repère européen quand disponible, sinon MSRP/prix de lancement converti en euros. Sources prix dans la feuille dédiée.</t>
        </is>
      </c>
    </row>
    <row r="3" ht="23" customHeight="1">
      <c r="A3" s="150" t="inlineStr">
        <is>
          <t>PRODUIT &amp; PROFIL</t>
        </is>
      </c>
      <c r="B3" s="149" t="n"/>
      <c r="C3" s="149" t="n"/>
      <c r="D3" s="149" t="n"/>
      <c r="E3" s="149" t="n"/>
      <c r="F3" s="149" t="n"/>
      <c r="G3" s="151" t="inlineStr">
        <is>
          <t>ÉVALUATION PERSONNALISÉE — 1 À 10</t>
        </is>
      </c>
      <c r="H3" s="149" t="n"/>
      <c r="I3" s="149" t="n"/>
      <c r="J3" s="149" t="n"/>
      <c r="K3" s="149" t="n"/>
      <c r="L3" s="149" t="n"/>
      <c r="M3" s="149" t="n"/>
      <c r="N3" s="149" t="n"/>
      <c r="O3" s="149" t="n"/>
      <c r="P3" s="149" t="n"/>
      <c r="Q3" s="152" t="inlineStr">
        <is>
          <t>SCORE</t>
        </is>
      </c>
      <c r="R3" s="149" t="n"/>
      <c r="S3" s="150" t="inlineStr">
        <is>
          <t>COMPARAISON &amp; USAGE</t>
        </is>
      </c>
      <c r="T3" s="149" t="n"/>
      <c r="U3" s="149" t="n"/>
      <c r="V3" s="149" t="n"/>
      <c r="W3" s="149" t="n"/>
      <c r="X3" s="150" t="inlineStr">
        <is>
          <t>HEADFONICS</t>
        </is>
      </c>
      <c r="Y3" s="149" t="n"/>
      <c r="Z3" s="149" t="n"/>
      <c r="AA3" s="149" t="n"/>
      <c r="AB3" s="149" t="n"/>
      <c r="AC3" s="149" t="n"/>
      <c r="AD3" s="149" t="n"/>
      <c r="AE3" s="149" t="n"/>
      <c r="AF3" s="102" t="inlineStr">
        <is>
          <t>PRIX</t>
        </is>
      </c>
      <c r="AG3" s="150" t="inlineStr">
        <is>
          <t>AVIS MULTI-SOURCES</t>
        </is>
      </c>
      <c r="AH3" s="149" t="n"/>
      <c r="AI3" s="149" t="n"/>
      <c r="AJ3" s="149" t="n"/>
      <c r="AK3" s="149" t="n"/>
      <c r="AL3" s="149" t="n"/>
      <c r="AM3" s="149" t="n"/>
      <c r="AN3" s="149" t="n"/>
      <c r="AO3" s="149" t="n"/>
      <c r="AP3" s="149" t="n"/>
      <c r="AQ3" s="149" t="n"/>
      <c r="AR3" s="149" t="n"/>
    </row>
    <row r="4" ht="46" customHeight="1">
      <c r="A4" s="103" t="inlineStr">
        <is>
          <t>Marque</t>
        </is>
      </c>
      <c r="B4" s="103" t="inlineStr">
        <is>
          <t>Modèle</t>
        </is>
      </c>
      <c r="C4" s="103" t="inlineStr">
        <is>
          <t>Type</t>
        </is>
      </c>
      <c r="D4" s="103" t="inlineStr">
        <is>
          <t>Profil sonore</t>
        </is>
      </c>
      <c r="E4" s="103" t="inlineStr">
        <is>
          <t>Atout principal</t>
        </is>
      </c>
      <c r="F4" s="103" t="inlineStr">
        <is>
          <t>Limite principale</t>
        </is>
      </c>
      <c r="G4" s="103" t="inlineStr">
        <is>
          <t>Propreté / contrôle</t>
        </is>
      </c>
      <c r="H4" s="103" t="inlineStr">
        <is>
          <t>Microdétail</t>
        </is>
      </c>
      <c r="I4" s="103" t="inlineStr">
        <is>
          <t>Profondeur avant-arrière</t>
        </is>
      </c>
      <c r="J4" s="103" t="inlineStr">
        <is>
          <t>Holographie / 3D</t>
        </is>
      </c>
      <c r="K4" s="103" t="inlineStr">
        <is>
          <t>Layering</t>
        </is>
      </c>
      <c r="L4" s="103" t="inlineStr">
        <is>
          <t>Matière / timbres</t>
        </is>
      </c>
      <c r="M4" s="103" t="inlineStr">
        <is>
          <t>Dynamique / tenue</t>
        </is>
      </c>
      <c r="N4" s="103" t="inlineStr">
        <is>
          <t>Puissance / polyvalence</t>
        </is>
      </c>
      <c r="O4" s="103" t="inlineStr">
        <is>
          <t>Nomadisme</t>
        </is>
      </c>
      <c r="P4" s="103" t="inlineStr">
        <is>
          <t>Complémentarité N7/L70</t>
        </is>
      </c>
      <c r="Q4" s="103" t="inlineStr">
        <is>
          <t>Score perso /10</t>
        </is>
      </c>
      <c r="R4" s="103" t="inlineStr">
        <is>
          <t>Rang</t>
        </is>
      </c>
      <c r="S4" s="103" t="inlineStr">
        <is>
          <t>Face au L70</t>
        </is>
      </c>
      <c r="T4" s="103" t="inlineStr">
        <is>
          <t>Face au N7</t>
        </is>
      </c>
      <c r="U4" s="103" t="inlineStr">
        <is>
          <t>Rôle conseillé</t>
        </is>
      </c>
      <c r="V4" s="103" t="inlineStr">
        <is>
          <t>Confiance</t>
        </is>
      </c>
      <c r="W4" s="103" t="inlineStr">
        <is>
          <t>Origine</t>
        </is>
      </c>
      <c r="X4" s="103" t="inlineStr">
        <is>
          <t>Score Headfonics</t>
        </is>
      </c>
      <c r="Y4" s="103" t="inlineStr">
        <is>
          <t>Type score HF</t>
        </is>
      </c>
      <c r="Z4" s="103" t="inlineStr">
        <is>
          <t>Date review HF</t>
        </is>
      </c>
      <c r="AA4" s="103" t="inlineStr">
        <is>
          <t>Page HF (reconstruite)</t>
        </is>
      </c>
      <c r="AB4" s="103" t="inlineStr">
        <is>
          <t>Lien Headfonics</t>
        </is>
      </c>
      <c r="AC4" s="103" t="inlineStr">
        <is>
          <t>Résumé HF</t>
        </is>
      </c>
      <c r="AD4" s="103" t="inlineStr">
        <is>
          <t>Statut BDD</t>
        </is>
      </c>
      <c r="AE4" s="103" t="inlineStr">
        <is>
          <t>Rang chrono HF</t>
        </is>
      </c>
      <c r="AF4" s="103" t="inlineStr">
        <is>
          <t>Prix moyen / MSRP (≈€)</t>
        </is>
      </c>
      <c r="AG4" s="103" t="inlineStr">
        <is>
          <t>Résumé avis (court)</t>
        </is>
      </c>
      <c r="AH4" s="103" t="inlineStr">
        <is>
          <t>Tonalité selon avis</t>
        </is>
      </c>
      <c r="AI4" s="103" t="inlineStr">
        <is>
          <t>Scène / détail selon avis</t>
        </is>
      </c>
      <c r="AJ4" s="103" t="inlineStr">
        <is>
          <t>Limites relevées dans les avis</t>
        </is>
      </c>
      <c r="AK4" s="103" t="inlineStr">
        <is>
          <t>Source avis principale</t>
        </is>
      </c>
      <c r="AL4" s="103" t="inlineStr">
        <is>
          <t>Nb sources avis</t>
        </is>
      </c>
      <c r="AM4" s="103" t="inlineStr">
        <is>
          <t>Confiance avis</t>
        </is>
      </c>
      <c r="AN4" s="103" t="inlineStr">
        <is>
          <t>Source avis 2</t>
        </is>
      </c>
      <c r="AO4" s="103" t="inlineStr">
        <is>
          <t>Source avis 3</t>
        </is>
      </c>
      <c r="AP4" s="103" t="inlineStr">
        <is>
          <t>Source avis 4</t>
        </is>
      </c>
      <c r="AQ4" s="103" t="inlineStr">
        <is>
          <t>Statut multi-source</t>
        </is>
      </c>
      <c r="AR4" s="103" t="inlineStr">
        <is>
          <t>Types / diversité sources</t>
        </is>
      </c>
    </row>
    <row r="5" ht="54" customHeight="1">
      <c r="A5" s="153" t="inlineStr">
        <is>
          <t>Cayin</t>
        </is>
      </c>
      <c r="B5" s="154" t="inlineStr">
        <is>
          <t>N7</t>
        </is>
      </c>
      <c r="C5" s="155" t="inlineStr">
        <is>
          <t>DAP / référence</t>
        </is>
      </c>
      <c r="D5" s="155" t="inlineStr">
        <is>
          <t>Organique, fluide, texturé, très naturel</t>
        </is>
      </c>
      <c r="E5" s="155" t="inlineStr">
        <is>
          <t>Volumes, profondeur, continuité des plans, timbres</t>
        </is>
      </c>
      <c r="F5" s="155" t="inlineStr">
        <is>
          <t>Moins chirurgical/ferme qu’un ampli desktop très neutre</t>
        </is>
      </c>
      <c r="G5" s="156" t="n">
        <v>9.199999999999999</v>
      </c>
      <c r="H5" s="157" t="n">
        <v>9.5</v>
      </c>
      <c r="I5" s="157" t="n">
        <v>9.800000000000001</v>
      </c>
      <c r="J5" s="157" t="n">
        <v>9.699999999999999</v>
      </c>
      <c r="K5" s="157" t="n">
        <v>9.800000000000001</v>
      </c>
      <c r="L5" s="157" t="n">
        <v>10</v>
      </c>
      <c r="M5" s="157" t="n">
        <v>9.300000000000001</v>
      </c>
      <c r="N5" s="157" t="n">
        <v>8.5</v>
      </c>
      <c r="O5" s="157" t="n">
        <v>6.5</v>
      </c>
      <c r="P5" s="157" t="n">
        <v>10</v>
      </c>
      <c r="Q5" s="158">
        <f>IF(COUNT(G5:P5)=10,ROUND((G5*'Pondérations'!$B$5+H5*'Pondérations'!$B$6+I5*'Pondérations'!$B$7+J5*'Pondérations'!$B$8+K5*'Pondérations'!$B$9+L5*'Pondérations'!$B$10+M5*'Pondérations'!$B$11+N5*'Pondérations'!$B$12+O5*'Pondérations'!$B$13+P5*'Pondérations'!$B$14)/'Pondérations'!$B$16,3),"")</f>
        <v/>
      </c>
      <c r="R5" s="159" t="inlineStr">
        <is>
          <t>Réf.</t>
        </is>
      </c>
      <c r="S5" s="160" t="n"/>
      <c r="T5" s="155" t="n"/>
      <c r="U5" s="155" t="n"/>
      <c r="V5" s="161" t="inlineStr">
        <is>
          <t>Élevée</t>
        </is>
      </c>
      <c r="W5" s="155" t="inlineStr">
        <is>
          <t>Discussion initiale</t>
        </is>
      </c>
      <c r="X5" s="156" t="n"/>
      <c r="Y5" s="161" t="n"/>
      <c r="Z5" s="162" t="n"/>
      <c r="AA5" s="163" t="n"/>
      <c r="AB5" s="155" t="n"/>
      <c r="AC5" s="155" t="n"/>
      <c r="AD5" s="161" t="n"/>
      <c r="AE5" s="163" t="n"/>
      <c r="AF5" s="164" t="n">
        <v>1757</v>
      </c>
      <c r="AG5" s="160" t="inlineStr">
        <is>
          <t>Le N7 est surtout apprécié pour son rendu organique, fluide et volumique. La classe A ajoute chaleur et densité, tandis que l'AB gagne en attaque, contrôle et clarté.</t>
        </is>
      </c>
      <c r="AH5" s="155" t="inlineStr">
        <is>
          <t>Organique, naturelle, légèrement chaude en classe A</t>
        </is>
      </c>
      <c r="AI5" s="155" t="inlineStr">
        <is>
          <t>Scène large et profonde, image solide, excellent relief et continuité des plans; détail intégré plutôt que sur-accentué.</t>
        </is>
      </c>
      <c r="AJ5" s="155" t="inlineStr">
        <is>
          <t>Moins incisif qu'une source très analytique; caractère et dynamique varient sensiblement entre classe A et AB.</t>
        </is>
      </c>
      <c r="AK5" s="155" t="inlineStr">
        <is>
          <t>https://www.ecoustics.com/reviews/cayin-n7/</t>
        </is>
      </c>
      <c r="AL5" s="163" t="n">
        <v>4</v>
      </c>
      <c r="AM5" s="161" t="inlineStr">
        <is>
          <t>Élevée — 3+ sources, domaines variés</t>
        </is>
      </c>
      <c r="AN5" s="155" t="inlineStr">
        <is>
          <t>https://headfonics.com/cayin-n7-review/</t>
        </is>
      </c>
      <c r="AO5" s="165" t="inlineStr">
        <is>
          <t>https://www.headfonia.com/cayin-n7-review/</t>
        </is>
      </c>
      <c r="AP5" s="155" t="inlineStr">
        <is>
          <t>https://mobileaudiophile.com/daps/cayin-n7-dap-god-of-dynamism/</t>
        </is>
      </c>
      <c r="AQ5" s="161" t="inlineStr">
        <is>
          <t>Objectif atteint</t>
        </is>
      </c>
      <c r="AR5" s="155" t="inlineStr">
        <is>
          <t>Review éditoriale: 4</t>
        </is>
      </c>
    </row>
    <row r="6" ht="54" customHeight="1">
      <c r="A6" s="153" t="inlineStr">
        <is>
          <t>Topping</t>
        </is>
      </c>
      <c r="B6" s="154" t="inlineStr">
        <is>
          <t>L70</t>
        </is>
      </c>
      <c r="C6" s="155" t="inlineStr">
        <is>
          <t>Ampli casque desktop / référence</t>
        </is>
      </c>
      <c r="D6" s="155" t="inlineStr">
        <is>
          <t>Très propre, neutre, contrôlé, ferme</t>
        </is>
      </c>
      <c r="E6" s="155" t="inlineStr">
        <is>
          <t>Fond noir, contrôle, puissance, neutralité</t>
        </is>
      </c>
      <c r="F6" s="155" t="inlineStr">
        <is>
          <t>Moins de profondeur holographique et de micro-relief</t>
        </is>
      </c>
      <c r="G6" s="156" t="n">
        <v>10</v>
      </c>
      <c r="H6" s="157" t="n">
        <v>8.800000000000001</v>
      </c>
      <c r="I6" s="157" t="n">
        <v>7.2</v>
      </c>
      <c r="J6" s="157" t="n">
        <v>7</v>
      </c>
      <c r="K6" s="157" t="n">
        <v>8</v>
      </c>
      <c r="L6" s="157" t="n">
        <v>8.199999999999999</v>
      </c>
      <c r="M6" s="157" t="n">
        <v>9.5</v>
      </c>
      <c r="N6" s="157" t="n">
        <v>10</v>
      </c>
      <c r="O6" s="157" t="n">
        <v>1</v>
      </c>
      <c r="P6" s="157" t="n">
        <v>6.5</v>
      </c>
      <c r="Q6" s="158">
        <f>IF(COUNT(G6:P6)=10,ROUND((G6*'Pondérations'!$B$5+H6*'Pondérations'!$B$6+I6*'Pondérations'!$B$7+J6*'Pondérations'!$B$8+K6*'Pondérations'!$B$9+L6*'Pondérations'!$B$10+M6*'Pondérations'!$B$11+N6*'Pondérations'!$B$12+O6*'Pondérations'!$B$13+P6*'Pondérations'!$B$14)/'Pondérations'!$B$16,3),"")</f>
        <v/>
      </c>
      <c r="R6" s="159" t="inlineStr">
        <is>
          <t>Réf.</t>
        </is>
      </c>
      <c r="S6" s="160" t="n"/>
      <c r="T6" s="155" t="n"/>
      <c r="U6" s="155" t="n"/>
      <c r="V6" s="161" t="inlineStr">
        <is>
          <t>Élevée</t>
        </is>
      </c>
      <c r="W6" s="155" t="inlineStr">
        <is>
          <t>Discussion initiale</t>
        </is>
      </c>
      <c r="X6" s="156" t="n"/>
      <c r="Y6" s="161" t="n"/>
      <c r="Z6" s="162" t="n"/>
      <c r="AA6" s="163" t="n"/>
      <c r="AB6" s="155" t="n"/>
      <c r="AC6" s="155" t="n"/>
      <c r="AD6" s="161" t="n"/>
      <c r="AE6" s="163" t="n"/>
      <c r="AF6" s="164" t="n">
        <v>307</v>
      </c>
      <c r="AG6" s="160" t="inlineStr">
        <is>
          <t>Le L70 est décrit comme très propre, puissant et transparent, avec une séparation remarquable. Certains avis lui trouvent néanmoins une présentation plus pleine que strictement clinique.</t>
        </is>
      </c>
      <c r="AH6" s="155" t="inlineStr">
        <is>
          <t>Neutre, propre, légèrement plein selon les associations</t>
        </is>
      </c>
      <c r="AI6" s="155" t="inlineStr">
        <is>
          <t>Grande largeur, excellente séparation et précision; profondeur correcte mais rendu surtout axé sur contrôle et lisibilité.</t>
        </is>
      </c>
      <c r="AJ6" s="155" t="inlineStr">
        <is>
          <t>Peut paraître moins organique/holographique qu'une amplification discrète de caractère; très dépendant du DAC en amont.</t>
        </is>
      </c>
      <c r="AK6" s="155" t="inlineStr">
        <is>
          <t>https://primeaudio.org/topping-e70-and-l70-review/</t>
        </is>
      </c>
      <c r="AL6" s="163" t="n">
        <v>5</v>
      </c>
      <c r="AM6" s="161" t="inlineStr">
        <is>
          <t>Élevée — 3+ sources, domaines variés</t>
        </is>
      </c>
      <c r="AN6" s="155" t="inlineStr">
        <is>
          <t>https://iiwireviews.com/topping-l70-review-head-amp-with-full-bodied-sound</t>
        </is>
      </c>
      <c r="AO6" s="165" t="inlineStr">
        <is>
          <t>https://headfonics.com/topping-l70-review/</t>
        </is>
      </c>
      <c r="AP6" s="155" t="inlineStr">
        <is>
          <t>https://www.headfonia.com/topping-e70-l70-review/</t>
        </is>
      </c>
      <c r="AQ6" s="161" t="inlineStr">
        <is>
          <t>Objectif atteint</t>
        </is>
      </c>
      <c r="AR6" s="155" t="inlineStr">
        <is>
          <t>Head-Fi reviews: 1; Review éditoriale: 4</t>
        </is>
      </c>
    </row>
    <row r="7" ht="54" customHeight="1">
      <c r="A7" s="117" t="inlineStr">
        <is>
          <t>iBasso</t>
        </is>
      </c>
      <c r="B7" s="117" t="inlineStr">
        <is>
          <t>DC-Elite</t>
        </is>
      </c>
      <c r="C7" s="117" t="inlineStr">
        <is>
          <t>Dongle DAC/amp</t>
        </is>
      </c>
      <c r="D7" s="117" t="inlineStr">
        <is>
          <t>Neutre-naturel, très résolvant, incisif sans sécheresse</t>
        </is>
      </c>
      <c r="E7" s="117" t="inlineStr">
        <is>
          <t>Microdétail + profondeur + contours + texture</t>
        </is>
      </c>
      <c r="F7" s="117" t="inlineStr">
        <is>
          <t>Cher, consommation USB, moins organique que N7</t>
        </is>
      </c>
      <c r="G7" s="118" t="n">
        <v>9.6</v>
      </c>
      <c r="H7" s="119" t="n">
        <v>9.6</v>
      </c>
      <c r="I7" s="119" t="n">
        <v>9.199999999999999</v>
      </c>
      <c r="J7" s="119" t="n">
        <v>9.199999999999999</v>
      </c>
      <c r="K7" s="119" t="n">
        <v>9.4</v>
      </c>
      <c r="L7" s="119" t="n">
        <v>9.199999999999999</v>
      </c>
      <c r="M7" s="119" t="n">
        <v>9.5</v>
      </c>
      <c r="N7" s="119" t="n">
        <v>7</v>
      </c>
      <c r="O7" s="119" t="n">
        <v>9</v>
      </c>
      <c r="P7" s="119" t="n">
        <v>9.699999999999999</v>
      </c>
      <c r="Q7" s="158">
        <f>IF(COUNT(G7:P7)=10,ROUND((G7*'Pondérations'!$B$5+H7*'Pondérations'!$B$6+I7*'Pondérations'!$B$7+J7*'Pondérations'!$B$8+K7*'Pondérations'!$B$9+L7*'Pondérations'!$B$10+M7*'Pondérations'!$B$11+N7*'Pondérations'!$B$12+O7*'Pondérations'!$B$13+P7*'Pondérations'!$B$14)/'Pondérations'!$B$16,3),"")</f>
        <v/>
      </c>
      <c r="R7" s="159">
        <f>IF(Q7="","",1+COUNTIF($Q$7:$Q$178,"&gt;"&amp;Q7)+COUNTIF($Q$7:Q7,Q7)-1)</f>
        <v/>
      </c>
      <c r="S7" s="122" t="n"/>
      <c r="T7" s="117" t="n"/>
      <c r="U7" s="117" t="n"/>
      <c r="V7" s="123" t="inlineStr">
        <is>
          <t>Élevée</t>
        </is>
      </c>
      <c r="W7" s="117" t="inlineStr">
        <is>
          <t>Discussion + Headfonics</t>
        </is>
      </c>
      <c r="X7" s="118" t="n">
        <v>8.6</v>
      </c>
      <c r="Y7" s="123" t="inlineStr">
        <is>
          <t>Reader</t>
        </is>
      </c>
      <c r="Z7" s="124" t="n">
        <v>45499</v>
      </c>
      <c r="AA7" s="125" t="n">
        <v>3</v>
      </c>
      <c r="AB7" s="126" t="inlineStr">
        <is>
          <t>https://headfonics.com/?s=iBasso+DC-Elite</t>
        </is>
      </c>
      <c r="AC7" s="117" t="inlineStr">
        <is>
          <t>Flagship dongle DAC/amp</t>
        </is>
      </c>
      <c r="AD7" s="123" t="inlineStr">
        <is>
          <t>Déjà présent</t>
        </is>
      </c>
      <c r="AE7" s="125" t="n">
        <v>51</v>
      </c>
      <c r="AF7" s="127" t="n">
        <v>439</v>
      </c>
      <c r="AG7" s="122" t="inlineStr">
        <is>
          <t>Dongle flagship très détaillé, propre et extrêmement dynamique, avec un niveau proche de certains DAP haut de gamme.</t>
        </is>
      </c>
      <c r="AH7" s="117" t="inlineStr">
        <is>
          <t>Neutre-naturel, très résolvant.</t>
        </is>
      </c>
      <c r="AI7" s="117" t="inlineStr">
        <is>
          <t>Scène franchement holographique, excellente dynamique et très bon contrôle des petits niveaux.</t>
        </is>
      </c>
      <c r="AJ7" s="117" t="inlineStr">
        <is>
          <t>Ergonomie du volume perfectible; résultat peut varier selon la source USB/téléphone.</t>
        </is>
      </c>
      <c r="AK7" s="117" t="inlineStr">
        <is>
          <t>https://headfonics.com/ibasso-dc-elite-review/</t>
        </is>
      </c>
      <c r="AL7" s="125" t="n">
        <v>4</v>
      </c>
      <c r="AM7" s="123" t="inlineStr">
        <is>
          <t>Élevée — 3+ sources, domaines variés</t>
        </is>
      </c>
      <c r="AN7" s="117" t="inlineStr">
        <is>
          <t>https://www.head-fi.org/showcase/ibasso-dc-elite.27762/</t>
        </is>
      </c>
      <c r="AO7" s="128" t="inlineStr">
        <is>
          <t>https://www.headfonia.com/ibasso-dc-elite-review/</t>
        </is>
      </c>
      <c r="AP7" s="117" t="inlineStr">
        <is>
          <t>https://mobileaudiophile.com/dacs/dongle/ibasso-dc-elite-review-magic-box/</t>
        </is>
      </c>
      <c r="AQ7" s="123" t="inlineStr">
        <is>
          <t>Objectif atteint</t>
        </is>
      </c>
      <c r="AR7" s="117" t="inlineStr">
        <is>
          <t>Head-Fi reviews: 1; Review éditoriale: 3</t>
        </is>
      </c>
    </row>
    <row r="8" ht="54" customHeight="1">
      <c r="A8" s="129" t="inlineStr">
        <is>
          <t>Quloos</t>
        </is>
      </c>
      <c r="B8" s="129" t="inlineStr">
        <is>
          <t>MUB1</t>
        </is>
      </c>
      <c r="C8" s="129" t="inlineStr">
        <is>
          <t>DAC/amp portable sur batterie</t>
        </is>
      </c>
      <c r="D8" s="129" t="inlineStr">
        <is>
          <t>Légèrement chaleureux, dense, transparent</t>
        </is>
      </c>
      <c r="E8" s="129" t="inlineStr">
        <is>
          <t>Densité, layering, profondeur verticale, puissance</t>
        </is>
      </c>
      <c r="F8" s="129" t="inlineStr">
        <is>
          <t>Un peu plus doux/moins incisif que DC-Elite</t>
        </is>
      </c>
      <c r="G8" s="130" t="n">
        <v>9.300000000000001</v>
      </c>
      <c r="H8" s="131" t="n">
        <v>9.1</v>
      </c>
      <c r="I8" s="131" t="n">
        <v>9.199999999999999</v>
      </c>
      <c r="J8" s="131" t="n">
        <v>9.1</v>
      </c>
      <c r="K8" s="131" t="n">
        <v>9.300000000000001</v>
      </c>
      <c r="L8" s="131" t="n">
        <v>9.4</v>
      </c>
      <c r="M8" s="131" t="n">
        <v>9.1</v>
      </c>
      <c r="N8" s="131" t="n">
        <v>9.5</v>
      </c>
      <c r="O8" s="131" t="n">
        <v>7.8</v>
      </c>
      <c r="P8" s="131" t="n">
        <v>9.5</v>
      </c>
      <c r="Q8" s="158">
        <f>IF(COUNT(G8:P8)=10,ROUND((G8*'Pondérations'!$B$5+H8*'Pondérations'!$B$6+I8*'Pondérations'!$B$7+J8*'Pondérations'!$B$8+K8*'Pondérations'!$B$9+L8*'Pondérations'!$B$10+M8*'Pondérations'!$B$11+N8*'Pondérations'!$B$12+O8*'Pondérations'!$B$13+P8*'Pondérations'!$B$14)/'Pondérations'!$B$16,3),"")</f>
        <v/>
      </c>
      <c r="R8" s="159">
        <f>IF(Q8="","",1+COUNTIF($Q$7:$Q$178,"&gt;"&amp;Q8)+COUNTIF($Q$7:Q8,Q8)-1)</f>
        <v/>
      </c>
      <c r="S8" s="132" t="n"/>
      <c r="T8" s="129" t="n"/>
      <c r="U8" s="129" t="n"/>
      <c r="V8" s="133" t="inlineStr">
        <is>
          <t>Moyenne à élevée</t>
        </is>
      </c>
      <c r="W8" s="129" t="inlineStr">
        <is>
          <t>Discussion initiale</t>
        </is>
      </c>
      <c r="X8" s="130" t="n"/>
      <c r="Y8" s="133" t="n"/>
      <c r="Z8" s="134" t="n"/>
      <c r="AA8" s="135" t="n"/>
      <c r="AB8" s="129" t="n"/>
      <c r="AC8" s="129" t="n"/>
      <c r="AD8" s="133" t="n"/>
      <c r="AE8" s="135" t="n"/>
      <c r="AF8" s="136" t="n">
        <v>439</v>
      </c>
      <c r="AG8" s="132" t="inlineStr">
        <is>
          <t>Le MUB1 est régulièrement décrit comme naturel, dense et très propre, avec un grave profond et contrôlé, des médiums riches et un aigu détaillé sans agressivité.</t>
        </is>
      </c>
      <c r="AH8" s="129" t="inlineStr">
        <is>
          <t>Équilibrée, naturelle, légèrement chaleureuse</t>
        </is>
      </c>
      <c r="AI8" s="129" t="inlineStr">
        <is>
          <t>Scène spacieuse avec vraie profondeur, bon layering et fond noir; image précise sans sonner sèche.</t>
        </is>
      </c>
      <c r="AJ8" s="129" t="inlineStr">
        <is>
          <t>Peut sembler un peu moins tranchant qu'un dongle très analytique; le super-gain est moins adapté aux IEM sensibles.</t>
        </is>
      </c>
      <c r="AK8" s="129" t="inlineStr">
        <is>
          <t>https://moonstarreviews.net/quloos-mub1-review/</t>
        </is>
      </c>
      <c r="AL8" s="135" t="n">
        <v>4</v>
      </c>
      <c r="AM8" s="133" t="inlineStr">
        <is>
          <t>Élevée — 3+ sources, domaines variés</t>
        </is>
      </c>
      <c r="AN8" s="129" t="inlineStr">
        <is>
          <t>https://www.head-fi.org/showcase/qls-hifi-mub1.26725/reviews</t>
        </is>
      </c>
      <c r="AO8" s="137" t="inlineStr">
        <is>
          <t>https://theheadphonelist.com/review-quloos-mub1/</t>
        </is>
      </c>
      <c r="AP8" s="129" t="inlineStr">
        <is>
          <t>https://www.head-fi.org/threads/qls-mub-1.969455/</t>
        </is>
      </c>
      <c r="AQ8" s="133" t="inlineStr">
        <is>
          <t>Objectif atteint</t>
        </is>
      </c>
      <c r="AR8" s="129" t="inlineStr">
        <is>
          <t>Head-Fi forum: 1; Head-Fi reviews: 1; Review éditoriale: 2</t>
        </is>
      </c>
    </row>
    <row r="9" ht="54" customHeight="1">
      <c r="A9" s="117" t="inlineStr">
        <is>
          <t>Cayin</t>
        </is>
      </c>
      <c r="B9" s="117" t="inlineStr">
        <is>
          <t>RU7</t>
        </is>
      </c>
      <c r="C9" s="117" t="inlineStr">
        <is>
          <t>Dongle DAC/amp R-2R/1-bit</t>
        </is>
      </c>
      <c r="D9" s="117" t="inlineStr">
        <is>
          <t>Fluide, organique, doux, spatial</t>
        </is>
      </c>
      <c r="E9" s="117" t="inlineStr">
        <is>
          <t>Profondeur naturelle, cohérence des timbres, image 3D</t>
        </is>
      </c>
      <c r="F9" s="117" t="inlineStr">
        <is>
          <t>Redondant avec le N7; moins incisif que DC-Elite</t>
        </is>
      </c>
      <c r="G9" s="118" t="n">
        <v>8.800000000000001</v>
      </c>
      <c r="H9" s="119" t="n">
        <v>9</v>
      </c>
      <c r="I9" s="119" t="n">
        <v>9.4</v>
      </c>
      <c r="J9" s="119" t="n">
        <v>9.5</v>
      </c>
      <c r="K9" s="119" t="n">
        <v>9.300000000000001</v>
      </c>
      <c r="L9" s="119" t="n">
        <v>9.699999999999999</v>
      </c>
      <c r="M9" s="119" t="n">
        <v>8.699999999999999</v>
      </c>
      <c r="N9" s="119" t="n">
        <v>7.8</v>
      </c>
      <c r="O9" s="119" t="n">
        <v>9.300000000000001</v>
      </c>
      <c r="P9" s="119" t="n">
        <v>8</v>
      </c>
      <c r="Q9" s="158">
        <f>IF(COUNT(G9:P9)=10,ROUND((G9*'Pondérations'!$B$5+H9*'Pondérations'!$B$6+I9*'Pondérations'!$B$7+J9*'Pondérations'!$B$8+K9*'Pondérations'!$B$9+L9*'Pondérations'!$B$10+M9*'Pondérations'!$B$11+N9*'Pondérations'!$B$12+O9*'Pondérations'!$B$13+P9*'Pondérations'!$B$14)/'Pondérations'!$B$16,3),"")</f>
        <v/>
      </c>
      <c r="R9" s="159">
        <f>IF(Q9="","",1+COUNTIF($Q$7:$Q$178,"&gt;"&amp;Q9)+COUNTIF($Q$7:Q9,Q9)-1)</f>
        <v/>
      </c>
      <c r="S9" s="122" t="n"/>
      <c r="T9" s="117" t="n"/>
      <c r="U9" s="117" t="n"/>
      <c r="V9" s="123" t="inlineStr">
        <is>
          <t>Élevée</t>
        </is>
      </c>
      <c r="W9" s="117" t="inlineStr">
        <is>
          <t>Discussion + Headfonics</t>
        </is>
      </c>
      <c r="X9" s="118" t="n">
        <v>8.6</v>
      </c>
      <c r="Y9" s="123" t="inlineStr">
        <is>
          <t>Reader</t>
        </is>
      </c>
      <c r="Z9" s="124" t="n">
        <v>45143</v>
      </c>
      <c r="AA9" s="125" t="n">
        <v>4</v>
      </c>
      <c r="AB9" s="126" t="inlineStr">
        <is>
          <t>https://headfonics.com/?s=Cayin+RU7</t>
        </is>
      </c>
      <c r="AC9" s="117" t="inlineStr">
        <is>
          <t>1-bit discrete resistor-network dongle DAC/amp</t>
        </is>
      </c>
      <c r="AD9" s="123" t="inlineStr">
        <is>
          <t>Déjà présent</t>
        </is>
      </c>
      <c r="AE9" s="125" t="n">
        <v>78</v>
      </c>
      <c r="AF9" s="138" t="n">
        <v>255</v>
      </c>
      <c r="AG9" s="122" t="inlineStr">
        <is>
          <t>Très musical et techniquement solide; restitution colorée de façon agréable, avec une excellente puissance et des modes DSD qui modifient réellement le rendu.</t>
        </is>
      </c>
      <c r="AH9" s="117" t="inlineStr">
        <is>
          <t>Organique, légèrement chaleureuse</t>
        </is>
      </c>
      <c r="AI9" s="117" t="inlineStr">
        <is>
          <t>Immersive et techniquement aboutie; bonne profondeur et cohérence spatiale</t>
        </is>
      </c>
      <c r="AJ9" s="117" t="inlineStr">
        <is>
          <t>Consommation/ergonomie dongle; câble Lightning non fourni</t>
        </is>
      </c>
      <c r="AK9" s="117" t="inlineStr">
        <is>
          <t>https://headfonics.com/cayin-ru7-review/</t>
        </is>
      </c>
      <c r="AL9" s="125" t="n">
        <v>4</v>
      </c>
      <c r="AM9" s="123" t="inlineStr">
        <is>
          <t>Élevée — 3+ sources, domaines variés</t>
        </is>
      </c>
      <c r="AN9" s="117" t="inlineStr">
        <is>
          <t>https://www.head-fi.org/showcase/cayin-ru7.26493/reviews</t>
        </is>
      </c>
      <c r="AO9" s="128" t="inlineStr">
        <is>
          <t>https://iiwireviews.com/cayin-ru7-dac-review-fantastic-portable-sound/</t>
        </is>
      </c>
      <c r="AP9" s="117" t="inlineStr">
        <is>
          <t>https://www.ecoustics.com/reviews/cayin-ru7-dongle-dac/</t>
        </is>
      </c>
      <c r="AQ9" s="123" t="inlineStr">
        <is>
          <t>Objectif atteint</t>
        </is>
      </c>
      <c r="AR9" s="117" t="inlineStr">
        <is>
          <t>Head-Fi reviews: 1; Review éditoriale: 3</t>
        </is>
      </c>
    </row>
    <row r="10" ht="54" customHeight="1">
      <c r="A10" s="129" t="inlineStr">
        <is>
          <t>Dethonray</t>
        </is>
      </c>
      <c r="B10" s="129" t="inlineStr">
        <is>
          <t>Clarinet</t>
        </is>
      </c>
      <c r="C10" s="129" t="inlineStr">
        <is>
          <t>DAC/amp portable sur batterie</t>
        </is>
      </c>
      <c r="D10" s="129" t="inlineStr">
        <is>
          <t>Naturel, doux, légèrement sombre, texturé</t>
        </is>
      </c>
      <c r="E10" s="129" t="inlineStr">
        <is>
          <t>Grande scène, layering, matière, douceur</t>
        </is>
      </c>
      <c r="F10" s="129" t="inlineStr">
        <is>
          <t>Moins neutre et moins incisif; microdétail un peu moins frontal</t>
        </is>
      </c>
      <c r="G10" s="130" t="n">
        <v>8.699999999999999</v>
      </c>
      <c r="H10" s="131" t="n">
        <v>8.699999999999999</v>
      </c>
      <c r="I10" s="131" t="n">
        <v>9.300000000000001</v>
      </c>
      <c r="J10" s="131" t="n">
        <v>9.199999999999999</v>
      </c>
      <c r="K10" s="131" t="n">
        <v>9.199999999999999</v>
      </c>
      <c r="L10" s="131" t="n">
        <v>9.6</v>
      </c>
      <c r="M10" s="131" t="n">
        <v>8.800000000000001</v>
      </c>
      <c r="N10" s="131" t="n">
        <v>8.800000000000001</v>
      </c>
      <c r="O10" s="131" t="n">
        <v>7.2</v>
      </c>
      <c r="P10" s="131" t="n">
        <v>8.800000000000001</v>
      </c>
      <c r="Q10" s="158">
        <f>IF(COUNT(G10:P10)=10,ROUND((G10*'Pondérations'!$B$5+H10*'Pondérations'!$B$6+I10*'Pondérations'!$B$7+J10*'Pondérations'!$B$8+K10*'Pondérations'!$B$9+L10*'Pondérations'!$B$10+M10*'Pondérations'!$B$11+N10*'Pondérations'!$B$12+O10*'Pondérations'!$B$13+P10*'Pondérations'!$B$14)/'Pondérations'!$B$16,3),"")</f>
        <v/>
      </c>
      <c r="R10" s="159">
        <f>IF(Q10="","",1+COUNTIF($Q$7:$Q$178,"&gt;"&amp;Q10)+COUNTIF($Q$7:Q10,Q10)-1)</f>
        <v/>
      </c>
      <c r="S10" s="132" t="n"/>
      <c r="T10" s="129" t="n"/>
      <c r="U10" s="129" t="n"/>
      <c r="V10" s="133" t="inlineStr">
        <is>
          <t>Moyenne</t>
        </is>
      </c>
      <c r="W10" s="129" t="inlineStr">
        <is>
          <t>Discussion initiale</t>
        </is>
      </c>
      <c r="X10" s="130" t="n"/>
      <c r="Y10" s="133" t="n"/>
      <c r="Z10" s="134" t="n"/>
      <c r="AA10" s="135" t="n"/>
      <c r="AB10" s="129" t="n"/>
      <c r="AC10" s="129" t="n"/>
      <c r="AD10" s="133" t="n"/>
      <c r="AE10" s="135" t="n"/>
      <c r="AF10" s="136" t="n">
        <v>196</v>
      </c>
      <c r="AG10" s="132" t="inlineStr">
        <is>
          <t>Le Clarinet privilégie une restitution fluide, musicale et organique avec des médiums très naturels. Il conserve un bon niveau de microdétail malgré sa douceur.</t>
        </is>
      </c>
      <c r="AH10" s="129" t="inlineStr">
        <is>
          <t>Neutre-douce, légèrement chaude et organique</t>
        </is>
      </c>
      <c r="AI10" s="129" t="inlineStr">
        <is>
          <t>Scène large et ouverte, bonne profondeur et layering, fond noir; spatialisation plus enveloppante que démonstrative.</t>
        </is>
      </c>
      <c r="AJ10" s="129" t="inlineStr">
        <is>
          <t>Grave/mid-bass parfois un peu léger; extension d'aigu perfectible face aux meilleurs concurrents.</t>
        </is>
      </c>
      <c r="AK10" s="129" t="inlineStr">
        <is>
          <t>https://www.headfonia.com/dethonray-clarinet-review/</t>
        </is>
      </c>
      <c r="AL10" s="135" t="n">
        <v>4</v>
      </c>
      <c r="AM10" s="133" t="inlineStr">
        <is>
          <t>Élevée — 3+ sources, domaines variés</t>
        </is>
      </c>
      <c r="AN10" s="129" t="inlineStr">
        <is>
          <t>https://www.head-fi.org/showcase/dethonray-clarinet.27782/reviews</t>
        </is>
      </c>
      <c r="AO10" s="137" t="inlineStr">
        <is>
          <t>https://www.audiophile-heaven.com/2025/04/the-canto-master-dethonray-clarinet-dac-headphone-amp.html</t>
        </is>
      </c>
      <c r="AP10" s="129" t="inlineStr">
        <is>
          <t>https://www.head-fi.org/threads/dethonray-clarinet-portable-dac-amp-discussion-impression-thread.975231/</t>
        </is>
      </c>
      <c r="AQ10" s="133" t="inlineStr">
        <is>
          <t>Objectif atteint</t>
        </is>
      </c>
      <c r="AR10" s="129" t="inlineStr">
        <is>
          <t>Head-Fi forum: 1; Head-Fi reviews: 1; Review éditoriale: 2</t>
        </is>
      </c>
    </row>
    <row r="11" ht="54" customHeight="1">
      <c r="A11" s="117" t="inlineStr">
        <is>
          <t>Moondrop</t>
        </is>
      </c>
      <c r="B11" s="117" t="inlineStr">
        <is>
          <t>Moonriver 3</t>
        </is>
      </c>
      <c r="C11" s="117" t="inlineStr">
        <is>
          <t>Dongle DAC/amp</t>
        </is>
      </c>
      <c r="D11" s="117" t="inlineStr">
        <is>
          <t>Neutre, très ouvert, analytique sans être stérile</t>
        </is>
      </c>
      <c r="E11" s="117" t="inlineStr">
        <is>
          <t>Résolution, scène large/profonde, séparation</t>
        </is>
      </c>
      <c r="F11" s="117" t="inlineStr">
        <is>
          <t>Moins incarné/organique que N7 ou solutions hybrides</t>
        </is>
      </c>
      <c r="G11" s="118" t="n">
        <v>9.4</v>
      </c>
      <c r="H11" s="119" t="n">
        <v>9.300000000000001</v>
      </c>
      <c r="I11" s="119" t="n">
        <v>9.1</v>
      </c>
      <c r="J11" s="119" t="n">
        <v>9</v>
      </c>
      <c r="K11" s="119" t="n">
        <v>9.199999999999999</v>
      </c>
      <c r="L11" s="119" t="n">
        <v>8.6</v>
      </c>
      <c r="M11" s="119" t="n">
        <v>9.199999999999999</v>
      </c>
      <c r="N11" s="119" t="n">
        <v>8.800000000000001</v>
      </c>
      <c r="O11" s="119" t="n">
        <v>9</v>
      </c>
      <c r="P11" s="119" t="n">
        <v>9.1</v>
      </c>
      <c r="Q11" s="158">
        <f>IF(COUNT(G11:P11)=10,ROUND((G11*'Pondérations'!$B$5+H11*'Pondérations'!$B$6+I11*'Pondérations'!$B$7+J11*'Pondérations'!$B$8+K11*'Pondérations'!$B$9+L11*'Pondérations'!$B$10+M11*'Pondérations'!$B$11+N11*'Pondérations'!$B$12+O11*'Pondérations'!$B$13+P11*'Pondérations'!$B$14)/'Pondérations'!$B$16,3),"")</f>
        <v/>
      </c>
      <c r="R11" s="159">
        <f>IF(Q11="","",1+COUNTIF($Q$7:$Q$178,"&gt;"&amp;Q11)+COUNTIF($Q$7:Q11,Q11)-1)</f>
        <v/>
      </c>
      <c r="S11" s="122" t="n"/>
      <c r="T11" s="117" t="n"/>
      <c r="U11" s="117" t="n"/>
      <c r="V11" s="123" t="inlineStr">
        <is>
          <t>Élevée</t>
        </is>
      </c>
      <c r="W11" s="117" t="inlineStr">
        <is>
          <t>Discussion + Headfonics</t>
        </is>
      </c>
      <c r="X11" s="118" t="n">
        <v>8.699999999999999</v>
      </c>
      <c r="Y11" s="123" t="inlineStr">
        <is>
          <t>Award</t>
        </is>
      </c>
      <c r="Z11" s="124" t="n">
        <v>46144</v>
      </c>
      <c r="AA11" s="125" t="n">
        <v>1</v>
      </c>
      <c r="AB11" s="126" t="inlineStr">
        <is>
          <t>https://headfonics.com/?s=Moondrop+Moonriver+3</t>
        </is>
      </c>
      <c r="AC11" s="117" t="inlineStr">
        <is>
          <t>Dual CS43198 dongle DAC, DSP, up to 500 mW</t>
        </is>
      </c>
      <c r="AD11" s="123" t="inlineStr">
        <is>
          <t>Déjà présent</t>
        </is>
      </c>
      <c r="AE11" s="125" t="n">
        <v>8</v>
      </c>
      <c r="AF11" s="127" t="n">
        <v>229</v>
      </c>
      <c r="AG11" s="122" t="inlineStr">
        <is>
          <t>Dongle très dynamique, détaillé et large, avec fond très silencieux et excellente polyvalence.</t>
        </is>
      </c>
      <c r="AH11" s="117" t="inlineStr">
        <is>
          <t>Neutre, ouvert et énergique.</t>
        </is>
      </c>
      <c r="AI11" s="117" t="inlineStr">
        <is>
          <t>Large scène, très bonne séparation et résolution.</t>
        </is>
      </c>
      <c r="AJ11" s="117" t="inlineStr">
        <is>
          <t>Pas de gain physique; plus lourd que la génération précédente.</t>
        </is>
      </c>
      <c r="AK11" s="117" t="inlineStr">
        <is>
          <t>https://headfonics.com/moondrop-moonriver-3-review/</t>
        </is>
      </c>
      <c r="AL11" s="125" t="n">
        <v>3</v>
      </c>
      <c r="AM11" s="123" t="inlineStr">
        <is>
          <t>Élevée — 3+ sources, domaines variés</t>
        </is>
      </c>
      <c r="AN11" s="117" t="inlineStr">
        <is>
          <t>https://www.hifidaydreaming.com/post/the-future-of-portable-dac-amps-is-here-moondrop-moonriver-3-review</t>
        </is>
      </c>
      <c r="AO11" s="128" t="inlineStr">
        <is>
          <t>https://cj.sina.com.cn/articles/view/7879848900/1d5acf3c402702rlle?froms=ggmp</t>
        </is>
      </c>
      <c r="AP11" s="117" t="n"/>
      <c r="AQ11" s="123" t="inlineStr">
        <is>
          <t>Objectif atteint</t>
        </is>
      </c>
      <c r="AR11" s="117" t="inlineStr">
        <is>
          <t>Review éditoriale: 3</t>
        </is>
      </c>
    </row>
    <row r="12" ht="54" customHeight="1">
      <c r="A12" s="129" t="inlineStr">
        <is>
          <t>ONIX</t>
        </is>
      </c>
      <c r="B12" s="129" t="inlineStr">
        <is>
          <t>Beta XI2</t>
        </is>
      </c>
      <c r="C12" s="129" t="inlineStr">
        <is>
          <t>DAC/amp portable hybride</t>
        </is>
      </c>
      <c r="D12" s="129" t="inlineStr">
        <is>
          <t>Naturel, légèrement chaleureux; tubes plus organiques</t>
        </is>
      </c>
      <c r="E12" s="129" t="inlineStr">
        <is>
          <t>Corps, profondeur, double signature</t>
        </is>
      </c>
      <c r="F12" s="129" t="inlineStr">
        <is>
          <t>Moins transparent/raffiné que N7; plus encombrant</t>
        </is>
      </c>
      <c r="G12" s="130" t="n">
        <v>8.9</v>
      </c>
      <c r="H12" s="131" t="n">
        <v>8.800000000000001</v>
      </c>
      <c r="I12" s="131" t="n">
        <v>9.1</v>
      </c>
      <c r="J12" s="131" t="n">
        <v>9.199999999999999</v>
      </c>
      <c r="K12" s="131" t="n">
        <v>9</v>
      </c>
      <c r="L12" s="131" t="n">
        <v>9.5</v>
      </c>
      <c r="M12" s="131" t="n">
        <v>8.800000000000001</v>
      </c>
      <c r="N12" s="131" t="n">
        <v>9</v>
      </c>
      <c r="O12" s="131" t="n">
        <v>6.8</v>
      </c>
      <c r="P12" s="131" t="n">
        <v>9</v>
      </c>
      <c r="Q12" s="158">
        <f>IF(COUNT(G12:P12)=10,ROUND((G12*'Pondérations'!$B$5+H12*'Pondérations'!$B$6+I12*'Pondérations'!$B$7+J12*'Pondérations'!$B$8+K12*'Pondérations'!$B$9+L12*'Pondérations'!$B$10+M12*'Pondérations'!$B$11+N12*'Pondérations'!$B$12+O12*'Pondérations'!$B$13+P12*'Pondérations'!$B$14)/'Pondérations'!$B$16,3),"")</f>
        <v/>
      </c>
      <c r="R12" s="159">
        <f>IF(Q12="","",1+COUNTIF($Q$7:$Q$178,"&gt;"&amp;Q12)+COUNTIF($Q$7:Q12,Q12)-1)</f>
        <v/>
      </c>
      <c r="S12" s="132" t="n"/>
      <c r="T12" s="129" t="n"/>
      <c r="U12" s="129" t="n"/>
      <c r="V12" s="133" t="inlineStr">
        <is>
          <t>Moyenne</t>
        </is>
      </c>
      <c r="W12" s="129" t="inlineStr">
        <is>
          <t>Discussion + Headfonics</t>
        </is>
      </c>
      <c r="X12" s="130" t="n">
        <v>8.5</v>
      </c>
      <c r="Y12" s="133" t="inlineStr">
        <is>
          <t>Reader</t>
        </is>
      </c>
      <c r="Z12" s="134" t="n">
        <v>45987</v>
      </c>
      <c r="AA12" s="135" t="n">
        <v>1</v>
      </c>
      <c r="AB12" s="139" t="inlineStr">
        <is>
          <t>https://headfonics.com/?s=ONIX+Beta+XI2</t>
        </is>
      </c>
      <c r="AC12" s="129" t="inlineStr">
        <is>
          <t>Hybrid solid-state/JAN6418 tube dongle DAC</t>
        </is>
      </c>
      <c r="AD12" s="133" t="inlineStr">
        <is>
          <t>Déjà présent</t>
        </is>
      </c>
      <c r="AE12" s="135" t="n">
        <v>16</v>
      </c>
      <c r="AF12" s="127" t="n">
        <v>349</v>
      </c>
      <c r="AG12" s="132" t="inlineStr">
        <is>
          <t>Deux signatures utiles : transistor propre et défini, tube plus doux et chaleureux, avec un très faible bruit de fond.</t>
        </is>
      </c>
      <c r="AH12" s="129" t="inlineStr">
        <is>
          <t>Naturel; transistor analytique, tube chaleureux.</t>
        </is>
      </c>
      <c r="AI12" s="129" t="inlineStr">
        <is>
          <t>Bon layering et placement 3D, largeur supérieure en transistor; profondeur seulement correcte.</t>
        </is>
      </c>
      <c r="AJ12" s="129" t="inlineStr">
        <is>
          <t>Accessoires basiques; profondeur pas au niveau des sources haut de gamme.</t>
        </is>
      </c>
      <c r="AK12" s="129" t="inlineStr">
        <is>
          <t>https://headfonics.com/onix-beta-xi2-review/</t>
        </is>
      </c>
      <c r="AL12" s="135" t="n">
        <v>4</v>
      </c>
      <c r="AM12" s="133" t="inlineStr">
        <is>
          <t>Élevée — 3+ sources, domaines variés</t>
        </is>
      </c>
      <c r="AN12" s="129" t="inlineStr">
        <is>
          <t>https://www.headfonia.com/onix-beta-xi2-review/</t>
        </is>
      </c>
      <c r="AO12" s="137" t="inlineStr">
        <is>
          <t>https://www.audiophile-heaven.com/2025/11/shanling-onix-beta-xi2-tube-usb-dongle-dac-amp-review-dual-dacs-dual-tubes-dual-fun.html</t>
        </is>
      </c>
      <c r="AP12" s="129" t="inlineStr">
        <is>
          <t>https://www.ecoustics.com/reviews/onix-beta-xi2/</t>
        </is>
      </c>
      <c r="AQ12" s="133" t="inlineStr">
        <is>
          <t>Objectif atteint</t>
        </is>
      </c>
      <c r="AR12" s="129" t="inlineStr">
        <is>
          <t>Review éditoriale: 4</t>
        </is>
      </c>
    </row>
    <row r="13" ht="54" customHeight="1">
      <c r="A13" s="117" t="inlineStr">
        <is>
          <t>MUSE HiFi</t>
        </is>
      </c>
      <c r="B13" s="117" t="inlineStr">
        <is>
          <t>M6 Double</t>
        </is>
      </c>
      <c r="C13" s="117" t="inlineStr">
        <is>
          <t>DAC/amp portable hybride</t>
        </is>
      </c>
      <c r="D13" s="117" t="inlineStr">
        <is>
          <t>Spacieux, immersif, tubes plus charnels</t>
        </is>
      </c>
      <c r="E13" s="117" t="inlineStr">
        <is>
          <t>Effet 3D, profondeur, immersion, choix tube/transistor</t>
        </is>
      </c>
      <c r="F13" s="117" t="inlineStr">
        <is>
          <t>Plus coloré, retours indépendants encore limités</t>
        </is>
      </c>
      <c r="G13" s="118" t="n">
        <v>8.800000000000001</v>
      </c>
      <c r="H13" s="119" t="n">
        <v>8.9</v>
      </c>
      <c r="I13" s="119" t="n">
        <v>8.9</v>
      </c>
      <c r="J13" s="119" t="n">
        <v>9</v>
      </c>
      <c r="K13" s="119" t="n">
        <v>9.199999999999999</v>
      </c>
      <c r="L13" s="119" t="n">
        <v>9.199999999999999</v>
      </c>
      <c r="M13" s="119" t="n">
        <v>9</v>
      </c>
      <c r="N13" s="119" t="n">
        <v>8.199999999999999</v>
      </c>
      <c r="O13" s="119" t="n">
        <v>6.5</v>
      </c>
      <c r="P13" s="119" t="n">
        <v>8.9</v>
      </c>
      <c r="Q13" s="158">
        <f>IF(COUNT(G13:P13)=10,ROUND((G13*'Pondérations'!$B$5+H13*'Pondérations'!$B$6+I13*'Pondérations'!$B$7+J13*'Pondérations'!$B$8+K13*'Pondérations'!$B$9+L13*'Pondérations'!$B$10+M13*'Pondérations'!$B$11+N13*'Pondérations'!$B$12+O13*'Pondérations'!$B$13+P13*'Pondérations'!$B$14)/'Pondérations'!$B$16,3),"")</f>
        <v/>
      </c>
      <c r="R13" s="159">
        <f>IF(Q13="","",1+COUNTIF($Q$7:$Q$178,"&gt;"&amp;Q13)+COUNTIF($Q$7:Q13,Q13)-1)</f>
        <v/>
      </c>
      <c r="S13" s="122" t="n"/>
      <c r="T13" s="117" t="n"/>
      <c r="U13" s="117" t="n"/>
      <c r="V13" s="123" t="inlineStr">
        <is>
          <t>Moyenne</t>
        </is>
      </c>
      <c r="W13" s="117" t="inlineStr">
        <is>
          <t>Discussion + Headfonics</t>
        </is>
      </c>
      <c r="X13" s="118" t="n">
        <v>8.6</v>
      </c>
      <c r="Y13" s="123" t="inlineStr">
        <is>
          <t>Reader</t>
        </is>
      </c>
      <c r="Z13" s="124" t="n">
        <v>45958</v>
      </c>
      <c r="AA13" s="125" t="n">
        <v>1</v>
      </c>
      <c r="AB13" s="126" t="inlineStr">
        <is>
          <t>https://headfonics.com/?s=MUSE+HiFi+M6+Double</t>
        </is>
      </c>
      <c r="AC13" s="117" t="inlineStr">
        <is>
          <t>Dual-mode transistor/JAN6418 tube portable DAC/amp</t>
        </is>
      </c>
      <c r="AD13" s="123" t="inlineStr">
        <is>
          <t>Déjà présent</t>
        </is>
      </c>
      <c r="AE13" s="125" t="n">
        <v>19</v>
      </c>
      <c r="AF13" s="127" t="n">
        <v>449</v>
      </c>
      <c r="AG13" s="122" t="inlineStr">
        <is>
          <t>Hybride très doux et musical, encore plus soyeux en mode tube, avec une bonne capacité à alimenter des casques.</t>
        </is>
      </c>
      <c r="AH13" s="117" t="inlineStr">
        <is>
          <t>Doux; tube plus lisse que transistor.</t>
        </is>
      </c>
      <c r="AI13" s="117" t="inlineStr">
        <is>
          <t>Immersif et agréable, mais la review met plus en avant le caractère que la résolution brute.</t>
        </is>
      </c>
      <c r="AJ13" s="117" t="inlineStr">
        <is>
          <t>Puissance pas exceptionnelle vu le gabarit.</t>
        </is>
      </c>
      <c r="AK13" s="117" t="inlineStr">
        <is>
          <t>https://headfonics.com/muse-hifi-m6-double-review/</t>
        </is>
      </c>
      <c r="AL13" s="125" t="n">
        <v>4</v>
      </c>
      <c r="AM13" s="123" t="inlineStr">
        <is>
          <t>Élevée — 3+ sources, domaines variés</t>
        </is>
      </c>
      <c r="AN13" s="117" t="inlineStr">
        <is>
          <t>https://www.headfonia.com/muse-hifi-m6-double-review/</t>
        </is>
      </c>
      <c r="AO13" s="128" t="inlineStr">
        <is>
          <t>https://www.uni-sonia.com/musehifi-m6-double/</t>
        </is>
      </c>
      <c r="AP13" s="117" t="inlineStr">
        <is>
          <t>https://note.com/sekixyo/n/n1a59c57ce107</t>
        </is>
      </c>
      <c r="AQ13" s="123" t="inlineStr">
        <is>
          <t>Objectif atteint</t>
        </is>
      </c>
      <c r="AR13" s="117" t="inlineStr">
        <is>
          <t>Review éditoriale: 4</t>
        </is>
      </c>
    </row>
    <row r="14" ht="54" customHeight="1">
      <c r="A14" s="129" t="inlineStr">
        <is>
          <t>Questyle</t>
        </is>
      </c>
      <c r="B14" s="129" t="inlineStr">
        <is>
          <t>M15i</t>
        </is>
      </c>
      <c r="C14" s="129" t="inlineStr">
        <is>
          <t>Dongle DAC/amp</t>
        </is>
      </c>
      <c r="D14" s="129" t="inlineStr">
        <is>
          <t>Propre, doux, légèrement charnu, très spatial</t>
        </is>
      </c>
      <c r="E14" s="129" t="inlineStr">
        <is>
          <t>Image stable, profondeur naturelle, format compact</t>
        </is>
      </c>
      <c r="F14" s="129" t="inlineStr">
        <is>
          <t>Puissance plus limitée avec casques gourmands</t>
        </is>
      </c>
      <c r="G14" s="130" t="n">
        <v>9.300000000000001</v>
      </c>
      <c r="H14" s="131" t="n">
        <v>9.1</v>
      </c>
      <c r="I14" s="131" t="n">
        <v>9.1</v>
      </c>
      <c r="J14" s="131" t="n">
        <v>9.199999999999999</v>
      </c>
      <c r="K14" s="131" t="n">
        <v>9</v>
      </c>
      <c r="L14" s="131" t="n">
        <v>9</v>
      </c>
      <c r="M14" s="131" t="n">
        <v>8.800000000000001</v>
      </c>
      <c r="N14" s="131" t="n">
        <v>6.8</v>
      </c>
      <c r="O14" s="131" t="n">
        <v>9.6</v>
      </c>
      <c r="P14" s="131" t="n">
        <v>9</v>
      </c>
      <c r="Q14" s="158">
        <f>IF(COUNT(G14:P14)=10,ROUND((G14*'Pondérations'!$B$5+H14*'Pondérations'!$B$6+I14*'Pondérations'!$B$7+J14*'Pondérations'!$B$8+K14*'Pondérations'!$B$9+L14*'Pondérations'!$B$10+M14*'Pondérations'!$B$11+N14*'Pondérations'!$B$12+O14*'Pondérations'!$B$13+P14*'Pondérations'!$B$14)/'Pondérations'!$B$16,3),"")</f>
        <v/>
      </c>
      <c r="R14" s="159">
        <f>IF(Q14="","",1+COUNTIF($Q$7:$Q$178,"&gt;"&amp;Q14)+COUNTIF($Q$7:Q14,Q14)-1)</f>
        <v/>
      </c>
      <c r="S14" s="132" t="n"/>
      <c r="T14" s="129" t="n"/>
      <c r="U14" s="129" t="n"/>
      <c r="V14" s="133" t="inlineStr">
        <is>
          <t>Élevée</t>
        </is>
      </c>
      <c r="W14" s="129" t="inlineStr">
        <is>
          <t>Discussion initiale</t>
        </is>
      </c>
      <c r="X14" s="130" t="n"/>
      <c r="Y14" s="133" t="n"/>
      <c r="Z14" s="134" t="n"/>
      <c r="AA14" s="135" t="n"/>
      <c r="AB14" s="129" t="n"/>
      <c r="AC14" s="129" t="n"/>
      <c r="AD14" s="133" t="n"/>
      <c r="AE14" s="135" t="n"/>
      <c r="AF14" s="127" t="n">
        <v>259</v>
      </c>
      <c r="AG14" s="132" t="inlineStr">
        <is>
          <t>Le M15i combine une signature neutre avec une légère énergie en V et une amplification très rapide. Les retours insistent sur sa résolution, sa dynamique et son image spatiale.</t>
        </is>
      </c>
      <c r="AH14" s="129" t="inlineStr">
        <is>
          <t>Neutre, légèrement vive/énergique</t>
        </is>
      </c>
      <c r="AI14" s="129" t="inlineStr">
        <is>
          <t>Imagerie et layering très précis, bonne expansion avant-arrière; sortie 4,4 mm nettement plus convaincante que la 3,5 mm.</t>
        </is>
      </c>
      <c r="AJ14" s="129" t="inlineStr">
        <is>
          <t>Peut devenir un peu brillant ou métallique avec des transducteurs déjà lumineux; puissance limitée pour certains casques.</t>
        </is>
      </c>
      <c r="AK14" s="129" t="inlineStr">
        <is>
          <t>https://www.audiodiscourse.com/2024/06/questyle-m15i-portable-dacamp-review.html</t>
        </is>
      </c>
      <c r="AL14" s="135" t="n">
        <v>5</v>
      </c>
      <c r="AM14" s="133" t="inlineStr">
        <is>
          <t>Élevée — 3+ sources, domaines variés</t>
        </is>
      </c>
      <c r="AN14" s="129" t="inlineStr">
        <is>
          <t>https://majorhifi.com/questyle-m15i-review/</t>
        </is>
      </c>
      <c r="AO14" s="137" t="inlineStr">
        <is>
          <t>https://www.head-fi.org/showcase/questyle-m15i-%E2%80%94-mobile-headphone-amp-dac.27064/reviews</t>
        </is>
      </c>
      <c r="AP14" s="129" t="inlineStr">
        <is>
          <t>https://www.head-fi.org/threads/questyle-m12i-m15i-usb-dac-review-the-charm-of-current-mode-amplification.974037/</t>
        </is>
      </c>
      <c r="AQ14" s="133" t="inlineStr">
        <is>
          <t>Objectif atteint</t>
        </is>
      </c>
      <c r="AR14" s="129" t="inlineStr">
        <is>
          <t>Head-Fi forum: 1; Head-Fi reviews: 1; Review éditoriale: 3</t>
        </is>
      </c>
    </row>
    <row r="15" ht="54" customHeight="1">
      <c r="A15" s="117" t="inlineStr">
        <is>
          <t>Shanling</t>
        </is>
      </c>
      <c r="B15" s="117" t="inlineStr">
        <is>
          <t>UA7</t>
        </is>
      </c>
      <c r="C15" s="117" t="inlineStr">
        <is>
          <t>Dongle DAC/amp hybride</t>
        </is>
      </c>
      <c r="D15" s="117" t="inlineStr">
        <is>
          <t>Propre, légèrement chaleureux; tube plus organique</t>
        </is>
      </c>
      <c r="E15" s="117" t="inlineStr">
        <is>
          <t>Profondeur modulable, puissance, polyvalence</t>
        </is>
      </c>
      <c r="F15" s="117" t="inlineStr">
        <is>
          <t>Moins résolvant que DC-Elite; plus coloré selon mode</t>
        </is>
      </c>
      <c r="G15" s="118" t="n">
        <v>9</v>
      </c>
      <c r="H15" s="119" t="n">
        <v>8.800000000000001</v>
      </c>
      <c r="I15" s="119" t="n">
        <v>8.9</v>
      </c>
      <c r="J15" s="119" t="n">
        <v>9</v>
      </c>
      <c r="K15" s="119" t="n">
        <v>8.9</v>
      </c>
      <c r="L15" s="119" t="n">
        <v>9.199999999999999</v>
      </c>
      <c r="M15" s="119" t="n">
        <v>8.800000000000001</v>
      </c>
      <c r="N15" s="119" t="n">
        <v>9</v>
      </c>
      <c r="O15" s="119" t="n">
        <v>8.5</v>
      </c>
      <c r="P15" s="119" t="n">
        <v>8.6</v>
      </c>
      <c r="Q15" s="158">
        <f>IF(COUNT(G15:P15)=10,ROUND((G15*'Pondérations'!$B$5+H15*'Pondérations'!$B$6+I15*'Pondérations'!$B$7+J15*'Pondérations'!$B$8+K15*'Pondérations'!$B$9+L15*'Pondérations'!$B$10+M15*'Pondérations'!$B$11+N15*'Pondérations'!$B$12+O15*'Pondérations'!$B$13+P15*'Pondérations'!$B$14)/'Pondérations'!$B$16,3),"")</f>
        <v/>
      </c>
      <c r="R15" s="159">
        <f>IF(Q15="","",1+COUNTIF($Q$7:$Q$178,"&gt;"&amp;Q15)+COUNTIF($Q$7:Q15,Q15)-1)</f>
        <v/>
      </c>
      <c r="S15" s="122" t="n"/>
      <c r="T15" s="117" t="n"/>
      <c r="U15" s="117" t="n"/>
      <c r="V15" s="123" t="inlineStr">
        <is>
          <t>Moyenne à élevée</t>
        </is>
      </c>
      <c r="W15" s="117" t="inlineStr">
        <is>
          <t>Discussion + Headfonics</t>
        </is>
      </c>
      <c r="X15" s="118" t="n">
        <v>8.6</v>
      </c>
      <c r="Y15" s="123" t="inlineStr">
        <is>
          <t>Award</t>
        </is>
      </c>
      <c r="Z15" s="124" t="n">
        <v>46050</v>
      </c>
      <c r="AA15" s="125" t="n">
        <v>1</v>
      </c>
      <c r="AB15" s="126" t="inlineStr">
        <is>
          <t>https://headfonics.com/?s=Shanling+UA7</t>
        </is>
      </c>
      <c r="AC15" s="117" t="inlineStr">
        <is>
          <t>Dual JAN6418 tube dongle DAC, up to 577 mW</t>
        </is>
      </c>
      <c r="AD15" s="123" t="inlineStr">
        <is>
          <t>Déjà présent</t>
        </is>
      </c>
      <c r="AE15" s="125" t="n">
        <v>12</v>
      </c>
      <c r="AF15" s="127" t="n">
        <v>269</v>
      </c>
      <c r="AG15" s="122" t="inlineStr">
        <is>
          <t>Mélange réussi de propreté transistor et d’une légère richesse tube, sans coloration excessive.</t>
        </is>
      </c>
      <c r="AH15" s="117" t="inlineStr">
        <is>
          <t>Neutre-propre avec chaleur subtile en mode tube.</t>
        </is>
      </c>
      <c r="AI15" s="117" t="inlineStr">
        <is>
          <t>Dynamique forte, détail élevé et bonne aptitude aux casques.</t>
        </is>
      </c>
      <c r="AJ15" s="117" t="inlineStr">
        <is>
          <t>Tubes exposés et châssis anguleux.</t>
        </is>
      </c>
      <c r="AK15" s="117" t="inlineStr">
        <is>
          <t>https://headfonics.com/shanling-ua7-review/</t>
        </is>
      </c>
      <c r="AL15" s="125" t="n">
        <v>4</v>
      </c>
      <c r="AM15" s="123" t="inlineStr">
        <is>
          <t>Élevée — 3+ sources, domaines variés</t>
        </is>
      </c>
      <c r="AN15" s="117" t="inlineStr">
        <is>
          <t>https://www.headfonia.com/shanling-ua7-review/</t>
        </is>
      </c>
      <c r="AO15" s="128" t="inlineStr">
        <is>
          <t>https://mobileaudiophile.com/dacs/dongle/shanling-ua7-review/</t>
        </is>
      </c>
      <c r="AP15" s="117" t="inlineStr">
        <is>
          <t>https://ichos-reviews.com/shanling-ua7-review/</t>
        </is>
      </c>
      <c r="AQ15" s="123" t="inlineStr">
        <is>
          <t>Objectif atteint</t>
        </is>
      </c>
      <c r="AR15" s="117" t="inlineStr">
        <is>
          <t>Review éditoriale: 4</t>
        </is>
      </c>
    </row>
    <row r="16" ht="54" customHeight="1">
      <c r="A16" s="129" t="inlineStr">
        <is>
          <t>iBasso</t>
        </is>
      </c>
      <c r="B16" s="129" t="inlineStr">
        <is>
          <t>DC07PRO</t>
        </is>
      </c>
      <c r="C16" s="129" t="inlineStr">
        <is>
          <t>Dongle DAC/amp</t>
        </is>
      </c>
      <c r="D16" s="129" t="inlineStr">
        <is>
          <t>Transparent, légèrement chaleureux, équilibré</t>
        </is>
      </c>
      <c r="E16" s="129" t="inlineStr">
        <is>
          <t>Valeur sûre, fond noir, largeur et placement</t>
        </is>
      </c>
      <c r="F16" s="129" t="inlineStr">
        <is>
          <t>Profondeur/holographie derrière DC-Elite</t>
        </is>
      </c>
      <c r="G16" s="130" t="n">
        <v>9.4</v>
      </c>
      <c r="H16" s="131" t="n">
        <v>9.1</v>
      </c>
      <c r="I16" s="131" t="n">
        <v>8.699999999999999</v>
      </c>
      <c r="J16" s="131" t="n">
        <v>8.6</v>
      </c>
      <c r="K16" s="131" t="n">
        <v>8.9</v>
      </c>
      <c r="L16" s="131" t="n">
        <v>8.9</v>
      </c>
      <c r="M16" s="131" t="n">
        <v>9</v>
      </c>
      <c r="N16" s="131" t="n">
        <v>8.699999999999999</v>
      </c>
      <c r="O16" s="131" t="n">
        <v>9.5</v>
      </c>
      <c r="P16" s="131" t="n">
        <v>8.699999999999999</v>
      </c>
      <c r="Q16" s="158">
        <f>IF(COUNT(G16:P16)=10,ROUND((G16*'Pondérations'!$B$5+H16*'Pondérations'!$B$6+I16*'Pondérations'!$B$7+J16*'Pondérations'!$B$8+K16*'Pondérations'!$B$9+L16*'Pondérations'!$B$10+M16*'Pondérations'!$B$11+N16*'Pondérations'!$B$12+O16*'Pondérations'!$B$13+P16*'Pondérations'!$B$14)/'Pondérations'!$B$16,3),"")</f>
        <v/>
      </c>
      <c r="R16" s="159">
        <f>IF(Q16="","",1+COUNTIF($Q$7:$Q$178,"&gt;"&amp;Q16)+COUNTIF($Q$7:Q16,Q16)-1)</f>
        <v/>
      </c>
      <c r="S16" s="132" t="n"/>
      <c r="T16" s="129" t="n"/>
      <c r="U16" s="129" t="n"/>
      <c r="V16" s="133" t="inlineStr">
        <is>
          <t>Élevée</t>
        </is>
      </c>
      <c r="W16" s="129" t="inlineStr">
        <is>
          <t>Discussion initiale</t>
        </is>
      </c>
      <c r="X16" s="130" t="n"/>
      <c r="Y16" s="133" t="n"/>
      <c r="Z16" s="134" t="n"/>
      <c r="AA16" s="135" t="n"/>
      <c r="AB16" s="129" t="n"/>
      <c r="AC16" s="129" t="n"/>
      <c r="AD16" s="133" t="n"/>
      <c r="AE16" s="135" t="n"/>
      <c r="AF16" s="127" t="n">
        <v>189</v>
      </c>
      <c r="AG16" s="132" t="inlineStr">
        <is>
          <t>Le DC07PRO est jugé très neutre et propre, avec un grave rapide, un aigu aérien et une excellente résolution. Il reste légèrement plus doux que les dongles les plus incisifs.</t>
        </is>
      </c>
      <c r="AH16" s="129" t="inlineStr">
        <is>
          <t>Neutre, propre, légèrement douce</t>
        </is>
      </c>
      <c r="AI16" s="129" t="inlineStr">
        <is>
          <t>Scène large et raisonnablement profonde, excellente séparation et placement; profondeur un cran sous les meilleures sources haut de gamme.</t>
        </is>
      </c>
      <c r="AJ16" s="129" t="inlineStr">
        <is>
          <t>Layering avant-arrière pas tout à fait holographique; moins texturé et volumique que le DC-Elite.</t>
        </is>
      </c>
      <c r="AK16" s="129" t="inlineStr">
        <is>
          <t>https://www.headfonia.com/ibasso-dc07pro-review/2/</t>
        </is>
      </c>
      <c r="AL16" s="135" t="n">
        <v>4</v>
      </c>
      <c r="AM16" s="133" t="inlineStr">
        <is>
          <t>Élevée — 3+ sources, domaines variés</t>
        </is>
      </c>
      <c r="AN16" s="129" t="inlineStr">
        <is>
          <t>https://www.head-fi.org/showcase/ibasso-dc07-pro.27359/reviews</t>
        </is>
      </c>
      <c r="AO16" s="137" t="inlineStr">
        <is>
          <t>https://moonstarreviews.net/ibasso-dc07-pro-review/</t>
        </is>
      </c>
      <c r="AP16" s="129" t="inlineStr">
        <is>
          <t>https://androidbrick.com/ibasso-dc07pro-review/</t>
        </is>
      </c>
      <c r="AQ16" s="133" t="inlineStr">
        <is>
          <t>Objectif atteint</t>
        </is>
      </c>
      <c r="AR16" s="129" t="inlineStr">
        <is>
          <t>Head-Fi reviews: 1; Review éditoriale: 3</t>
        </is>
      </c>
    </row>
    <row r="17" ht="54" customHeight="1">
      <c r="A17" s="117" t="inlineStr">
        <is>
          <t>Shanling</t>
        </is>
      </c>
      <c r="B17" s="117" t="inlineStr">
        <is>
          <t>UA6 II</t>
        </is>
      </c>
      <c r="C17" s="117" t="inlineStr">
        <is>
          <t>Dongle DAC/amp</t>
        </is>
      </c>
      <c r="D17" s="117" t="inlineStr">
        <is>
          <t>Très propre, précis, neutre, légèrement chaleureux</t>
        </is>
      </c>
      <c r="E17" s="117" t="inlineStr">
        <is>
          <t>Fond noir, séparation, résolution, transitoires</t>
        </is>
      </c>
      <c r="F17" s="117" t="inlineStr">
        <is>
          <t>Profondeur bonne mais pas clairement holographique</t>
        </is>
      </c>
      <c r="G17" s="118" t="n">
        <v>9.5</v>
      </c>
      <c r="H17" s="119" t="n">
        <v>9.199999999999999</v>
      </c>
      <c r="I17" s="119" t="n">
        <v>8.6</v>
      </c>
      <c r="J17" s="119" t="n">
        <v>8.5</v>
      </c>
      <c r="K17" s="119" t="n">
        <v>9.1</v>
      </c>
      <c r="L17" s="119" t="n">
        <v>8.699999999999999</v>
      </c>
      <c r="M17" s="119" t="n">
        <v>9</v>
      </c>
      <c r="N17" s="119" t="n">
        <v>8.1</v>
      </c>
      <c r="O17" s="119" t="n">
        <v>9.5</v>
      </c>
      <c r="P17" s="119" t="n">
        <v>8.6</v>
      </c>
      <c r="Q17" s="158">
        <f>IF(COUNT(G17:P17)=10,ROUND((G17*'Pondérations'!$B$5+H17*'Pondérations'!$B$6+I17*'Pondérations'!$B$7+J17*'Pondérations'!$B$8+K17*'Pondérations'!$B$9+L17*'Pondérations'!$B$10+M17*'Pondérations'!$B$11+N17*'Pondérations'!$B$12+O17*'Pondérations'!$B$13+P17*'Pondérations'!$B$14)/'Pondérations'!$B$16,3),"")</f>
        <v/>
      </c>
      <c r="R17" s="159">
        <f>IF(Q17="","",1+COUNTIF($Q$7:$Q$178,"&gt;"&amp;Q17)+COUNTIF($Q$7:Q17,Q17)-1)</f>
        <v/>
      </c>
      <c r="S17" s="122" t="n"/>
      <c r="T17" s="117" t="n"/>
      <c r="U17" s="117" t="n"/>
      <c r="V17" s="123" t="inlineStr">
        <is>
          <t>Moyenne</t>
        </is>
      </c>
      <c r="W17" s="117" t="inlineStr">
        <is>
          <t>Discussion initiale</t>
        </is>
      </c>
      <c r="X17" s="118" t="n"/>
      <c r="Y17" s="123" t="n"/>
      <c r="Z17" s="124" t="n"/>
      <c r="AA17" s="125" t="n"/>
      <c r="AB17" s="117" t="n"/>
      <c r="AC17" s="117" t="n"/>
      <c r="AD17" s="123" t="n"/>
      <c r="AE17" s="125" t="n"/>
      <c r="AF17" s="127" t="n">
        <v>219</v>
      </c>
      <c r="AG17" s="122" t="inlineStr">
        <is>
          <t>Le UA6 II est décrit comme très propre, contrôlé et résolvant, avec un fond noir et une légère chaleur. Son mode 8 DAC privilégie surtout ouverture et transparence.</t>
        </is>
      </c>
      <c r="AH17" s="117" t="inlineStr">
        <is>
          <t>Neutre à légèrement chaude, rapide</t>
        </is>
      </c>
      <c r="AI17" s="117" t="inlineStr">
        <is>
          <t>Bonne largeur, séparation et lecture des couches; la profondeur est correcte mais les reviews ne le décrivent pas comme franchement holographique.</t>
        </is>
      </c>
      <c r="AJ17" s="117" t="inlineStr">
        <is>
          <t>Bas-médium plutôt mince et aigu pouvant mordre avec des associations lumineuses; peu de reviews indépendantes disponibles.</t>
        </is>
      </c>
      <c r="AK17" s="117" t="inlineStr">
        <is>
          <t>https://mobileaudiophile.com/dacs/dongle/shanling-ua6-ii-review/</t>
        </is>
      </c>
      <c r="AL17" s="125" t="n">
        <v>3</v>
      </c>
      <c r="AM17" s="123" t="inlineStr">
        <is>
          <t>Élevée — 3+ sources, domaines variés</t>
        </is>
      </c>
      <c r="AN17" s="117" t="inlineStr">
        <is>
          <t>https://hearit-hk.com/en/shanling-ua6-ii-8-cs43131-dac-2/</t>
        </is>
      </c>
      <c r="AO17" s="128" t="inlineStr">
        <is>
          <t>https://www.notebookcheck.net/Shanling-UA6-II-portable-USB-DAC-launches-with-4-4mm-balanced-output-8-high-fidelity-DACs-and-DSD-Hi-Res-Audio.1333153.0.html</t>
        </is>
      </c>
      <c r="AP17" s="117" t="n"/>
      <c r="AQ17" s="123" t="inlineStr">
        <is>
          <t>Objectif atteint</t>
        </is>
      </c>
      <c r="AR17" s="117" t="inlineStr">
        <is>
          <t>Communauté Reddit: 1; Head-Fi reviews: 1; Review éditoriale: 1</t>
        </is>
      </c>
    </row>
    <row r="18" ht="54" customHeight="1">
      <c r="A18" s="129" t="inlineStr">
        <is>
          <t>ONIX</t>
        </is>
      </c>
      <c r="B18" s="129" t="inlineStr">
        <is>
          <t>Alpha XI1</t>
        </is>
      </c>
      <c r="C18" s="129" t="inlineStr">
        <is>
          <t>Dongle DAC/amp</t>
        </is>
      </c>
      <c r="D18" s="129" t="inlineStr">
        <is>
          <t>Musical, texturé, assez ouvert</t>
        </is>
      </c>
      <c r="E18" s="129" t="inlineStr">
        <is>
          <t>Rapport qualité/prix, puissance, matière</t>
        </is>
      </c>
      <c r="F18" s="129" t="inlineStr">
        <is>
          <t>Avis contradictoires sur profondeur/scène</t>
        </is>
      </c>
      <c r="G18" s="130" t="n">
        <v>9</v>
      </c>
      <c r="H18" s="131" t="n">
        <v>8.800000000000001</v>
      </c>
      <c r="I18" s="131" t="n">
        <v>8.5</v>
      </c>
      <c r="J18" s="131" t="n">
        <v>8.5</v>
      </c>
      <c r="K18" s="131" t="n">
        <v>8.6</v>
      </c>
      <c r="L18" s="131" t="n">
        <v>9</v>
      </c>
      <c r="M18" s="131" t="n">
        <v>8.9</v>
      </c>
      <c r="N18" s="131" t="n">
        <v>8.800000000000001</v>
      </c>
      <c r="O18" s="131" t="n">
        <v>9.4</v>
      </c>
      <c r="P18" s="131" t="n">
        <v>8.4</v>
      </c>
      <c r="Q18" s="158">
        <f>IF(COUNT(G18:P18)=10,ROUND((G18*'Pondérations'!$B$5+H18*'Pondérations'!$B$6+I18*'Pondérations'!$B$7+J18*'Pondérations'!$B$8+K18*'Pondérations'!$B$9+L18*'Pondérations'!$B$10+M18*'Pondérations'!$B$11+N18*'Pondérations'!$B$12+O18*'Pondérations'!$B$13+P18*'Pondérations'!$B$14)/'Pondérations'!$B$16,3),"")</f>
        <v/>
      </c>
      <c r="R18" s="159">
        <f>IF(Q18="","",1+COUNTIF($Q$7:$Q$178,"&gt;"&amp;Q18)+COUNTIF($Q$7:Q18,Q18)-1)</f>
        <v/>
      </c>
      <c r="S18" s="132" t="n"/>
      <c r="T18" s="129" t="n"/>
      <c r="U18" s="129" t="n"/>
      <c r="V18" s="133" t="inlineStr">
        <is>
          <t>Moyenne</t>
        </is>
      </c>
      <c r="W18" s="129" t="inlineStr">
        <is>
          <t>Discussion + Headfonics</t>
        </is>
      </c>
      <c r="X18" s="130" t="n">
        <v>7.9</v>
      </c>
      <c r="Y18" s="133" t="inlineStr">
        <is>
          <t>Reader</t>
        </is>
      </c>
      <c r="Z18" s="134" t="n">
        <v>45593</v>
      </c>
      <c r="AA18" s="135" t="n">
        <v>3</v>
      </c>
      <c r="AB18" s="139" t="inlineStr">
        <is>
          <t>https://headfonics.com/?s=ONIX+Alpha+XI1</t>
        </is>
      </c>
      <c r="AC18" s="129" t="inlineStr">
        <is>
          <t>Dual CS43198 dongle DAC, up to 500 mW</t>
        </is>
      </c>
      <c r="AD18" s="133" t="inlineStr">
        <is>
          <t>Déjà présent</t>
        </is>
      </c>
      <c r="AE18" s="135" t="n">
        <v>45</v>
      </c>
      <c r="AF18" s="127" t="n">
        <v>109</v>
      </c>
      <c r="AG18" s="132" t="inlineStr">
        <is>
          <t xml:space="preserve">Très bon rapport qualité/prix, puissant et jugé parmi les meilleurs dongles autour de 200 $. </t>
        </is>
      </c>
      <c r="AH18" s="129" t="inlineStr">
        <is>
          <t>Plutôt neutre/équilibré.</t>
        </is>
      </c>
      <c r="AI18" s="129" t="inlineStr">
        <is>
          <t>Bonne qualité sonore globale et bonne réserve de puissance.</t>
        </is>
      </c>
      <c r="AJ18" s="129" t="inlineStr">
        <is>
          <t>Format assez volumineux; low gain encore relativement fort.</t>
        </is>
      </c>
      <c r="AK18" s="129" t="inlineStr">
        <is>
          <t>https://headfonics.com/onix-alpha-xi1-review/</t>
        </is>
      </c>
      <c r="AL18" s="135" t="n">
        <v>4</v>
      </c>
      <c r="AM18" s="133" t="inlineStr">
        <is>
          <t>Élevée — 3+ sources, domaines variés</t>
        </is>
      </c>
      <c r="AN18" s="129" t="inlineStr">
        <is>
          <t>https://www.headfonia.com/onix-alpha-xi1-review/</t>
        </is>
      </c>
      <c r="AO18" s="137" t="inlineStr">
        <is>
          <t>https://www.audiophile-heaven.com/2024/07/shanling-onix-alpha-xi1-bold-sound-good-function-dac-amp.html</t>
        </is>
      </c>
      <c r="AP18" s="129" t="inlineStr">
        <is>
          <t>https://www.reddit.com/r/headphones/comments/1dnbl2j</t>
        </is>
      </c>
      <c r="AQ18" s="133" t="inlineStr">
        <is>
          <t>Objectif atteint</t>
        </is>
      </c>
      <c r="AR18" s="129" t="inlineStr">
        <is>
          <t>Communauté Reddit: 1; Review éditoriale: 3</t>
        </is>
      </c>
    </row>
    <row r="19" ht="54" customHeight="1">
      <c r="A19" s="117" t="inlineStr">
        <is>
          <t>xDuoo</t>
        </is>
      </c>
      <c r="B19" s="117" t="inlineStr">
        <is>
          <t>XD05 BAL 2</t>
        </is>
      </c>
      <c r="C19" s="117" t="inlineStr">
        <is>
          <t>DAC/amp portable sur batterie</t>
        </is>
      </c>
      <c r="D19" s="117" t="inlineStr">
        <is>
          <t>Charnu, doux, puissant, plutôt sombre</t>
        </is>
      </c>
      <c r="E19" s="117" t="inlineStr">
        <is>
          <t>Puissance, matière, évolutivité par AOP</t>
        </is>
      </c>
      <c r="F19" s="117" t="inlineStr">
        <is>
          <t>Encombrant; moins incisif et moins micro-résolvant</t>
        </is>
      </c>
      <c r="G19" s="118" t="n">
        <v>8.6</v>
      </c>
      <c r="H19" s="119" t="n">
        <v>8.5</v>
      </c>
      <c r="I19" s="119" t="n">
        <v>8.699999999999999</v>
      </c>
      <c r="J19" s="119" t="n">
        <v>8.4</v>
      </c>
      <c r="K19" s="119" t="n">
        <v>8.800000000000001</v>
      </c>
      <c r="L19" s="119" t="n">
        <v>9.199999999999999</v>
      </c>
      <c r="M19" s="119" t="n">
        <v>9.199999999999999</v>
      </c>
      <c r="N19" s="119" t="n">
        <v>10</v>
      </c>
      <c r="O19" s="119" t="n">
        <v>5.5</v>
      </c>
      <c r="P19" s="119" t="n">
        <v>8.199999999999999</v>
      </c>
      <c r="Q19" s="158">
        <f>IF(COUNT(G19:P19)=10,ROUND((G19*'Pondérations'!$B$5+H19*'Pondérations'!$B$6+I19*'Pondérations'!$B$7+J19*'Pondérations'!$B$8+K19*'Pondérations'!$B$9+L19*'Pondérations'!$B$10+M19*'Pondérations'!$B$11+N19*'Pondérations'!$B$12+O19*'Pondérations'!$B$13+P19*'Pondérations'!$B$14)/'Pondérations'!$B$16,3),"")</f>
        <v/>
      </c>
      <c r="R19" s="159">
        <f>IF(Q19="","",1+COUNTIF($Q$7:$Q$178,"&gt;"&amp;Q19)+COUNTIF($Q$7:Q19,Q19)-1)</f>
        <v/>
      </c>
      <c r="S19" s="122" t="n"/>
      <c r="T19" s="117" t="n"/>
      <c r="U19" s="117" t="n"/>
      <c r="V19" s="123" t="inlineStr">
        <is>
          <t>Élevée</t>
        </is>
      </c>
      <c r="W19" s="117" t="inlineStr">
        <is>
          <t>Discussion + Headfonics</t>
        </is>
      </c>
      <c r="X19" s="118" t="n">
        <v>8</v>
      </c>
      <c r="Y19" s="123" t="inlineStr">
        <is>
          <t>Reader</t>
        </is>
      </c>
      <c r="Z19" s="124" t="n">
        <v>45184</v>
      </c>
      <c r="AA19" s="125" t="n">
        <v>4</v>
      </c>
      <c r="AB19" s="126" t="inlineStr">
        <is>
          <t>https://headfonics.com/?s=xDuoo+XD05+BAL+2</t>
        </is>
      </c>
      <c r="AC19" s="117" t="inlineStr">
        <is>
          <t>High-power battery portable DAC/amp</t>
        </is>
      </c>
      <c r="AD19" s="123" t="inlineStr">
        <is>
          <t>Déjà présent</t>
        </is>
      </c>
      <c r="AE19" s="125" t="n">
        <v>76</v>
      </c>
      <c r="AF19" s="127" t="n">
        <v>429</v>
      </c>
      <c r="AG19" s="122" t="inlineStr">
        <is>
          <t>Portable très puissant, riche en ton et en texture, avec un grave convaincant et une restitution plutôt douce.</t>
        </is>
      </c>
      <c r="AH19" s="117" t="inlineStr">
        <is>
          <t>Charnue, douce, plutôt sombre</t>
        </is>
      </c>
      <c r="AI19" s="117" t="inlineStr">
        <is>
          <t>Bonne ampleur et dynamique, davantage axée matière que lumière dans le haut</t>
        </is>
      </c>
      <c r="AJ19" s="117" t="inlineStr">
        <is>
          <t>Aigu parfois trop lisse; médium un peu en retrait; encombrant</t>
        </is>
      </c>
      <c r="AK19" s="117" t="inlineStr">
        <is>
          <t>https://headfonics.com/xduoo-xd05-bal-2-review/</t>
        </is>
      </c>
      <c r="AL19" s="125" t="n">
        <v>3</v>
      </c>
      <c r="AM19" s="123" t="inlineStr">
        <is>
          <t>Élevée — 3+ sources, domaines variés</t>
        </is>
      </c>
      <c r="AN19" s="117" t="inlineStr">
        <is>
          <t>https://www.arkaudio.se/en/headphones/headphones/xduoo-xd05-bal2-portable-dac-tube-headphone-amplifier.html</t>
        </is>
      </c>
      <c r="AO19" s="128" t="inlineStr">
        <is>
          <t>https://uk.testseek.com/home-electronics/hifi/dac/xduoo-xd05-bal-2-p-d129f994-2837-8d55-1622-1ce104837e79.html</t>
        </is>
      </c>
      <c r="AP19" s="117" t="n"/>
      <c r="AQ19" s="123" t="inlineStr">
        <is>
          <t>Objectif atteint</t>
        </is>
      </c>
      <c r="AR19" s="117" t="inlineStr">
        <is>
          <t>Review éditoriale: 3</t>
        </is>
      </c>
    </row>
    <row r="20" ht="54" customHeight="1">
      <c r="A20" s="129" t="inlineStr">
        <is>
          <t>Dethonray</t>
        </is>
      </c>
      <c r="B20" s="129" t="inlineStr">
        <is>
          <t>Pegasus SG1</t>
        </is>
      </c>
      <c r="C20" s="129" t="inlineStr">
        <is>
          <t>Récepteur Bluetooth DAC/amp</t>
        </is>
      </c>
      <c r="D20" s="129" t="inlineStr">
        <is>
          <t>Charnu, énergique, grave présent, aigu calme</t>
        </is>
      </c>
      <c r="E20" s="129" t="inlineStr">
        <is>
          <t>Grande scène, impact, relief en Bluetooth</t>
        </is>
      </c>
      <c r="F20" s="129" t="inlineStr">
        <is>
          <t>Bluetooth uniquement; coloré; souffle possible IEM sensibles</t>
        </is>
      </c>
      <c r="G20" s="130" t="n">
        <v>8.199999999999999</v>
      </c>
      <c r="H20" s="131" t="n">
        <v>8.1</v>
      </c>
      <c r="I20" s="131" t="n">
        <v>9</v>
      </c>
      <c r="J20" s="131" t="n">
        <v>8.9</v>
      </c>
      <c r="K20" s="131" t="n">
        <v>8.699999999999999</v>
      </c>
      <c r="L20" s="131" t="n">
        <v>9.4</v>
      </c>
      <c r="M20" s="131" t="n">
        <v>9</v>
      </c>
      <c r="N20" s="131" t="n">
        <v>8.699999999999999</v>
      </c>
      <c r="O20" s="131" t="n">
        <v>7.5</v>
      </c>
      <c r="P20" s="131" t="n">
        <v>7.8</v>
      </c>
      <c r="Q20" s="158">
        <f>IF(COUNT(G20:P20)=10,ROUND((G20*'Pondérations'!$B$5+H20*'Pondérations'!$B$6+I20*'Pondérations'!$B$7+J20*'Pondérations'!$B$8+K20*'Pondérations'!$B$9+L20*'Pondérations'!$B$10+M20*'Pondérations'!$B$11+N20*'Pondérations'!$B$12+O20*'Pondérations'!$B$13+P20*'Pondérations'!$B$14)/'Pondérations'!$B$16,3),"")</f>
        <v/>
      </c>
      <c r="R20" s="159">
        <f>IF(Q20="","",1+COUNTIF($Q$7:$Q$178,"&gt;"&amp;Q20)+COUNTIF($Q$7:Q20,Q20)-1)</f>
        <v/>
      </c>
      <c r="S20" s="132" t="n"/>
      <c r="T20" s="129" t="n"/>
      <c r="U20" s="129" t="n"/>
      <c r="V20" s="133" t="inlineStr">
        <is>
          <t>Moyenne</t>
        </is>
      </c>
      <c r="W20" s="129" t="inlineStr">
        <is>
          <t>Discussion initiale</t>
        </is>
      </c>
      <c r="X20" s="130" t="n"/>
      <c r="Y20" s="133" t="n"/>
      <c r="Z20" s="134" t="n"/>
      <c r="AA20" s="135" t="n"/>
      <c r="AB20" s="129" t="n"/>
      <c r="AC20" s="129" t="n"/>
      <c r="AD20" s="133" t="n"/>
      <c r="AE20" s="135" t="n"/>
      <c r="AF20" s="136" t="n">
        <v>351</v>
      </c>
      <c r="AG20" s="132" t="inlineStr">
        <is>
          <t>Le Pegasus SG1 vise une écoute naturelle et musicale, légèrement chaude, avec des médiums séduisants. Sa restitution est davantage charnelle que strictement analytique.</t>
        </is>
      </c>
      <c r="AH20" s="129" t="inlineStr">
        <is>
          <t>Neutre-chaude, douce et musicale</t>
        </is>
      </c>
      <c r="AI20" s="129" t="inlineStr">
        <is>
          <t>Bonne profondeur et bon layering mais largeur plus modérée; séparation correcte et présentation cohérente.</t>
        </is>
      </c>
      <c r="AJ20" s="129" t="inlineStr">
        <is>
          <t>Grave pas toujours très texturé/impactant; Bluetooth uniquement et léger bruit possible avec IEM très sensibles.</t>
        </is>
      </c>
      <c r="AK20" s="129" t="inlineStr">
        <is>
          <t>https://www.headfonia.com/dethonray-pegasus-sg1-review/2/</t>
        </is>
      </c>
      <c r="AL20" s="135" t="n">
        <v>3</v>
      </c>
      <c r="AM20" s="133" t="inlineStr">
        <is>
          <t>Élevée — 3+ sources, domaines variés</t>
        </is>
      </c>
      <c r="AN20" s="129" t="inlineStr">
        <is>
          <t>https://www.head-fi.org/showcase/dethonray-pegasus-sg1.26154/</t>
        </is>
      </c>
      <c r="AO20" s="137" t="inlineStr">
        <is>
          <t>https://www.headphonesty.com/2020/12/best-portable-dac-amp-combo/</t>
        </is>
      </c>
      <c r="AP20" s="129" t="n"/>
      <c r="AQ20" s="133" t="inlineStr">
        <is>
          <t>Objectif atteint</t>
        </is>
      </c>
      <c r="AR20" s="129" t="inlineStr">
        <is>
          <t>Head-Fi reviews: 1; Review éditoriale: 2</t>
        </is>
      </c>
    </row>
    <row r="21" ht="54" customHeight="1">
      <c r="A21" s="117" t="inlineStr">
        <is>
          <t>Shanling</t>
        </is>
      </c>
      <c r="B21" s="117" t="inlineStr">
        <is>
          <t>H5 MQA</t>
        </is>
      </c>
      <c r="C21" s="117" t="inlineStr">
        <is>
          <t>DAC/amp portable sur batterie</t>
        </is>
      </c>
      <c r="D21" s="117" t="inlineStr">
        <is>
          <t>Chaud, fluide, grave généreux</t>
        </is>
      </c>
      <c r="E21" s="117" t="inlineStr">
        <is>
          <t>Puissance, autonomie, fonctions, lecture microSD</t>
        </is>
      </c>
      <c r="F21" s="117" t="inlineStr">
        <is>
          <t>Moins précis/spatial; impédance sortie à surveiller avec IEM</t>
        </is>
      </c>
      <c r="G21" s="118" t="n">
        <v>8.4</v>
      </c>
      <c r="H21" s="119" t="n">
        <v>8.300000000000001</v>
      </c>
      <c r="I21" s="119" t="n">
        <v>8.6</v>
      </c>
      <c r="J21" s="119" t="n">
        <v>8.5</v>
      </c>
      <c r="K21" s="119" t="n">
        <v>8.5</v>
      </c>
      <c r="L21" s="119" t="n">
        <v>9.199999999999999</v>
      </c>
      <c r="M21" s="119" t="n">
        <v>8.699999999999999</v>
      </c>
      <c r="N21" s="119" t="n">
        <v>9.5</v>
      </c>
      <c r="O21" s="119" t="n">
        <v>6.5</v>
      </c>
      <c r="P21" s="119" t="n">
        <v>8</v>
      </c>
      <c r="Q21" s="158">
        <f>IF(COUNT(G21:P21)=10,ROUND((G21*'Pondérations'!$B$5+H21*'Pondérations'!$B$6+I21*'Pondérations'!$B$7+J21*'Pondérations'!$B$8+K21*'Pondérations'!$B$9+L21*'Pondérations'!$B$10+M21*'Pondérations'!$B$11+N21*'Pondérations'!$B$12+O21*'Pondérations'!$B$13+P21*'Pondérations'!$B$14)/'Pondérations'!$B$16,3),"")</f>
        <v/>
      </c>
      <c r="R21" s="159">
        <f>IF(Q21="","",1+COUNTIF($Q$7:$Q$178,"&gt;"&amp;Q21)+COUNTIF($Q$7:Q21,Q21)-1)</f>
        <v/>
      </c>
      <c r="S21" s="122" t="n"/>
      <c r="T21" s="117" t="n"/>
      <c r="U21" s="117" t="n"/>
      <c r="V21" s="123" t="inlineStr">
        <is>
          <t>Moyenne</t>
        </is>
      </c>
      <c r="W21" s="117" t="inlineStr">
        <is>
          <t>Discussion + Headfonics</t>
        </is>
      </c>
      <c r="X21" s="118" t="n">
        <v>8.300000000000001</v>
      </c>
      <c r="Y21" s="123" t="inlineStr">
        <is>
          <t>Reader</t>
        </is>
      </c>
      <c r="Z21" s="124" t="n">
        <v>45185</v>
      </c>
      <c r="AA21" s="125" t="n">
        <v>4</v>
      </c>
      <c r="AB21" s="126" t="inlineStr">
        <is>
          <t>https://headfonics.com/?s=Shanling+H5</t>
        </is>
      </c>
      <c r="AC21" s="117" t="inlineStr">
        <is>
          <t>Battery portable DAC/amp</t>
        </is>
      </c>
      <c r="AD21" s="123" t="inlineStr">
        <is>
          <t>Déjà présent</t>
        </is>
      </c>
      <c r="AE21" s="125" t="n">
        <v>75</v>
      </c>
      <c r="AF21" s="138" t="n">
        <v>325</v>
      </c>
      <c r="AG21" s="122" t="inlineStr">
        <is>
          <t>DAC/amp polyvalent au son expressif, doux et puissant; restitution plaisante plus orientée musicalité que neutralité stricte.</t>
        </is>
      </c>
      <c r="AH21" s="117" t="inlineStr">
        <is>
          <t>Douce, chaleureuse, expressive</t>
        </is>
      </c>
      <c r="AI21" s="117" t="inlineStr">
        <is>
          <t>Bonne ampleur et puissance; présentation fluide plutôt que très analytique</t>
        </is>
      </c>
      <c r="AJ21" s="117" t="inlineStr">
        <is>
          <t>Impédance de sortie élevée, attention aux IEM sensibles</t>
        </is>
      </c>
      <c r="AK21" s="117" t="inlineStr">
        <is>
          <t>https://headfonics.com/shanling-h5-review/</t>
        </is>
      </c>
      <c r="AL21" s="125" t="n">
        <v>3</v>
      </c>
      <c r="AM21" s="123" t="inlineStr">
        <is>
          <t>Élevée — 3+ sources, domaines variés</t>
        </is>
      </c>
      <c r="AN21" s="117" t="inlineStr">
        <is>
          <t>https://www.headfonia.com/shanling-h5-review/</t>
        </is>
      </c>
      <c r="AO21" s="128" t="inlineStr">
        <is>
          <t>https://fr.testseek.com/electromenager/hifi/dac/shanling-h5-p-20b8dfcf-3635-15fc-9b6d-5aaade081297.html</t>
        </is>
      </c>
      <c r="AP21" s="117" t="n"/>
      <c r="AQ21" s="123" t="inlineStr">
        <is>
          <t>Objectif atteint</t>
        </is>
      </c>
      <c r="AR21" s="117" t="inlineStr">
        <is>
          <t>Review éditoriale: 3</t>
        </is>
      </c>
    </row>
    <row r="22" ht="54" customHeight="1">
      <c r="A22" s="129" t="inlineStr">
        <is>
          <t>xDuoo</t>
        </is>
      </c>
      <c r="B22" s="129" t="inlineStr">
        <is>
          <t>POKE II</t>
        </is>
      </c>
      <c r="C22" s="129" t="inlineStr">
        <is>
          <t>DAC/amp portable sur batterie</t>
        </is>
      </c>
      <c r="D22" s="129" t="inlineStr">
        <is>
          <t>Équilibré, bonne scène, plutôt polyvalent</t>
        </is>
      </c>
      <c r="E22" s="129" t="inlineStr">
        <is>
          <t>Profondeur/hauteur correctes, puissance, fonctions</t>
        </is>
      </c>
      <c r="F22" s="129" t="inlineStr">
        <is>
          <t>Génération plus ancienne; moins raffiné que MUB1/DC-Elite</t>
        </is>
      </c>
      <c r="G22" s="130" t="n">
        <v>8.5</v>
      </c>
      <c r="H22" s="131" t="n">
        <v>8.4</v>
      </c>
      <c r="I22" s="131" t="n">
        <v>8.699999999999999</v>
      </c>
      <c r="J22" s="131" t="n">
        <v>8.6</v>
      </c>
      <c r="K22" s="131" t="n">
        <v>8.6</v>
      </c>
      <c r="L22" s="131" t="n">
        <v>8.699999999999999</v>
      </c>
      <c r="M22" s="131" t="n">
        <v>8.6</v>
      </c>
      <c r="N22" s="131" t="n">
        <v>9</v>
      </c>
      <c r="O22" s="131" t="n">
        <v>6.8</v>
      </c>
      <c r="P22" s="131" t="n">
        <v>8</v>
      </c>
      <c r="Q22" s="158">
        <f>IF(COUNT(G22:P22)=10,ROUND((G22*'Pondérations'!$B$5+H22*'Pondérations'!$B$6+I22*'Pondérations'!$B$7+J22*'Pondérations'!$B$8+K22*'Pondérations'!$B$9+L22*'Pondérations'!$B$10+M22*'Pondérations'!$B$11+N22*'Pondérations'!$B$12+O22*'Pondérations'!$B$13+P22*'Pondérations'!$B$14)/'Pondérations'!$B$16,3),"")</f>
        <v/>
      </c>
      <c r="R22" s="159">
        <f>IF(Q22="","",1+COUNTIF($Q$7:$Q$178,"&gt;"&amp;Q22)+COUNTIF($Q$7:Q22,Q22)-1)</f>
        <v/>
      </c>
      <c r="S22" s="132" t="n"/>
      <c r="T22" s="129" t="n"/>
      <c r="U22" s="129" t="n"/>
      <c r="V22" s="133" t="inlineStr">
        <is>
          <t>Moyenne</t>
        </is>
      </c>
      <c r="W22" s="129" t="inlineStr">
        <is>
          <t>Discussion + Headfonics</t>
        </is>
      </c>
      <c r="X22" s="130" t="n">
        <v>8.300000000000001</v>
      </c>
      <c r="Y22" s="133" t="inlineStr">
        <is>
          <t>Reader</t>
        </is>
      </c>
      <c r="Z22" s="134" t="n">
        <v>44769</v>
      </c>
      <c r="AA22" s="135" t="n">
        <v>5</v>
      </c>
      <c r="AB22" s="139" t="inlineStr">
        <is>
          <t>https://headfonics.com/?s=xDuoo+POKE+II</t>
        </is>
      </c>
      <c r="AC22" s="129" t="inlineStr">
        <is>
          <t>Battery portable DAC/amp</t>
        </is>
      </c>
      <c r="AD22" s="133" t="inlineStr">
        <is>
          <t>Déjà présent</t>
        </is>
      </c>
      <c r="AE22" s="135" t="n">
        <v>100</v>
      </c>
      <c r="AF22" s="136" t="n">
        <v>343</v>
      </c>
      <c r="AG22" s="132" t="inlineStr">
        <is>
          <t>Son propre et peu coloré avec beaucoup de puissance; bon sur la dynamique et assez tolérant avec les enregistrements moyens.</t>
        </is>
      </c>
      <c r="AH22" s="129" t="inlineStr">
        <is>
          <t>Neutre, propre</t>
        </is>
      </c>
      <c r="AI22" s="129" t="inlineStr">
        <is>
          <t>Bonne dynamique et polyvalence; spatialisation correcte sans accent marqué sur le relief</t>
        </is>
      </c>
      <c r="AJ22" s="129" t="inlineStr">
        <is>
          <t>Bluetooth de portée moyenne; entrées limitées USB/BT</t>
        </is>
      </c>
      <c r="AK22" s="129" t="inlineStr">
        <is>
          <t>https://headfonics.com/xduoo-poke-ii-review/</t>
        </is>
      </c>
      <c r="AL22" s="135" t="n">
        <v>3</v>
      </c>
      <c r="AM22" s="133" t="inlineStr">
        <is>
          <t>Élevée — 3+ sources, domaines variés</t>
        </is>
      </c>
      <c r="AN22" s="129" t="inlineStr">
        <is>
          <t>https://www.head-fi.org/showcase/xduoo-poke-ii.25877/reviews</t>
        </is>
      </c>
      <c r="AO22" s="137" t="inlineStr">
        <is>
          <t>https://www.headfonia.com/xduoo-poke-ii-review/</t>
        </is>
      </c>
      <c r="AP22" s="129" t="n"/>
      <c r="AQ22" s="133" t="inlineStr">
        <is>
          <t>Objectif atteint</t>
        </is>
      </c>
      <c r="AR22" s="129" t="inlineStr">
        <is>
          <t>Head-Fi reviews: 1; Review éditoriale: 2</t>
        </is>
      </c>
    </row>
    <row r="23" ht="54" customHeight="1">
      <c r="A23" s="117" t="inlineStr">
        <is>
          <t>FiiO</t>
        </is>
      </c>
      <c r="B23" s="117" t="inlineStr">
        <is>
          <t>BTR17</t>
        </is>
      </c>
      <c r="C23" s="117" t="inlineStr">
        <is>
          <t>Bluetooth DAC/amp</t>
        </is>
      </c>
      <c r="D23" s="117" t="inlineStr">
        <is>
          <t>Neutre, rapide, propre, fonctionnel</t>
        </is>
      </c>
      <c r="E23" s="117" t="inlineStr">
        <is>
          <t>Bluetooth, PEQ, puissance, polyvalence</t>
        </is>
      </c>
      <c r="F23" s="117" t="inlineStr">
        <is>
          <t>Spatialité/profondeur moins organiques; assez proche du L70</t>
        </is>
      </c>
      <c r="G23" s="118" t="n">
        <v>9.300000000000001</v>
      </c>
      <c r="H23" s="119" t="n">
        <v>8.9</v>
      </c>
      <c r="I23" s="119" t="n">
        <v>8.300000000000001</v>
      </c>
      <c r="J23" s="119" t="n">
        <v>8.199999999999999</v>
      </c>
      <c r="K23" s="119" t="n">
        <v>8.699999999999999</v>
      </c>
      <c r="L23" s="119" t="n">
        <v>8.5</v>
      </c>
      <c r="M23" s="119" t="n">
        <v>9</v>
      </c>
      <c r="N23" s="119" t="n">
        <v>9.199999999999999</v>
      </c>
      <c r="O23" s="119" t="n">
        <v>9.800000000000001</v>
      </c>
      <c r="P23" s="119" t="n">
        <v>7.8</v>
      </c>
      <c r="Q23" s="158">
        <f>IF(COUNT(G23:P23)=10,ROUND((G23*'Pondérations'!$B$5+H23*'Pondérations'!$B$6+I23*'Pondérations'!$B$7+J23*'Pondérations'!$B$8+K23*'Pondérations'!$B$9+L23*'Pondérations'!$B$10+M23*'Pondérations'!$B$11+N23*'Pondérations'!$B$12+O23*'Pondérations'!$B$13+P23*'Pondérations'!$B$14)/'Pondérations'!$B$16,3),"")</f>
        <v/>
      </c>
      <c r="R23" s="159">
        <f>IF(Q23="","",1+COUNTIF($Q$7:$Q$178,"&gt;"&amp;Q23)+COUNTIF($Q$7:Q23,Q23)-1)</f>
        <v/>
      </c>
      <c r="S23" s="122" t="n"/>
      <c r="T23" s="117" t="n"/>
      <c r="U23" s="117" t="n"/>
      <c r="V23" s="123" t="inlineStr">
        <is>
          <t>Élevée</t>
        </is>
      </c>
      <c r="W23" s="117" t="inlineStr">
        <is>
          <t>Discussion initiale</t>
        </is>
      </c>
      <c r="X23" s="118" t="n"/>
      <c r="Y23" s="123" t="n"/>
      <c r="Z23" s="124" t="n"/>
      <c r="AA23" s="125" t="n"/>
      <c r="AB23" s="117" t="n"/>
      <c r="AC23" s="117" t="n"/>
      <c r="AD23" s="123" t="n"/>
      <c r="AE23" s="125" t="n"/>
      <c r="AF23" s="127" t="n">
        <v>199</v>
      </c>
      <c r="AG23" s="122" t="inlineStr">
        <is>
          <t>Le BTR17 est apprécié pour son équilibre neutre, vif et très propre. En USB il offre une restitution crisp, dynamique et détaillée avec beaucoup de polyvalence.</t>
        </is>
      </c>
      <c r="AH23" s="117" t="inlineStr">
        <is>
          <t>Neutre, vive, légèrement sèche</t>
        </is>
      </c>
      <c r="AI23" s="117" t="inlineStr">
        <is>
          <t>Scène large et haute, transitoires rapides et bonne séparation; l'USB conserve davantage de microdétails que le Bluetooth.</t>
        </is>
      </c>
      <c r="AJ23" s="117" t="inlineStr">
        <is>
          <t>Bluetooth réduit un peu la finesse et l'extension; le grave peut manquer de matière pour qui cherche une présentation organique.</t>
        </is>
      </c>
      <c r="AK23" s="117" t="inlineStr">
        <is>
          <t>https://headfonics.com/fiio-btr17-review/</t>
        </is>
      </c>
      <c r="AL23" s="125" t="n">
        <v>4</v>
      </c>
      <c r="AM23" s="123" t="inlineStr">
        <is>
          <t>Élevée — 3+ sources, domaines variés</t>
        </is>
      </c>
      <c r="AN23" s="117" t="inlineStr">
        <is>
          <t>https://www.head-fi.org/showcase/fiio-btr17.28043/reviews</t>
        </is>
      </c>
      <c r="AO23" s="128" t="inlineStr">
        <is>
          <t>https://www.techradar.com/audio/hi-fi/fiio-btr17-review</t>
        </is>
      </c>
      <c r="AP23" s="117" t="inlineStr">
        <is>
          <t>https://mobileaudiophile.com/dacs/dongle/fiio-btr17-review/</t>
        </is>
      </c>
      <c r="AQ23" s="123" t="inlineStr">
        <is>
          <t>Objectif atteint</t>
        </is>
      </c>
      <c r="AR23" s="117" t="inlineStr">
        <is>
          <t>Head-Fi reviews: 1; Review éditoriale: 3</t>
        </is>
      </c>
    </row>
    <row r="24" ht="54" customHeight="1">
      <c r="A24" s="129" t="inlineStr">
        <is>
          <t>FiiO</t>
        </is>
      </c>
      <c r="B24" s="129" t="inlineStr">
        <is>
          <t>QX13</t>
        </is>
      </c>
      <c r="C24" s="129" t="inlineStr">
        <is>
          <t>Dongle DAC/amp</t>
        </is>
      </c>
      <c r="D24" s="129" t="inlineStr">
        <is>
          <t>Très propre, détaillé, énergique</t>
        </is>
      </c>
      <c r="E24" s="129" t="inlineStr">
        <is>
          <t>Puissance, fonctions, PEQ, résolution</t>
        </is>
      </c>
      <c r="F24" s="129" t="inlineStr">
        <is>
          <t>Peut rester trop “technique” / proche du L70</t>
        </is>
      </c>
      <c r="G24" s="130" t="n">
        <v>9.5</v>
      </c>
      <c r="H24" s="131" t="n">
        <v>9.199999999999999</v>
      </c>
      <c r="I24" s="131" t="n">
        <v>8.4</v>
      </c>
      <c r="J24" s="131" t="n">
        <v>8.300000000000001</v>
      </c>
      <c r="K24" s="131" t="n">
        <v>8.9</v>
      </c>
      <c r="L24" s="131" t="n">
        <v>8.4</v>
      </c>
      <c r="M24" s="131" t="n">
        <v>9.4</v>
      </c>
      <c r="N24" s="131" t="n">
        <v>9.699999999999999</v>
      </c>
      <c r="O24" s="131" t="n">
        <v>9.199999999999999</v>
      </c>
      <c r="P24" s="131" t="n">
        <v>7.7</v>
      </c>
      <c r="Q24" s="158">
        <f>IF(COUNT(G24:P24)=10,ROUND((G24*'Pondérations'!$B$5+H24*'Pondérations'!$B$6+I24*'Pondérations'!$B$7+J24*'Pondérations'!$B$8+K24*'Pondérations'!$B$9+L24*'Pondérations'!$B$10+M24*'Pondérations'!$B$11+N24*'Pondérations'!$B$12+O24*'Pondérations'!$B$13+P24*'Pondérations'!$B$14)/'Pondérations'!$B$16,3),"")</f>
        <v/>
      </c>
      <c r="R24" s="159">
        <f>IF(Q24="","",1+COUNTIF($Q$7:$Q$178,"&gt;"&amp;Q24)+COUNTIF($Q$7:Q24,Q24)-1)</f>
        <v/>
      </c>
      <c r="S24" s="132" t="n"/>
      <c r="T24" s="129" t="n"/>
      <c r="U24" s="129" t="n"/>
      <c r="V24" s="133" t="inlineStr">
        <is>
          <t>Moyenne à élevée</t>
        </is>
      </c>
      <c r="W24" s="129" t="inlineStr">
        <is>
          <t>Discussion + Headfonics</t>
        </is>
      </c>
      <c r="X24" s="130" t="n">
        <v>8.5</v>
      </c>
      <c r="Y24" s="133" t="inlineStr">
        <is>
          <t>Reader</t>
        </is>
      </c>
      <c r="Z24" s="134" t="n">
        <v>45892</v>
      </c>
      <c r="AA24" s="135" t="n">
        <v>2</v>
      </c>
      <c r="AB24" s="139" t="inlineStr">
        <is>
          <t>https://headfonics.com/?s=FiiO+QX13</t>
        </is>
      </c>
      <c r="AC24" s="129" t="inlineStr">
        <is>
          <t>ES9027SPRO high-end dongle DAC with color display</t>
        </is>
      </c>
      <c r="AD24" s="133" t="inlineStr">
        <is>
          <t>Déjà présent</t>
        </is>
      </c>
      <c r="AE24" s="135" t="n">
        <v>25</v>
      </c>
      <c r="AF24" s="127" t="n">
        <v>199</v>
      </c>
      <c r="AG24" s="132" t="inlineStr">
        <is>
          <t>Dongle de niveau presque desktop, très puissant, détaillé et ambitieux, avec une forte sensation de présence.</t>
        </is>
      </c>
      <c r="AH24" s="129" t="inlineStr">
        <is>
          <t>Clair, vivant, médiums présents.</t>
        </is>
      </c>
      <c r="AI24" s="129" t="inlineStr">
        <is>
          <t>Très bon layering, beaucoup de nuances et excellente puissance.</t>
        </is>
      </c>
      <c r="AJ24" s="129" t="inlineStr">
        <is>
          <t>Puissance maximale exige une seconde alimentation; consommation importante.</t>
        </is>
      </c>
      <c r="AK24" s="129" t="inlineStr">
        <is>
          <t>https://headfonics.com/fiio-qx13-review/</t>
        </is>
      </c>
      <c r="AL24" s="135" t="n">
        <v>4</v>
      </c>
      <c r="AM24" s="133" t="inlineStr">
        <is>
          <t>Élevée — 3+ sources, domaines variés</t>
        </is>
      </c>
      <c r="AN24" s="129" t="inlineStr">
        <is>
          <t>https://www.headfonia.com/fiio-qx13-review/</t>
        </is>
      </c>
      <c r="AO24" s="137" t="inlineStr">
        <is>
          <t>https://mobileaudiophile.com/dacs/dongle/fiio-qx13-review-when-portable-audio-grows-up/</t>
        </is>
      </c>
      <c r="AP24" s="129" t="inlineStr">
        <is>
          <t>https://primeaudio.org/fiio-qx13-review/</t>
        </is>
      </c>
      <c r="AQ24" s="133" t="inlineStr">
        <is>
          <t>Objectif atteint</t>
        </is>
      </c>
      <c r="AR24" s="129" t="inlineStr">
        <is>
          <t>Review éditoriale: 4</t>
        </is>
      </c>
    </row>
    <row r="25" ht="54" customHeight="1">
      <c r="A25" s="117" t="inlineStr">
        <is>
          <t>SMSL</t>
        </is>
      </c>
      <c r="B25" s="117" t="inlineStr">
        <is>
          <t>DS20</t>
        </is>
      </c>
      <c r="C25" s="117" t="inlineStr">
        <is>
          <t>DAC/amp portable</t>
        </is>
      </c>
      <c r="D25" s="117" t="inlineStr">
        <is>
          <t>Propre, large, résolvant</t>
        </is>
      </c>
      <c r="E25" s="117" t="inlineStr">
        <is>
          <t>Largeur, puissance, netteté</t>
        </is>
      </c>
      <c r="F25" s="117" t="inlineStr">
        <is>
          <t>Scène plus large que profonde; layering avant/arrière moyen</t>
        </is>
      </c>
      <c r="G25" s="118" t="n">
        <v>9.4</v>
      </c>
      <c r="H25" s="119" t="n">
        <v>9.1</v>
      </c>
      <c r="I25" s="119" t="n">
        <v>8</v>
      </c>
      <c r="J25" s="119" t="n">
        <v>7.8</v>
      </c>
      <c r="K25" s="119" t="n">
        <v>8.199999999999999</v>
      </c>
      <c r="L25" s="119" t="n">
        <v>8.4</v>
      </c>
      <c r="M25" s="119" t="n">
        <v>9.1</v>
      </c>
      <c r="N25" s="119" t="n">
        <v>9.199999999999999</v>
      </c>
      <c r="O25" s="119" t="n">
        <v>8.300000000000001</v>
      </c>
      <c r="P25" s="119" t="n">
        <v>7.2</v>
      </c>
      <c r="Q25" s="158">
        <f>IF(COUNT(G25:P25)=10,ROUND((G25*'Pondérations'!$B$5+H25*'Pondérations'!$B$6+I25*'Pondérations'!$B$7+J25*'Pondérations'!$B$8+K25*'Pondérations'!$B$9+L25*'Pondérations'!$B$10+M25*'Pondérations'!$B$11+N25*'Pondérations'!$B$12+O25*'Pondérations'!$B$13+P25*'Pondérations'!$B$14)/'Pondérations'!$B$16,3),"")</f>
        <v/>
      </c>
      <c r="R25" s="159">
        <f>IF(Q25="","",1+COUNTIF($Q$7:$Q$178,"&gt;"&amp;Q25)+COUNTIF($Q$7:Q25,Q25)-1)</f>
        <v/>
      </c>
      <c r="S25" s="122" t="n"/>
      <c r="T25" s="117" t="n"/>
      <c r="U25" s="117" t="n"/>
      <c r="V25" s="123" t="inlineStr">
        <is>
          <t>Moyenne</t>
        </is>
      </c>
      <c r="W25" s="117" t="inlineStr">
        <is>
          <t>Discussion + Headfonics</t>
        </is>
      </c>
      <c r="X25" s="118" t="n">
        <v>8.300000000000001</v>
      </c>
      <c r="Y25" s="123" t="inlineStr">
        <is>
          <t>Reader</t>
        </is>
      </c>
      <c r="Z25" s="124" t="n">
        <v>45899</v>
      </c>
      <c r="AA25" s="125" t="n">
        <v>2</v>
      </c>
      <c r="AB25" s="126" t="inlineStr">
        <is>
          <t>https://headfonics.com/?s=SMSL+DS20</t>
        </is>
      </c>
      <c r="AC25" s="117" t="inlineStr">
        <is>
          <t>Quad CS43131 portable DAC/amp, up to 500 mW</t>
        </is>
      </c>
      <c r="AD25" s="123" t="inlineStr">
        <is>
          <t>Déjà présent</t>
        </is>
      </c>
      <c r="AE25" s="125" t="n">
        <v>24</v>
      </c>
      <c r="AF25" s="127" t="n">
        <v>199</v>
      </c>
      <c r="AG25" s="122" t="inlineStr">
        <is>
          <t>Portable énergique, avec grave rapide et très bien contrôlé, médiums clairs et bonne dynamique.</t>
        </is>
      </c>
      <c r="AH25" s="117" t="inlineStr">
        <is>
          <t>Grave énergique, médiums neutres.</t>
        </is>
      </c>
      <c r="AI25" s="117" t="inlineStr">
        <is>
          <t>Bonne dynamique et définition; moins axé douceur.</t>
        </is>
      </c>
      <c r="AJ25" s="117" t="inlineStr">
        <is>
          <t>Aigu pas toujours très lisse.</t>
        </is>
      </c>
      <c r="AK25" s="117" t="inlineStr">
        <is>
          <t>https://headfonics.com/smsl-ds20-review/</t>
        </is>
      </c>
      <c r="AL25" s="125" t="n">
        <v>3</v>
      </c>
      <c r="AM25" s="123" t="inlineStr">
        <is>
          <t>Élevée — 3+ sources, domaines variés</t>
        </is>
      </c>
      <c r="AN25" s="117" t="inlineStr">
        <is>
          <t>https://primeaudio.org/smsl-ds20-review/</t>
        </is>
      </c>
      <c r="AO25" s="128" t="inlineStr">
        <is>
          <t>https://headphonesandcoffee.home.blog/2025/09/22/smsl-ds20/</t>
        </is>
      </c>
      <c r="AP25" s="117" t="n"/>
      <c r="AQ25" s="123" t="inlineStr">
        <is>
          <t>Objectif atteint</t>
        </is>
      </c>
      <c r="AR25" s="117" t="inlineStr">
        <is>
          <t>Review éditoriale: 3</t>
        </is>
      </c>
    </row>
    <row r="26" ht="54" customHeight="1">
      <c r="A26" s="129" t="inlineStr">
        <is>
          <t>MUSE HiFi</t>
        </is>
      </c>
      <c r="B26" s="129" t="inlineStr">
        <is>
          <t>M5 Ultra</t>
        </is>
      </c>
      <c r="C26" s="129" t="inlineStr">
        <is>
          <t>DAC/amp portable hybride</t>
        </is>
      </c>
      <c r="D26" s="129" t="inlineStr">
        <is>
          <t>Doux, charnu, tubes plus profonds</t>
        </is>
      </c>
      <c r="E26" s="129" t="inlineStr">
        <is>
          <t>Corps médium, profondeur, caractère tubes</t>
        </is>
      </c>
      <c r="F26" s="129" t="inlineStr">
        <is>
          <t>Sous-grave/impédance/microdétail peuvent varier selon charge</t>
        </is>
      </c>
      <c r="G26" s="130" t="n">
        <v>8.5</v>
      </c>
      <c r="H26" s="131" t="n">
        <v>8.4</v>
      </c>
      <c r="I26" s="131" t="n">
        <v>8.800000000000001</v>
      </c>
      <c r="J26" s="131" t="n">
        <v>8.9</v>
      </c>
      <c r="K26" s="131" t="n">
        <v>8.699999999999999</v>
      </c>
      <c r="L26" s="131" t="n">
        <v>9.300000000000001</v>
      </c>
      <c r="M26" s="131" t="n">
        <v>8.6</v>
      </c>
      <c r="N26" s="131" t="n">
        <v>8.6</v>
      </c>
      <c r="O26" s="131" t="n">
        <v>7</v>
      </c>
      <c r="P26" s="131" t="n">
        <v>8</v>
      </c>
      <c r="Q26" s="158">
        <f>IF(COUNT(G26:P26)=10,ROUND((G26*'Pondérations'!$B$5+H26*'Pondérations'!$B$6+I26*'Pondérations'!$B$7+J26*'Pondérations'!$B$8+K26*'Pondérations'!$B$9+L26*'Pondérations'!$B$10+M26*'Pondérations'!$B$11+N26*'Pondérations'!$B$12+O26*'Pondérations'!$B$13+P26*'Pondérations'!$B$14)/'Pondérations'!$B$16,3),"")</f>
        <v/>
      </c>
      <c r="R26" s="159">
        <f>IF(Q26="","",1+COUNTIF($Q$7:$Q$178,"&gt;"&amp;Q26)+COUNTIF($Q$7:Q26,Q26)-1)</f>
        <v/>
      </c>
      <c r="S26" s="132" t="n"/>
      <c r="T26" s="129" t="n"/>
      <c r="U26" s="129" t="n"/>
      <c r="V26" s="133" t="inlineStr">
        <is>
          <t>Moyenne</t>
        </is>
      </c>
      <c r="W26" s="129" t="inlineStr">
        <is>
          <t>Discussion + Headfonics</t>
        </is>
      </c>
      <c r="X26" s="130" t="n">
        <v>8.1</v>
      </c>
      <c r="Y26" s="133" t="inlineStr">
        <is>
          <t>Reader</t>
        </is>
      </c>
      <c r="Z26" s="134" t="n">
        <v>45800</v>
      </c>
      <c r="AA26" s="135" t="n">
        <v>2</v>
      </c>
      <c r="AB26" s="139" t="inlineStr">
        <is>
          <t>https://headfonics.com/?s=MUSE+HiFi+M5+Ultra</t>
        </is>
      </c>
      <c r="AC26" s="129" t="inlineStr">
        <is>
          <t>Bluetooth ES9038Q2M tube/solid-state portable DAC/amp</t>
        </is>
      </c>
      <c r="AD26" s="133" t="inlineStr">
        <is>
          <t>Déjà présent</t>
        </is>
      </c>
      <c r="AE26" s="135" t="n">
        <v>32</v>
      </c>
      <c r="AF26" s="127" t="n">
        <v>269</v>
      </c>
      <c r="AG26" s="132" t="inlineStr">
        <is>
          <t>Très bon rendu dans les deux modes, avec une restitution tube naturelle et vivante et un transistor également convaincant.</t>
        </is>
      </c>
      <c r="AH26" s="129" t="inlineStr">
        <is>
          <t>Naturel; tube plus chaleureux.</t>
        </is>
      </c>
      <c r="AI26" s="129" t="inlineStr">
        <is>
          <t>Bonne transparence et silence de fond.</t>
        </is>
      </c>
      <c r="AJ26" s="129" t="inlineStr">
        <is>
          <t>Construction/commandes légèrement perfectibles.</t>
        </is>
      </c>
      <c r="AK26" s="129" t="inlineStr">
        <is>
          <t>https://headfonics.com/muse-hifi-m5-ultra-review/</t>
        </is>
      </c>
      <c r="AL26" s="135" t="n">
        <v>4</v>
      </c>
      <c r="AM26" s="133" t="inlineStr">
        <is>
          <t>Élevée — 3+ sources, domaines variés</t>
        </is>
      </c>
      <c r="AN26" s="129" t="inlineStr">
        <is>
          <t>https://www.head-fi.org/showcase/muse-hifi-m5-ultra.28169/reviews</t>
        </is>
      </c>
      <c r="AO26" s="137" t="inlineStr">
        <is>
          <t>https://www.headfonia.com/muse-hifi-m5-ultra-review/</t>
        </is>
      </c>
      <c r="AP26" s="129" t="inlineStr">
        <is>
          <t>https://primeaudio.org/muse-hifi-m5-ultra-review/</t>
        </is>
      </c>
      <c r="AQ26" s="133" t="inlineStr">
        <is>
          <t>Objectif atteint</t>
        </is>
      </c>
      <c r="AR26" s="129" t="inlineStr">
        <is>
          <t>Head-Fi reviews: 1; Review éditoriale: 3</t>
        </is>
      </c>
    </row>
    <row r="27" ht="54" customHeight="1">
      <c r="A27" s="117" t="inlineStr">
        <is>
          <t>Topping</t>
        </is>
      </c>
      <c r="B27" s="117" t="inlineStr">
        <is>
          <t>G5</t>
        </is>
      </c>
      <c r="C27" s="117" t="inlineStr">
        <is>
          <t>DAC/amp portable sur batterie</t>
        </is>
      </c>
      <c r="D27" s="117" t="inlineStr">
        <is>
          <t>Très neutre, très propre, très contrôlé</t>
        </is>
      </c>
      <c r="E27" s="117" t="inlineStr">
        <is>
          <t>Mesures, puissance, fond noir</t>
        </is>
      </c>
      <c r="F27" s="117" t="inlineStr">
        <is>
          <t>Redondant avec L70; peu de gain en holographie</t>
        </is>
      </c>
      <c r="G27" s="118" t="n">
        <v>9.800000000000001</v>
      </c>
      <c r="H27" s="119" t="n">
        <v>9</v>
      </c>
      <c r="I27" s="119" t="n">
        <v>8</v>
      </c>
      <c r="J27" s="119" t="n">
        <v>7.8</v>
      </c>
      <c r="K27" s="119" t="n">
        <v>8.5</v>
      </c>
      <c r="L27" s="119" t="n">
        <v>8.199999999999999</v>
      </c>
      <c r="M27" s="119" t="n">
        <v>9.300000000000001</v>
      </c>
      <c r="N27" s="119" t="n">
        <v>9.800000000000001</v>
      </c>
      <c r="O27" s="119" t="n">
        <v>6.5</v>
      </c>
      <c r="P27" s="119" t="n">
        <v>6.8</v>
      </c>
      <c r="Q27" s="158">
        <f>IF(COUNT(G27:P27)=10,ROUND((G27*'Pondérations'!$B$5+H27*'Pondérations'!$B$6+I27*'Pondérations'!$B$7+J27*'Pondérations'!$B$8+K27*'Pondérations'!$B$9+L27*'Pondérations'!$B$10+M27*'Pondérations'!$B$11+N27*'Pondérations'!$B$12+O27*'Pondérations'!$B$13+P27*'Pondérations'!$B$14)/'Pondérations'!$B$16,3),"")</f>
        <v/>
      </c>
      <c r="R27" s="159">
        <f>IF(Q27="","",1+COUNTIF($Q$7:$Q$178,"&gt;"&amp;Q27)+COUNTIF($Q$7:Q27,Q27)-1)</f>
        <v/>
      </c>
      <c r="S27" s="122" t="n"/>
      <c r="T27" s="117" t="n"/>
      <c r="U27" s="117" t="n"/>
      <c r="V27" s="123" t="inlineStr">
        <is>
          <t>Élevée</t>
        </is>
      </c>
      <c r="W27" s="117" t="inlineStr">
        <is>
          <t>Discussion initiale</t>
        </is>
      </c>
      <c r="X27" s="118" t="n"/>
      <c r="Y27" s="123" t="n"/>
      <c r="Z27" s="124" t="n"/>
      <c r="AA27" s="125" t="n"/>
      <c r="AB27" s="117" t="n"/>
      <c r="AC27" s="117" t="n"/>
      <c r="AD27" s="123" t="n"/>
      <c r="AE27" s="125" t="n"/>
      <c r="AF27" s="127" t="n">
        <v>299</v>
      </c>
      <c r="AG27" s="122" t="inlineStr">
        <is>
          <t>Le G5 propose un rendu très propre, dynamique et précis, avec un aigu net et une bonne résolution. Il privilégie la transparence plutôt que la coloration.</t>
        </is>
      </c>
      <c r="AH27" s="117" t="inlineStr">
        <is>
          <t>Neutre, propre, dynamique</t>
        </is>
      </c>
      <c r="AI27" s="117" t="inlineStr">
        <is>
          <t>Scène aérée et spacieuse avec placement précis, bonne largeur et profondeur; fond sombre.</t>
        </is>
      </c>
      <c r="AJ27" s="117" t="inlineStr">
        <is>
          <t>Caractère plutôt technique et peu coloré; ne constitue pas le meilleur choix si l'objectif est d'ajouter matière ou chaleur.</t>
        </is>
      </c>
      <c r="AK27" s="117" t="inlineStr">
        <is>
          <t>https://moonstarreviews.net/topping-g5-portable-dac-amplifier-review/</t>
        </is>
      </c>
      <c r="AL27" s="125" t="n">
        <v>3</v>
      </c>
      <c r="AM27" s="123" t="inlineStr">
        <is>
          <t>Élevée — 3+ sources, domaines variés</t>
        </is>
      </c>
      <c r="AN27" s="117" t="inlineStr">
        <is>
          <t>https://www.head-fi.org/showcase/topping-g5.26030/reviews</t>
        </is>
      </c>
      <c r="AO27" s="128" t="inlineStr">
        <is>
          <t>https://iegems.nk-tran.com/2022/12/16/review-Topping-G5.html</t>
        </is>
      </c>
      <c r="AP27" s="117" t="n"/>
      <c r="AQ27" s="123" t="inlineStr">
        <is>
          <t>Objectif atteint</t>
        </is>
      </c>
      <c r="AR27" s="117" t="inlineStr">
        <is>
          <t>Head-Fi reviews: 1; Review éditoriale: 2</t>
        </is>
      </c>
    </row>
    <row r="28" ht="54" customHeight="1">
      <c r="A28" s="129" t="inlineStr">
        <is>
          <t>Shanling</t>
        </is>
      </c>
      <c r="B28" s="129" t="inlineStr">
        <is>
          <t>UA6</t>
        </is>
      </c>
      <c r="C28" s="129" t="inlineStr">
        <is>
          <t>Dongle DAC/amp</t>
        </is>
      </c>
      <c r="D28" s="129" t="inlineStr">
        <is>
          <t>Transparent, spacieux, légèrement chaleureux</t>
        </is>
      </c>
      <c r="E28" s="129" t="inlineStr">
        <is>
          <t>Scène, transparence, douceur</t>
        </is>
      </c>
      <c r="F28" s="129" t="inlineStr">
        <is>
          <t>UA6 II plus abouti; moins de recul dans notre comparaison</t>
        </is>
      </c>
      <c r="G28" s="130" t="n">
        <v>9.1</v>
      </c>
      <c r="H28" s="131" t="n">
        <v>8.800000000000001</v>
      </c>
      <c r="I28" s="131" t="n">
        <v>8.6</v>
      </c>
      <c r="J28" s="131" t="n">
        <v>8.699999999999999</v>
      </c>
      <c r="K28" s="131" t="n">
        <v>8.699999999999999</v>
      </c>
      <c r="L28" s="131" t="n">
        <v>9</v>
      </c>
      <c r="M28" s="131" t="n">
        <v>8.800000000000001</v>
      </c>
      <c r="N28" s="131" t="n">
        <v>8.5</v>
      </c>
      <c r="O28" s="131" t="n">
        <v>9.5</v>
      </c>
      <c r="P28" s="131" t="n">
        <v>8.199999999999999</v>
      </c>
      <c r="Q28" s="158">
        <f>IF(COUNT(G28:P28)=10,ROUND((G28*'Pondérations'!$B$5+H28*'Pondérations'!$B$6+I28*'Pondérations'!$B$7+J28*'Pondérations'!$B$8+K28*'Pondérations'!$B$9+L28*'Pondérations'!$B$10+M28*'Pondérations'!$B$11+N28*'Pondérations'!$B$12+O28*'Pondérations'!$B$13+P28*'Pondérations'!$B$14)/'Pondérations'!$B$16,3),"")</f>
        <v/>
      </c>
      <c r="R28" s="159">
        <f>IF(Q28="","",1+COUNTIF($Q$7:$Q$178,"&gt;"&amp;Q28)+COUNTIF($Q$7:Q28,Q28)-1)</f>
        <v/>
      </c>
      <c r="S28" s="132" t="n"/>
      <c r="T28" s="129" t="n"/>
      <c r="U28" s="129" t="n"/>
      <c r="V28" s="133" t="inlineStr">
        <is>
          <t>Moyenne</t>
        </is>
      </c>
      <c r="W28" s="129" t="inlineStr">
        <is>
          <t>Discussion initiale</t>
        </is>
      </c>
      <c r="X28" s="130" t="n"/>
      <c r="Y28" s="133" t="n"/>
      <c r="Z28" s="134" t="n"/>
      <c r="AA28" s="135" t="n"/>
      <c r="AB28" s="129" t="n"/>
      <c r="AC28" s="129" t="n"/>
      <c r="AD28" s="133" t="n"/>
      <c r="AE28" s="135" t="n"/>
      <c r="AF28" s="127" t="n">
        <v>179</v>
      </c>
      <c r="AG28" s="132" t="inlineStr">
        <is>
          <t>Le UA6 original est un dongle très propre et détaillé, avec une restitution neutre et un bruit de fond très faible. Il met l'accent sur la lisibilité et l'organisation.</t>
        </is>
      </c>
      <c r="AH28" s="129" t="inlineStr">
        <is>
          <t>Neutre, propre, légèrement maigre selon les associations</t>
        </is>
      </c>
      <c r="AI28" s="129" t="inlineStr">
        <is>
          <t>Scène large avec profondeur/hauteur convaincantes, imagerie précise et bonne séparation.</t>
        </is>
      </c>
      <c r="AJ28" s="129" t="inlineStr">
        <is>
          <t>Peut paraître un peu lean ou peu charnu; la synergie avec des casques/IEM déjà clairs est importante.</t>
        </is>
      </c>
      <c r="AK28" s="129" t="inlineStr">
        <is>
          <t>https://headfonics.com/shanling-ua6-review/</t>
        </is>
      </c>
      <c r="AL28" s="135" t="n">
        <v>4</v>
      </c>
      <c r="AM28" s="133" t="inlineStr">
        <is>
          <t>Élevée — 3+ sources, domaines variés</t>
        </is>
      </c>
      <c r="AN28" s="129" t="inlineStr">
        <is>
          <t>https://www.head-fi.org/showcase/shanling-ua6.28189/reviews</t>
        </is>
      </c>
      <c r="AO28" s="137" t="inlineStr">
        <is>
          <t>https://www.headfonia.com/shanling-ua6-review/</t>
        </is>
      </c>
      <c r="AP28" s="129" t="inlineStr">
        <is>
          <t>https://primeaudio.org/shanling-ua6-review/</t>
        </is>
      </c>
      <c r="AQ28" s="133" t="inlineStr">
        <is>
          <t>Objectif atteint</t>
        </is>
      </c>
      <c r="AR28" s="129" t="inlineStr">
        <is>
          <t>Head-Fi reviews: 1; Review éditoriale: 3</t>
        </is>
      </c>
    </row>
    <row r="29" ht="54" customHeight="1">
      <c r="A29" s="117" t="inlineStr">
        <is>
          <t>Questyle</t>
        </is>
      </c>
      <c r="B29" s="117" t="inlineStr">
        <is>
          <t>M15C</t>
        </is>
      </c>
      <c r="C29" s="117" t="inlineStr">
        <is>
          <t>Dongle DAC/amp</t>
        </is>
      </c>
      <c r="D29" s="117" t="inlineStr">
        <is>
          <t>Propre, fluide, légèrement chaleureux</t>
        </is>
      </c>
      <c r="E29" s="117" t="inlineStr">
        <is>
          <t>Image stable, compacité, musicalité Questyle</t>
        </is>
      </c>
      <c r="F29" s="117" t="inlineStr">
        <is>
          <t>Moins ambitieux/puissant que M15i</t>
        </is>
      </c>
      <c r="G29" s="118" t="n">
        <v>9.1</v>
      </c>
      <c r="H29" s="119" t="n">
        <v>8.800000000000001</v>
      </c>
      <c r="I29" s="119" t="n">
        <v>8.800000000000001</v>
      </c>
      <c r="J29" s="119" t="n">
        <v>8.9</v>
      </c>
      <c r="K29" s="119" t="n">
        <v>8.800000000000001</v>
      </c>
      <c r="L29" s="119" t="n">
        <v>8.4</v>
      </c>
      <c r="M29" s="119" t="n">
        <v>8.699999999999999</v>
      </c>
      <c r="N29" s="119" t="n">
        <v>8.5</v>
      </c>
      <c r="O29" s="119" t="n">
        <v>8</v>
      </c>
      <c r="P29" s="119" t="n">
        <v>8.5</v>
      </c>
      <c r="Q29" s="158">
        <f>IF(COUNT(G29:P29)=10,ROUND((G29*'Pondérations'!$B$5+H29*'Pondérations'!$B$6+I29*'Pondérations'!$B$7+J29*'Pondérations'!$B$8+K29*'Pondérations'!$B$9+L29*'Pondérations'!$B$10+M29*'Pondérations'!$B$11+N29*'Pondérations'!$B$12+O29*'Pondérations'!$B$13+P29*'Pondérations'!$B$14)/'Pondérations'!$B$16,3),"")</f>
        <v/>
      </c>
      <c r="R29" s="159">
        <f>IF(Q29="","",1+COUNTIF($Q$7:$Q$178,"&gt;"&amp;Q29)+COUNTIF($Q$7:Q29,Q29)-1)</f>
        <v/>
      </c>
      <c r="S29" s="122" t="n"/>
      <c r="T29" s="117" t="n"/>
      <c r="U29" s="117" t="n"/>
      <c r="V29" s="123" t="inlineStr">
        <is>
          <t>Moyenne</t>
        </is>
      </c>
      <c r="W29" s="117" t="inlineStr">
        <is>
          <t>Discussion + Headfonics</t>
        </is>
      </c>
      <c r="X29" s="118" t="n">
        <v>8</v>
      </c>
      <c r="Y29" s="123" t="inlineStr">
        <is>
          <t>Reader</t>
        </is>
      </c>
      <c r="Z29" s="124" t="n">
        <v>45663</v>
      </c>
      <c r="AA29" s="125" t="n">
        <v>3</v>
      </c>
      <c r="AB29" s="126" t="inlineStr">
        <is>
          <t>https://headfonics.com/?s=Questyle+M15C</t>
        </is>
      </c>
      <c r="AC29" s="117" t="inlineStr">
        <is>
          <t>Balanced dongle DAC; updated M15 family</t>
        </is>
      </c>
      <c r="AD29" s="123" t="inlineStr">
        <is>
          <t>Déjà présent</t>
        </is>
      </c>
      <c r="AE29" s="125" t="n">
        <v>41</v>
      </c>
      <c r="AF29" s="127" t="n">
        <v>129</v>
      </c>
      <c r="AG29" s="122" t="inlineStr">
        <is>
          <t>Dongle solide, bien construit et suffisamment puissant, avec une qualité sonore globalement convaincante.</t>
        </is>
      </c>
      <c r="AH29" s="117" t="inlineStr">
        <is>
          <t>Neutre/Questyle propre.</t>
        </is>
      </c>
      <c r="AI29" s="117" t="inlineStr">
        <is>
          <t>Bonne qualité générale, sans point spatial majeur mis en avant.</t>
        </is>
      </c>
      <c r="AJ29" s="117" t="inlineStr">
        <is>
          <t>Volume minimum trop élevé; gain haut peu influent.</t>
        </is>
      </c>
      <c r="AK29" s="117" t="inlineStr">
        <is>
          <t>https://headfonics.com/questyle-m15c-review/</t>
        </is>
      </c>
      <c r="AL29" s="125" t="n">
        <v>4</v>
      </c>
      <c r="AM29" s="123" t="inlineStr">
        <is>
          <t>Élevée — 3+ sources, domaines variés</t>
        </is>
      </c>
      <c r="AN29" s="117" t="inlineStr">
        <is>
          <t>https://www.head-fi.org/showcase/questyle-m15c.27912/reviews</t>
        </is>
      </c>
      <c r="AO29" s="128" t="inlineStr">
        <is>
          <t>https://www.ecoustics.com/reviews/questyle-m15c/</t>
        </is>
      </c>
      <c r="AP29" s="117" t="inlineStr">
        <is>
          <t>https://www.pocnetwork.net/product-reviews/questyle-m15c-portable-headphone-amp/</t>
        </is>
      </c>
      <c r="AQ29" s="123" t="inlineStr">
        <is>
          <t>Objectif atteint</t>
        </is>
      </c>
      <c r="AR29" s="117" t="inlineStr">
        <is>
          <t>Head-Fi reviews: 1; Review éditoriale: 3</t>
        </is>
      </c>
    </row>
    <row r="30" ht="54" customHeight="1">
      <c r="A30" s="129" t="inlineStr">
        <is>
          <t>iBasso</t>
        </is>
      </c>
      <c r="B30" s="129" t="inlineStr">
        <is>
          <t>DC-Tonfa</t>
        </is>
      </c>
      <c r="C30" s="129" t="inlineStr">
        <is>
          <t>Dongle DAC/amp R-2R</t>
        </is>
      </c>
      <c r="D30" s="129" t="inlineStr">
        <is>
          <t>Prometteur: texture R-2R + précision iBasso</t>
        </is>
      </c>
      <c r="E30" s="129" t="inlineStr">
        <is>
          <t>Potentiel compromis naturel / résolution / profondeur</t>
        </is>
      </c>
      <c r="F30" s="129" t="inlineStr">
        <is>
          <t>Très récent; manque encore de recul indépendant</t>
        </is>
      </c>
      <c r="G30" s="130" t="n">
        <v>9.1</v>
      </c>
      <c r="H30" s="131" t="n">
        <v>8.9</v>
      </c>
      <c r="I30" s="131" t="n">
        <v>9.300000000000001</v>
      </c>
      <c r="J30" s="131" t="n">
        <v>9.199999999999999</v>
      </c>
      <c r="K30" s="131" t="n">
        <v>9.199999999999999</v>
      </c>
      <c r="L30" s="131" t="n">
        <v>9.199999999999999</v>
      </c>
      <c r="M30" s="131" t="n">
        <v>8.9</v>
      </c>
      <c r="N30" s="131" t="n">
        <v>8.699999999999999</v>
      </c>
      <c r="O30" s="131" t="n">
        <v>9</v>
      </c>
      <c r="P30" s="131" t="n">
        <v>9.300000000000001</v>
      </c>
      <c r="Q30" s="158">
        <f>IF(COUNT(G30:P30)=10,ROUND((G30*'Pondérations'!$B$5+H30*'Pondérations'!$B$6+I30*'Pondérations'!$B$7+J30*'Pondérations'!$B$8+K30*'Pondérations'!$B$9+L30*'Pondérations'!$B$10+M30*'Pondérations'!$B$11+N30*'Pondérations'!$B$12+O30*'Pondérations'!$B$13+P30*'Pondérations'!$B$14)/'Pondérations'!$B$16,3),"")</f>
        <v/>
      </c>
      <c r="R30" s="159">
        <f>IF(Q30="","",1+COUNTIF($Q$7:$Q$178,"&gt;"&amp;Q30)+COUNTIF($Q$7:Q30,Q30)-1)</f>
        <v/>
      </c>
      <c r="S30" s="132" t="n"/>
      <c r="T30" s="129" t="n"/>
      <c r="U30" s="129" t="n"/>
      <c r="V30" s="133" t="inlineStr">
        <is>
          <t>Faible / provisoire</t>
        </is>
      </c>
      <c r="W30" s="129" t="inlineStr">
        <is>
          <t>Discussion initiale</t>
        </is>
      </c>
      <c r="X30" s="130" t="n"/>
      <c r="Y30" s="133" t="n"/>
      <c r="Z30" s="134" t="n"/>
      <c r="AA30" s="135" t="n"/>
      <c r="AB30" s="129" t="n"/>
      <c r="AC30" s="129" t="n"/>
      <c r="AD30" s="133" t="n"/>
      <c r="AE30" s="135" t="n"/>
      <c r="AF30" s="136" t="n">
        <v>292</v>
      </c>
      <c r="AG30" s="132" t="inlineStr">
        <is>
          <t>Les premiers essais du DC-Tonfa décrivent un R2R résolvant mais plus doux sur les contours, avec une sensation analogique, humide et naturelle plutôt qu'une précision agressive.</t>
        </is>
      </c>
      <c r="AH30" s="129" t="inlineStr">
        <is>
          <t>Naturelle, analogique, douce</t>
        </is>
      </c>
      <c r="AI30" s="129" t="inlineStr">
        <is>
          <t>Image fluide et vivante; les filtres modifient largeur, position des voix et réverbération, avec une bonne sensation de relief.</t>
        </is>
      </c>
      <c r="AJ30" s="129" t="inlineStr">
        <is>
          <t>Produit très récent: peu de recul et de comparaisons indépendantes; conclusions encore provisoires.</t>
        </is>
      </c>
      <c r="AK30" s="129" t="inlineStr">
        <is>
          <t>https://av.watch.impress.co.jp/docs/review/review/2126352.html</t>
        </is>
      </c>
      <c r="AL30" s="135" t="n">
        <v>3</v>
      </c>
      <c r="AM30" s="133" t="inlineStr">
        <is>
          <t>Élevée — 3+ sources, domaines variés</t>
        </is>
      </c>
      <c r="AN30" s="129" t="inlineStr">
        <is>
          <t>https://www.e-earphone.jp/blogs/feature/dc-tonfa_review</t>
        </is>
      </c>
      <c r="AO30" s="137" t="inlineStr">
        <is>
          <t>https://kajetblog.com/ibasso-dc-tonfa-4/</t>
        </is>
      </c>
      <c r="AP30" s="129" t="n"/>
      <c r="AQ30" s="133" t="inlineStr">
        <is>
          <t>Objectif atteint</t>
        </is>
      </c>
      <c r="AR30" s="129" t="inlineStr">
        <is>
          <t>Review éditoriale: 3</t>
        </is>
      </c>
    </row>
    <row r="31" ht="54" customHeight="1">
      <c r="A31" s="117" t="inlineStr">
        <is>
          <t>Questyle</t>
        </is>
      </c>
      <c r="B31" s="117" t="inlineStr">
        <is>
          <t>M18i Max</t>
        </is>
      </c>
      <c r="C31" s="117" t="inlineStr">
        <is>
          <t>Portable Amp/DAC (Headfonics)</t>
        </is>
      </c>
      <c r="D31" s="117" t="inlineStr">
        <is>
          <t>Neutre-référence avec légère chaleur et médiums un peu en avant.</t>
        </is>
      </c>
      <c r="E31" s="117" t="inlineStr">
        <is>
          <t>Microdétail, propreté/contrôle, dynamique</t>
        </is>
      </c>
      <c r="F31" s="117" t="inlineStr">
        <is>
          <t>Puissance assez limitée pour les casques très exigeants</t>
        </is>
      </c>
      <c r="G31" s="118" t="n">
        <v>9.4</v>
      </c>
      <c r="H31" s="119" t="n">
        <v>9.199999999999999</v>
      </c>
      <c r="I31" s="119" t="n">
        <v>8.800000000000001</v>
      </c>
      <c r="J31" s="119" t="n">
        <v>8.5</v>
      </c>
      <c r="K31" s="119" t="n">
        <v>9</v>
      </c>
      <c r="L31" s="119" t="n">
        <v>8.800000000000001</v>
      </c>
      <c r="M31" s="119" t="n">
        <v>9.1</v>
      </c>
      <c r="N31" s="119" t="n">
        <v>7</v>
      </c>
      <c r="O31" s="119" t="n">
        <v>8</v>
      </c>
      <c r="P31" s="119" t="n">
        <v>8.6</v>
      </c>
      <c r="Q31" s="158">
        <f>IF(COUNT(G31:P31)=10,ROUND((G31*'Pondérations'!$B$5+H31*'Pondérations'!$B$6+I31*'Pondérations'!$B$7+J31*'Pondérations'!$B$8+K31*'Pondérations'!$B$9+L31*'Pondérations'!$B$10+M31*'Pondérations'!$B$11+N31*'Pondérations'!$B$12+O31*'Pondérations'!$B$13+P31*'Pondérations'!$B$14)/'Pondérations'!$B$16,3),"")</f>
        <v/>
      </c>
      <c r="R31" s="159">
        <f>IF(Q31="","",1+COUNTIF($Q$7:$Q$178,"&gt;"&amp;Q31)+COUNTIF($Q$7:Q31,Q31)-1)</f>
        <v/>
      </c>
      <c r="S31" s="122" t="n"/>
      <c r="T31" s="117" t="n"/>
      <c r="U31" s="117" t="n"/>
      <c r="V31" s="123" t="inlineStr">
        <is>
          <t>Élevée</t>
        </is>
      </c>
      <c r="W31" s="117" t="inlineStr">
        <is>
          <t>Headfonics import</t>
        </is>
      </c>
      <c r="X31" s="118" t="n">
        <v>8.699999999999999</v>
      </c>
      <c r="Y31" s="123" t="inlineStr">
        <is>
          <t>Award</t>
        </is>
      </c>
      <c r="Z31" s="124" t="n">
        <v>46223</v>
      </c>
      <c r="AA31" s="125" t="n">
        <v>1</v>
      </c>
      <c r="AB31" s="126" t="inlineStr">
        <is>
          <t>https://headfonics.com/?s=Questyle+M18i+Max</t>
        </is>
      </c>
      <c r="AC31" s="117" t="inlineStr">
        <is>
          <t>ESS ES9219Q wireless portable DAC/amp</t>
        </is>
      </c>
      <c r="AD31" s="123" t="inlineStr">
        <is>
          <t>Ajout Headfonics</t>
        </is>
      </c>
      <c r="AE31" s="125" t="n">
        <v>1</v>
      </c>
      <c r="AF31" s="138" t="n">
        <v>307</v>
      </c>
      <c r="AG31" s="122" t="inlineStr">
        <is>
          <t>Très performant et musical pour un portable, avec un fond propre, une excellente résolution et une dynamique vive.</t>
        </is>
      </c>
      <c r="AH31" s="117" t="inlineStr">
        <is>
          <t>Neutre-référence avec légère chaleur et médiums un peu en avant.</t>
        </is>
      </c>
      <c r="AI31" s="117" t="inlineStr">
        <is>
          <t>Scène réaliste, bonne profondeur, layering précis et microdynamique très lisible.</t>
        </is>
      </c>
      <c r="AJ31" s="117" t="inlineStr">
        <is>
          <t>Puissance assez limitée pour les casques très exigeants; Bluetooth moins convaincant que l’USB.</t>
        </is>
      </c>
      <c r="AK31" s="117" t="inlineStr">
        <is>
          <t>https://headfonics.com/questyle-m18i-max-review/</t>
        </is>
      </c>
      <c r="AL31" s="125" t="n">
        <v>4</v>
      </c>
      <c r="AM31" s="123" t="inlineStr">
        <is>
          <t>Élevée — 3+ sources, domaines variés</t>
        </is>
      </c>
      <c r="AN31" s="117" t="inlineStr">
        <is>
          <t>https://www.headfonia.com/questyle-m18i-max-review/</t>
        </is>
      </c>
      <c r="AO31" s="128" t="inlineStr">
        <is>
          <t>https://kajetblog.com/questyle-m18i/</t>
        </is>
      </c>
      <c r="AP31" s="117" t="inlineStr">
        <is>
          <t>https://www.milik.ai/articles/90800bdc7e</t>
        </is>
      </c>
      <c r="AQ31" s="123" t="inlineStr">
        <is>
          <t>Objectif atteint</t>
        </is>
      </c>
      <c r="AR31" s="117" t="inlineStr">
        <is>
          <t>Review éditoriale: 4</t>
        </is>
      </c>
    </row>
    <row r="32" ht="54" customHeight="1">
      <c r="A32" s="129" t="inlineStr">
        <is>
          <t>AFUL</t>
        </is>
      </c>
      <c r="B32" s="129" t="inlineStr">
        <is>
          <t>ICEBORNE</t>
        </is>
      </c>
      <c r="C32" s="129" t="inlineStr">
        <is>
          <t>Portable Amp/DAC (Headfonics)</t>
        </is>
      </c>
      <c r="D32" s="129" t="inlineStr">
        <is>
          <t>Neutre/analytique mais non fatigant.</t>
        </is>
      </c>
      <c r="E32" s="129" t="inlineStr">
        <is>
          <t>Propreté/contrôle, image 3d, profondeur</t>
        </is>
      </c>
      <c r="F32" s="129" t="inlineStr">
        <is>
          <t>Réserve de puissance limitée avec les casques difficiles</t>
        </is>
      </c>
      <c r="G32" s="130" t="n">
        <v>9.199999999999999</v>
      </c>
      <c r="H32" s="131" t="n">
        <v>8.9</v>
      </c>
      <c r="I32" s="131" t="n">
        <v>8.800000000000001</v>
      </c>
      <c r="J32" s="131" t="n">
        <v>8.800000000000001</v>
      </c>
      <c r="K32" s="131" t="n">
        <v>8.800000000000001</v>
      </c>
      <c r="L32" s="131" t="n">
        <v>8.9</v>
      </c>
      <c r="M32" s="131" t="n">
        <v>8.800000000000001</v>
      </c>
      <c r="N32" s="131" t="n">
        <v>7</v>
      </c>
      <c r="O32" s="131" t="n">
        <v>9.5</v>
      </c>
      <c r="P32" s="131" t="n">
        <v>8.5</v>
      </c>
      <c r="Q32" s="158">
        <f>IF(COUNT(G32:P32)=10,ROUND((G32*'Pondérations'!$B$5+H32*'Pondérations'!$B$6+I32*'Pondérations'!$B$7+J32*'Pondérations'!$B$8+K32*'Pondérations'!$B$9+L32*'Pondérations'!$B$10+M32*'Pondérations'!$B$11+N32*'Pondérations'!$B$12+O32*'Pondérations'!$B$13+P32*'Pondérations'!$B$14)/'Pondérations'!$B$16,3),"")</f>
        <v/>
      </c>
      <c r="R32" s="159">
        <f>IF(Q32="","",1+COUNTIF($Q$7:$Q$178,"&gt;"&amp;Q32)+COUNTIF($Q$7:Q32,Q32)-1)</f>
        <v/>
      </c>
      <c r="S32" s="132" t="n"/>
      <c r="T32" s="129" t="n"/>
      <c r="U32" s="129" t="n"/>
      <c r="V32" s="133" t="inlineStr">
        <is>
          <t>Élevée</t>
        </is>
      </c>
      <c r="W32" s="129" t="inlineStr">
        <is>
          <t>Headfonics import</t>
        </is>
      </c>
      <c r="X32" s="130" t="n">
        <v>8.300000000000001</v>
      </c>
      <c r="Y32" s="133" t="inlineStr">
        <is>
          <t>Award</t>
        </is>
      </c>
      <c r="Z32" s="134" t="n">
        <v>46209</v>
      </c>
      <c r="AA32" s="135" t="n">
        <v>1</v>
      </c>
      <c r="AB32" s="139" t="inlineStr">
        <is>
          <t>https://headfonics.com/?s=AFUL+ICEBORNE</t>
        </is>
      </c>
      <c r="AC32" s="129" t="inlineStr">
        <is>
          <t>Dual CS43198 dongle DAC, up to 300 mW</t>
        </is>
      </c>
      <c r="AD32" s="133" t="inlineStr">
        <is>
          <t>Ajout Headfonics</t>
        </is>
      </c>
      <c r="AE32" s="135" t="n">
        <v>2</v>
      </c>
      <c r="AF32" s="136" t="n">
        <v>132</v>
      </c>
      <c r="AG32" s="132" t="inlineStr">
        <is>
          <t>Dongle neutre, transparent et agréable, surtout convaincant par sa propreté et son espace.</t>
        </is>
      </c>
      <c r="AH32" s="129" t="inlineStr">
        <is>
          <t>Neutre/analytique mais non fatigant.</t>
        </is>
      </c>
      <c r="AI32" s="129" t="inlineStr">
        <is>
          <t>Scène au-dessus de la moyenne et bonne transparence.</t>
        </is>
      </c>
      <c r="AJ32" s="129" t="inlineStr">
        <is>
          <t>Réserve de puissance limitée avec les casques difficiles.</t>
        </is>
      </c>
      <c r="AK32" s="129" t="inlineStr">
        <is>
          <t>https://headfonics.com/aful-iceborne-review/</t>
        </is>
      </c>
      <c r="AL32" s="135" t="n">
        <v>4</v>
      </c>
      <c r="AM32" s="133" t="inlineStr">
        <is>
          <t>Élevée — 3+ sources, domaines variés</t>
        </is>
      </c>
      <c r="AN32" s="129" t="inlineStr">
        <is>
          <t>https://www.reddit.com/r/iems/comments/1tlm1cs/the_aful_iceborne_very_nice_but_worth_the_price/</t>
        </is>
      </c>
      <c r="AO32" s="137" t="inlineStr">
        <is>
          <t>https://note.com/oto_iro_enpi/n/ncdcf63f3cf7b</t>
        </is>
      </c>
      <c r="AP32" s="129" t="inlineStr">
        <is>
          <t>https://audio-syumi70620.hatenablog.com/entry/2026/05/09/181031</t>
        </is>
      </c>
      <c r="AQ32" s="133" t="inlineStr">
        <is>
          <t>Objectif atteint</t>
        </is>
      </c>
      <c r="AR32" s="129" t="inlineStr">
        <is>
          <t>Communauté Reddit: 1; Review éditoriale: 3</t>
        </is>
      </c>
    </row>
    <row r="33" ht="54" customHeight="1">
      <c r="A33" s="117" t="inlineStr">
        <is>
          <t>Fosi Audio</t>
        </is>
      </c>
      <c r="B33" s="117" t="inlineStr">
        <is>
          <t>MD3</t>
        </is>
      </c>
      <c r="C33" s="117" t="inlineStr">
        <is>
          <t>Portable Amp/DAC (Headfonics)</t>
        </is>
      </c>
      <c r="D33" s="117" t="inlineStr">
        <is>
          <t>Neutre, légèrement doux dans les médiums.</t>
        </is>
      </c>
      <c r="E33" s="117" t="inlineStr">
        <is>
          <t>Microdétail, propreté/contrôle, layering</t>
        </is>
      </c>
      <c r="F33" s="117" t="inlineStr">
        <is>
          <t>Grave pas le plus ferme</t>
        </is>
      </c>
      <c r="G33" s="118" t="n">
        <v>9.199999999999999</v>
      </c>
      <c r="H33" s="119" t="n">
        <v>9.300000000000001</v>
      </c>
      <c r="I33" s="119" t="n">
        <v>8.5</v>
      </c>
      <c r="J33" s="119" t="n">
        <v>8.4</v>
      </c>
      <c r="K33" s="119" t="n">
        <v>8.699999999999999</v>
      </c>
      <c r="L33" s="119" t="n">
        <v>8.800000000000001</v>
      </c>
      <c r="M33" s="119" t="n">
        <v>8</v>
      </c>
      <c r="N33" s="119" t="n">
        <v>7.8</v>
      </c>
      <c r="O33" s="119" t="n">
        <v>8</v>
      </c>
      <c r="P33" s="119" t="n">
        <v>8.1</v>
      </c>
      <c r="Q33" s="158">
        <f>IF(COUNT(G33:P33)=10,ROUND((G33*'Pondérations'!$B$5+H33*'Pondérations'!$B$6+I33*'Pondérations'!$B$7+J33*'Pondérations'!$B$8+K33*'Pondérations'!$B$9+L33*'Pondérations'!$B$10+M33*'Pondérations'!$B$11+N33*'Pondérations'!$B$12+O33*'Pondérations'!$B$13+P33*'Pondérations'!$B$14)/'Pondérations'!$B$16,3),"")</f>
        <v/>
      </c>
      <c r="R33" s="159">
        <f>IF(Q33="","",1+COUNTIF($Q$7:$Q$178,"&gt;"&amp;Q33)+COUNTIF($Q$7:Q33,Q33)-1)</f>
        <v/>
      </c>
      <c r="S33" s="122" t="n"/>
      <c r="T33" s="117" t="n"/>
      <c r="U33" s="117" t="n"/>
      <c r="V33" s="123" t="inlineStr">
        <is>
          <t>Élevée</t>
        </is>
      </c>
      <c r="W33" s="117" t="inlineStr">
        <is>
          <t>Headfonics import</t>
        </is>
      </c>
      <c r="X33" s="118" t="n">
        <v>7.9</v>
      </c>
      <c r="Y33" s="123" t="inlineStr">
        <is>
          <t>Award</t>
        </is>
      </c>
      <c r="Z33" s="124" t="n">
        <v>46207</v>
      </c>
      <c r="AA33" s="125" t="n">
        <v>1</v>
      </c>
      <c r="AB33" s="126" t="inlineStr">
        <is>
          <t>https://headfonics.com/?s=Fosi+Audio+MD3</t>
        </is>
      </c>
      <c r="AC33" s="117" t="inlineStr">
        <is>
          <t>MagSafe ES9039Q2M portable DAC/amp, 180 mW</t>
        </is>
      </c>
      <c r="AD33" s="123" t="inlineStr">
        <is>
          <t>Ajout Headfonics</t>
        </is>
      </c>
      <c r="AE33" s="125" t="n">
        <v>3</v>
      </c>
      <c r="AF33" s="138" t="n">
        <v>132</v>
      </c>
      <c r="AG33" s="122" t="inlineStr">
        <is>
          <t>Restitution neutre et transparente avec beaucoup de microdétails et un aigu aéré, sans agressivité marquée.</t>
        </is>
      </c>
      <c r="AH33" s="117" t="inlineStr">
        <is>
          <t>Neutre, légèrement doux dans les médiums.</t>
        </is>
      </c>
      <c r="AI33" s="117" t="inlineStr">
        <is>
          <t>Scène spacieuse, plutôt large que profonde, mais séparation avant/arrière satisfaisante.</t>
        </is>
      </c>
      <c r="AJ33" s="117" t="inlineStr">
        <is>
          <t>Grave pas le plus ferme; dynamique moins explosive avec des casques.</t>
        </is>
      </c>
      <c r="AK33" s="117" t="inlineStr">
        <is>
          <t>https://headfonics.com/fosi-audio-md3-review/</t>
        </is>
      </c>
      <c r="AL33" s="125" t="n">
        <v>4</v>
      </c>
      <c r="AM33" s="123" t="inlineStr">
        <is>
          <t>Élevée — 3+ sources, domaines variés</t>
        </is>
      </c>
      <c r="AN33" s="117" t="inlineStr">
        <is>
          <t>https://www.headfonia.com/fosi-audio-md3-review/</t>
        </is>
      </c>
      <c r="AO33" s="128" t="inlineStr">
        <is>
          <t>https://moonstarreviews.net/fosi-audio-md3-review/</t>
        </is>
      </c>
      <c r="AP33" s="117" t="inlineStr">
        <is>
          <t>https://www.ecoustics.com/reviews/fosi-audio-md3/</t>
        </is>
      </c>
      <c r="AQ33" s="123" t="inlineStr">
        <is>
          <t>Objectif atteint</t>
        </is>
      </c>
      <c r="AR33" s="117" t="inlineStr">
        <is>
          <t>Review éditoriale: 4</t>
        </is>
      </c>
    </row>
    <row r="34" ht="54" customHeight="1">
      <c r="A34" s="129" t="inlineStr">
        <is>
          <t>iFi audio</t>
        </is>
      </c>
      <c r="B34" s="129" t="inlineStr">
        <is>
          <t>GO link 2</t>
        </is>
      </c>
      <c r="C34" s="129" t="inlineStr">
        <is>
          <t>Portable Amp/DAC (Headfonics)</t>
        </is>
      </c>
      <c r="D34" s="129" t="inlineStr">
        <is>
          <t>Neutre à légèrement énergique</t>
        </is>
      </c>
      <c r="E34" s="129" t="inlineStr">
        <is>
          <t>Microdétail, propreté/contrôle, image 3d</t>
        </is>
      </c>
      <c r="F34" s="129" t="inlineStr">
        <is>
          <t>Peut durcir à fort volume et manque de réserve avec les casques exigeants</t>
        </is>
      </c>
      <c r="G34" s="130" t="n">
        <v>9.300000000000001</v>
      </c>
      <c r="H34" s="131" t="n">
        <v>9.1</v>
      </c>
      <c r="I34" s="131" t="n">
        <v>8.9</v>
      </c>
      <c r="J34" s="131" t="n">
        <v>9</v>
      </c>
      <c r="K34" s="131" t="n">
        <v>9</v>
      </c>
      <c r="L34" s="131" t="n">
        <v>9</v>
      </c>
      <c r="M34" s="131" t="n">
        <v>9</v>
      </c>
      <c r="N34" s="131" t="n">
        <v>7</v>
      </c>
      <c r="O34" s="131" t="n">
        <v>9.5</v>
      </c>
      <c r="P34" s="131" t="n">
        <v>9</v>
      </c>
      <c r="Q34" s="158">
        <f>IF(COUNT(G34:P34)=10,ROUND((G34*'Pondérations'!$B$5+H34*'Pondérations'!$B$6+I34*'Pondérations'!$B$7+J34*'Pondérations'!$B$8+K34*'Pondérations'!$B$9+L34*'Pondérations'!$B$10+M34*'Pondérations'!$B$11+N34*'Pondérations'!$B$12+O34*'Pondérations'!$B$13+P34*'Pondérations'!$B$14)/'Pondérations'!$B$16,3),"")</f>
        <v/>
      </c>
      <c r="R34" s="159">
        <f>IF(Q34="","",1+COUNTIF($Q$7:$Q$178,"&gt;"&amp;Q34)+COUNTIF($Q$7:Q34,Q34)-1)</f>
        <v/>
      </c>
      <c r="S34" s="132" t="n"/>
      <c r="T34" s="129" t="n"/>
      <c r="U34" s="129" t="n"/>
      <c r="V34" s="133" t="inlineStr">
        <is>
          <t>Élevée</t>
        </is>
      </c>
      <c r="W34" s="129" t="inlineStr">
        <is>
          <t>Headfonics import</t>
        </is>
      </c>
      <c r="X34" s="130" t="n">
        <v>8.1</v>
      </c>
      <c r="Y34" s="133" t="inlineStr">
        <is>
          <t>Award</t>
        </is>
      </c>
      <c r="Z34" s="134" t="n">
        <v>46197</v>
      </c>
      <c r="AA34" s="135" t="n">
        <v>1</v>
      </c>
      <c r="AB34" s="139" t="inlineStr">
        <is>
          <t>https://headfonics.com/?s=iFi+audio+GO+link+2</t>
        </is>
      </c>
      <c r="AC34" s="129" t="inlineStr">
        <is>
          <t>Dual ESS dongle DAC, up to 244 mW</t>
        </is>
      </c>
      <c r="AD34" s="133" t="inlineStr">
        <is>
          <t>Ajout Headfonics</t>
        </is>
      </c>
      <c r="AE34" s="135" t="n">
        <v>4</v>
      </c>
      <c r="AF34" s="136" t="n">
        <v>69</v>
      </c>
      <c r="AG34" s="132" t="inlineStr">
        <is>
          <t>Le GO link 2 est salué pour sa clarté, sa dynamique et son grave étonnamment solide au prix demandé. Il améliore nettement une sortie téléphone/PC sans complexité.</t>
        </is>
      </c>
      <c r="AH34" s="129" t="inlineStr">
        <is>
          <t>Neutre à légèrement énergique</t>
        </is>
      </c>
      <c r="AI34" s="129" t="inlineStr">
        <is>
          <t>Bonne clarté et timing, détail supérieur aux sorties intégrées; scène propre mais pas au niveau des dongles premium.</t>
        </is>
      </c>
      <c r="AJ34" s="129" t="inlineStr">
        <is>
          <t>Peut durcir à fort volume et manque de réserve avec les casques exigeants.</t>
        </is>
      </c>
      <c r="AK34" s="129" t="inlineStr">
        <is>
          <t>https://www.techradar.com/audio/dacs/ifi-go-link-2-review</t>
        </is>
      </c>
      <c r="AL34" s="135" t="n">
        <v>3</v>
      </c>
      <c r="AM34" s="133" t="inlineStr">
        <is>
          <t>Élevée — 3+ sources, domaines variés</t>
        </is>
      </c>
      <c r="AN34" s="129" t="inlineStr">
        <is>
          <t>https://www.whathifi.com/hi-fi/dacs/ifi-go-link-2</t>
        </is>
      </c>
      <c r="AO34" s="129" t="inlineStr">
        <is>
          <t>https://audio46.com/blogs/headphones/ifi-go-link-2-portable-dacamp-review-whats-new-in-v2</t>
        </is>
      </c>
      <c r="AP34" s="129" t="n"/>
      <c r="AQ34" s="133" t="inlineStr">
        <is>
          <t>Objectif atteint</t>
        </is>
      </c>
      <c r="AR34" s="129" t="inlineStr">
        <is>
          <t>Review éditoriale: 3</t>
        </is>
      </c>
    </row>
    <row r="35" ht="54" customHeight="1">
      <c r="A35" s="117" t="inlineStr">
        <is>
          <t>MUSE HiFi</t>
        </is>
      </c>
      <c r="B35" s="117" t="inlineStr">
        <is>
          <t>M3 Ultra</t>
        </is>
      </c>
      <c r="C35" s="117" t="inlineStr">
        <is>
          <t>Portable Amp/DAC (Headfonics)</t>
        </is>
      </c>
      <c r="D35" s="117" t="inlineStr">
        <is>
          <t>Engageant, grave épais, aigu aéré.</t>
        </is>
      </c>
      <c r="E35" s="117" t="inlineStr">
        <is>
          <t>Image 3d, profondeur, matière/timbres</t>
        </is>
      </c>
      <c r="F35" s="117" t="inlineStr">
        <is>
          <t>Peut montrer ses limites à fort volume avec des casques exigeants</t>
        </is>
      </c>
      <c r="G35" s="118" t="n">
        <v>9.1</v>
      </c>
      <c r="H35" s="119" t="n">
        <v>8.800000000000001</v>
      </c>
      <c r="I35" s="119" t="n">
        <v>8.9</v>
      </c>
      <c r="J35" s="119" t="n">
        <v>8.9</v>
      </c>
      <c r="K35" s="119" t="n">
        <v>8.800000000000001</v>
      </c>
      <c r="L35" s="119" t="n">
        <v>9.1</v>
      </c>
      <c r="M35" s="119" t="n">
        <v>8.9</v>
      </c>
      <c r="N35" s="119" t="n">
        <v>7.8</v>
      </c>
      <c r="O35" s="119" t="n">
        <v>8</v>
      </c>
      <c r="P35" s="119" t="n">
        <v>8.4</v>
      </c>
      <c r="Q35" s="158">
        <f>IF(COUNT(G35:P35)=10,ROUND((G35*'Pondérations'!$B$5+H35*'Pondérations'!$B$6+I35*'Pondérations'!$B$7+J35*'Pondérations'!$B$8+K35*'Pondérations'!$B$9+L35*'Pondérations'!$B$10+M35*'Pondérations'!$B$11+N35*'Pondérations'!$B$12+O35*'Pondérations'!$B$13+P35*'Pondérations'!$B$14)/'Pondérations'!$B$16,3),"")</f>
        <v/>
      </c>
      <c r="R35" s="159">
        <f>IF(Q35="","",1+COUNTIF($Q$7:$Q$178,"&gt;"&amp;Q35)+COUNTIF($Q$7:Q35,Q35)-1)</f>
        <v/>
      </c>
      <c r="S35" s="122" t="n"/>
      <c r="T35" s="117" t="n"/>
      <c r="U35" s="117" t="n"/>
      <c r="V35" s="123" t="inlineStr">
        <is>
          <t>Élevée</t>
        </is>
      </c>
      <c r="W35" s="117" t="inlineStr">
        <is>
          <t>Headfonics import</t>
        </is>
      </c>
      <c r="X35" s="118" t="n">
        <v>8.300000000000001</v>
      </c>
      <c r="Y35" s="123" t="inlineStr">
        <is>
          <t>Award</t>
        </is>
      </c>
      <c r="Z35" s="124" t="n">
        <v>46181</v>
      </c>
      <c r="AA35" s="125" t="n">
        <v>1</v>
      </c>
      <c r="AB35" s="126" t="inlineStr">
        <is>
          <t>https://headfonics.com/?s=MUSE+HiFi+M3+Ultra</t>
        </is>
      </c>
      <c r="AC35" s="117" t="inlineStr">
        <is>
          <t>ES9028Q2M + dual JAN6418 tube portable amp, 480 mW</t>
        </is>
      </c>
      <c r="AD35" s="123" t="inlineStr">
        <is>
          <t>Ajout Headfonics</t>
        </is>
      </c>
      <c r="AE35" s="125" t="n">
        <v>5</v>
      </c>
      <c r="AF35" s="127" t="n">
        <v>109</v>
      </c>
      <c r="AG35" s="122" t="inlineStr">
        <is>
          <t>Son très transparent et spectaculaire, avec grave ample et aigu étendu; l’effet de scène est un vrai point fort.</t>
        </is>
      </c>
      <c r="AH35" s="117" t="inlineStr">
        <is>
          <t>Engageant, grave épais, aigu aéré.</t>
        </is>
      </c>
      <c r="AI35" s="117" t="inlineStr">
        <is>
          <t>Très grande scène, décrite comme holographique.</t>
        </is>
      </c>
      <c r="AJ35" s="117" t="inlineStr">
        <is>
          <t>Peut montrer ses limites à fort volume avec des casques exigeants.</t>
        </is>
      </c>
      <c r="AK35" s="117" t="inlineStr">
        <is>
          <t>https://headfonics.com/muse-hifi-m3-ultra-review/</t>
        </is>
      </c>
      <c r="AL35" s="125" t="n">
        <v>4</v>
      </c>
      <c r="AM35" s="123" t="inlineStr">
        <is>
          <t>Élevée — 3+ sources, domaines variés</t>
        </is>
      </c>
      <c r="AN35" s="117" t="inlineStr">
        <is>
          <t>https://www.ecoustics.com/reviews/muse-hifi-m3-ultra/</t>
        </is>
      </c>
      <c r="AO35" s="128" t="inlineStr">
        <is>
          <t>https://primeaudio.org/muse-hifi-m3-ultra-review/</t>
        </is>
      </c>
      <c r="AP35" s="117" t="inlineStr">
        <is>
          <t>https://nextrift.com/202643639/</t>
        </is>
      </c>
      <c r="AQ35" s="123" t="inlineStr">
        <is>
          <t>Objectif atteint</t>
        </is>
      </c>
      <c r="AR35" s="117" t="inlineStr">
        <is>
          <t>Review éditoriale: 4</t>
        </is>
      </c>
    </row>
    <row r="36" ht="54" customHeight="1">
      <c r="A36" s="129" t="inlineStr">
        <is>
          <t>xDuoo</t>
        </is>
      </c>
      <c r="B36" s="129" t="inlineStr">
        <is>
          <t>Link3</t>
        </is>
      </c>
      <c r="C36" s="129" t="inlineStr">
        <is>
          <t>Portable Amp/DAC (Headfonics)</t>
        </is>
      </c>
      <c r="D36" s="129" t="inlineStr">
        <is>
          <t>Légèrement chaleureux/analogique.</t>
        </is>
      </c>
      <c r="E36" s="129" t="inlineStr">
        <is>
          <t>Matière/timbres, profondeur, image 3d</t>
        </is>
      </c>
      <c r="F36" s="129" t="inlineStr">
        <is>
          <t>Format assez gros et chauffe sensiblement</t>
        </is>
      </c>
      <c r="G36" s="130" t="n">
        <v>9</v>
      </c>
      <c r="H36" s="131" t="n">
        <v>8.9</v>
      </c>
      <c r="I36" s="131" t="n">
        <v>8.9</v>
      </c>
      <c r="J36" s="131" t="n">
        <v>8.800000000000001</v>
      </c>
      <c r="K36" s="131" t="n">
        <v>8.9</v>
      </c>
      <c r="L36" s="131" t="n">
        <v>9.300000000000001</v>
      </c>
      <c r="M36" s="131" t="n">
        <v>9</v>
      </c>
      <c r="N36" s="131" t="n">
        <v>9</v>
      </c>
      <c r="O36" s="131" t="n">
        <v>7</v>
      </c>
      <c r="P36" s="131" t="n">
        <v>8.5</v>
      </c>
      <c r="Q36" s="158">
        <f>IF(COUNT(G36:P36)=10,ROUND((G36*'Pondérations'!$B$5+H36*'Pondérations'!$B$6+I36*'Pondérations'!$B$7+J36*'Pondérations'!$B$8+K36*'Pondérations'!$B$9+L36*'Pondérations'!$B$10+M36*'Pondérations'!$B$11+N36*'Pondérations'!$B$12+O36*'Pondérations'!$B$13+P36*'Pondérations'!$B$14)/'Pondérations'!$B$16,3),"")</f>
        <v/>
      </c>
      <c r="R36" s="159">
        <f>IF(Q36="","",1+COUNTIF($Q$7:$Q$178,"&gt;"&amp;Q36)+COUNTIF($Q$7:Q36,Q36)-1)</f>
        <v/>
      </c>
      <c r="S36" s="132" t="n"/>
      <c r="T36" s="129" t="n"/>
      <c r="U36" s="129" t="n"/>
      <c r="V36" s="133" t="inlineStr">
        <is>
          <t>Élevée</t>
        </is>
      </c>
      <c r="W36" s="129" t="inlineStr">
        <is>
          <t>Headfonics import</t>
        </is>
      </c>
      <c r="X36" s="130" t="n">
        <v>8.6</v>
      </c>
      <c r="Y36" s="133" t="inlineStr">
        <is>
          <t>Award</t>
        </is>
      </c>
      <c r="Z36" s="134" t="n">
        <v>46178</v>
      </c>
      <c r="AA36" s="135" t="n">
        <v>1</v>
      </c>
      <c r="AB36" s="139" t="inlineStr">
        <is>
          <t>https://headfonics.com/?s=xDuoo+Link3</t>
        </is>
      </c>
      <c r="AC36" s="129" t="inlineStr">
        <is>
          <t>Dongle DAC with microSD slot</t>
        </is>
      </c>
      <c r="AD36" s="133" t="inlineStr">
        <is>
          <t>Ajout Headfonics</t>
        </is>
      </c>
      <c r="AE36" s="135" t="n">
        <v>6</v>
      </c>
      <c r="AF36" s="127" t="n">
        <v>239</v>
      </c>
      <c r="AG36" s="132" t="inlineStr">
        <is>
          <t>Présentation dynamique et propre, avec un côté analogique et musical plutôt qu’analytique.</t>
        </is>
      </c>
      <c r="AH36" s="129" t="inlineStr">
        <is>
          <t>Légèrement chaleureux/analogique.</t>
        </is>
      </c>
      <c r="AI36" s="129" t="inlineStr">
        <is>
          <t>Scène au-dessus de la moyenne, bonne dynamique et grave solide.</t>
        </is>
      </c>
      <c r="AJ36" s="129" t="inlineStr">
        <is>
          <t>Format assez gros et chauffe sensiblement.</t>
        </is>
      </c>
      <c r="AK36" s="129" t="inlineStr">
        <is>
          <t>https://headfonics.com/xduoo-link3-review/</t>
        </is>
      </c>
      <c r="AL36" s="135" t="n">
        <v>4</v>
      </c>
      <c r="AM36" s="133" t="inlineStr">
        <is>
          <t>Élevée — 3+ sources, domaines variés</t>
        </is>
      </c>
      <c r="AN36" s="129" t="inlineStr">
        <is>
          <t>https://primeaudio.org/xduoo-link3-review/</t>
        </is>
      </c>
      <c r="AO36" s="137" t="inlineStr">
        <is>
          <t>https://moonstarreviews.net/xduoo-link3-review/</t>
        </is>
      </c>
      <c r="AP36" s="129" t="inlineStr">
        <is>
          <t>https://www.hifidaydreaming.com/post/portable-class-a-amp-dac-with-unique-twist-xduoo-link-3-review</t>
        </is>
      </c>
      <c r="AQ36" s="133" t="inlineStr">
        <is>
          <t>Objectif atteint</t>
        </is>
      </c>
      <c r="AR36" s="129" t="inlineStr">
        <is>
          <t>Review éditoriale: 4</t>
        </is>
      </c>
    </row>
    <row r="37" ht="54" customHeight="1">
      <c r="A37" s="117" t="inlineStr">
        <is>
          <t>xDuoo</t>
        </is>
      </c>
      <c r="B37" s="117" t="inlineStr">
        <is>
          <t>XP-2 Bal</t>
        </is>
      </c>
      <c r="C37" s="117" t="inlineStr">
        <is>
          <t>Portable Amp/DAC (Headfonics)</t>
        </is>
      </c>
      <c r="D37" s="117" t="inlineStr">
        <is>
          <t>Neutre, analytique mais pas clinique.</t>
        </is>
      </c>
      <c r="E37" s="117" t="inlineStr">
        <is>
          <t>Microdétail, layering, propreté/contrôle</t>
        </is>
      </c>
      <c r="F37" s="117" t="inlineStr">
        <is>
          <t>Recharge lente</t>
        </is>
      </c>
      <c r="G37" s="118" t="n">
        <v>9.300000000000001</v>
      </c>
      <c r="H37" s="119" t="n">
        <v>9.199999999999999</v>
      </c>
      <c r="I37" s="119" t="n">
        <v>9</v>
      </c>
      <c r="J37" s="119" t="n">
        <v>8.9</v>
      </c>
      <c r="K37" s="119" t="n">
        <v>9.1</v>
      </c>
      <c r="L37" s="119" t="n">
        <v>8.699999999999999</v>
      </c>
      <c r="M37" s="119" t="n">
        <v>9.1</v>
      </c>
      <c r="N37" s="119" t="n">
        <v>8.699999999999999</v>
      </c>
      <c r="O37" s="119" t="n">
        <v>8</v>
      </c>
      <c r="P37" s="119" t="n">
        <v>8.800000000000001</v>
      </c>
      <c r="Q37" s="158">
        <f>IF(COUNT(G37:P37)=10,ROUND((G37*'Pondérations'!$B$5+H37*'Pondérations'!$B$6+I37*'Pondérations'!$B$7+J37*'Pondérations'!$B$8+K37*'Pondérations'!$B$9+L37*'Pondérations'!$B$10+M37*'Pondérations'!$B$11+N37*'Pondérations'!$B$12+O37*'Pondérations'!$B$13+P37*'Pondérations'!$B$14)/'Pondérations'!$B$16,3),"")</f>
        <v/>
      </c>
      <c r="R37" s="159">
        <f>IF(Q37="","",1+COUNTIF($Q$7:$Q$178,"&gt;"&amp;Q37)+COUNTIF($Q$7:Q37,Q37)-1)</f>
        <v/>
      </c>
      <c r="S37" s="122" t="n"/>
      <c r="T37" s="117" t="n"/>
      <c r="U37" s="117" t="n"/>
      <c r="V37" s="123" t="inlineStr">
        <is>
          <t>Élevée</t>
        </is>
      </c>
      <c r="W37" s="117" t="inlineStr">
        <is>
          <t>Headfonics import</t>
        </is>
      </c>
      <c r="X37" s="118" t="n">
        <v>8.4</v>
      </c>
      <c r="Y37" s="123" t="inlineStr">
        <is>
          <t>Award</t>
        </is>
      </c>
      <c r="Z37" s="124" t="n">
        <v>46157</v>
      </c>
      <c r="AA37" s="125" t="n">
        <v>1</v>
      </c>
      <c r="AB37" s="126" t="inlineStr">
        <is>
          <t>https://headfonics.com/?s=xDuoo+XP-2+Bal</t>
        </is>
      </c>
      <c r="AC37" s="117" t="inlineStr">
        <is>
          <t>Portable DAC/amp, balanced 320 mW, Bluetooth</t>
        </is>
      </c>
      <c r="AD37" s="123" t="inlineStr">
        <is>
          <t>Ajout Headfonics</t>
        </is>
      </c>
      <c r="AE37" s="125" t="n">
        <v>7</v>
      </c>
      <c r="AF37" s="138" t="n">
        <v>149</v>
      </c>
      <c r="AG37" s="122" t="inlineStr">
        <is>
          <t>Portable très détaillé et transparent, techniquement solide sans devenir froid.</t>
        </is>
      </c>
      <c r="AH37" s="117" t="inlineStr">
        <is>
          <t>Neutre, analytique mais pas clinique.</t>
        </is>
      </c>
      <c r="AI37" s="117" t="inlineStr">
        <is>
          <t>Bonne scène, grave tendu et lecture précise.</t>
        </is>
      </c>
      <c r="AJ37" s="117" t="inlineStr">
        <is>
          <t>Recharge lente; moins orienté couleur/matière.</t>
        </is>
      </c>
      <c r="AK37" s="117" t="inlineStr">
        <is>
          <t>https://headfonics.com/xduoo-xp-2-bal-review/</t>
        </is>
      </c>
      <c r="AL37" s="125" t="n">
        <v>4</v>
      </c>
      <c r="AM37" s="123" t="inlineStr">
        <is>
          <t>Élevée — 3+ sources, domaines variés</t>
        </is>
      </c>
      <c r="AN37" s="117" t="inlineStr">
        <is>
          <t>https://www.youtube.com/watch?v=V-sVneIc1DQ</t>
        </is>
      </c>
      <c r="AO37" s="128" t="inlineStr">
        <is>
          <t>https://www.head-fi.org/threads/xduoo-xp-2-bal-balanced-bluetooth-dac-amp-now-on-apos-audio.966945/</t>
        </is>
      </c>
      <c r="AP37" s="117" t="inlineStr">
        <is>
          <t>https://www.reddit.com/r/iems/comments/1gj8g45</t>
        </is>
      </c>
      <c r="AQ37" s="123" t="inlineStr">
        <is>
          <t>Objectif atteint</t>
        </is>
      </c>
      <c r="AR37" s="117" t="inlineStr">
        <is>
          <t>Communauté Reddit: 1; Head-Fi forum: 1; Review éditoriale: 1; Vidéo review: 1</t>
        </is>
      </c>
    </row>
    <row r="38" ht="54" customHeight="1">
      <c r="A38" s="129" t="inlineStr">
        <is>
          <t>iBasso</t>
        </is>
      </c>
      <c r="B38" s="129" t="inlineStr">
        <is>
          <t>PB6 MACAW</t>
        </is>
      </c>
      <c r="C38" s="129" t="inlineStr">
        <is>
          <t>Portable Amp/DAC (Headfonics)</t>
        </is>
      </c>
      <c r="D38" s="129" t="inlineStr">
        <is>
          <t>Tube doux, ample et riche.</t>
        </is>
      </c>
      <c r="E38" s="129" t="inlineStr">
        <is>
          <t>Matière/timbres, puissance, profondeur</t>
        </is>
      </c>
      <c r="F38" s="129" t="inlineStr">
        <is>
          <t>Encombrant</t>
        </is>
      </c>
      <c r="G38" s="130" t="n">
        <v>9</v>
      </c>
      <c r="H38" s="131" t="n">
        <v>8.699999999999999</v>
      </c>
      <c r="I38" s="131" t="n">
        <v>9</v>
      </c>
      <c r="J38" s="131" t="n">
        <v>8.9</v>
      </c>
      <c r="K38" s="131" t="n">
        <v>8.9</v>
      </c>
      <c r="L38" s="131" t="n">
        <v>9.5</v>
      </c>
      <c r="M38" s="131" t="n">
        <v>8.9</v>
      </c>
      <c r="N38" s="131" t="n">
        <v>9.300000000000001</v>
      </c>
      <c r="O38" s="131" t="n">
        <v>6.5</v>
      </c>
      <c r="P38" s="131" t="n">
        <v>8.5</v>
      </c>
      <c r="Q38" s="158">
        <f>IF(COUNT(G38:P38)=10,ROUND((G38*'Pondérations'!$B$5+H38*'Pondérations'!$B$6+I38*'Pondérations'!$B$7+J38*'Pondérations'!$B$8+K38*'Pondérations'!$B$9+L38*'Pondérations'!$B$10+M38*'Pondérations'!$B$11+N38*'Pondérations'!$B$12+O38*'Pondérations'!$B$13+P38*'Pondérations'!$B$14)/'Pondérations'!$B$16,3),"")</f>
        <v/>
      </c>
      <c r="R38" s="159">
        <f>IF(Q38="","",1+COUNTIF($Q$7:$Q$178,"&gt;"&amp;Q38)+COUNTIF($Q$7:Q38,Q38)-1)</f>
        <v/>
      </c>
      <c r="S38" s="132" t="n"/>
      <c r="T38" s="129" t="n"/>
      <c r="U38" s="129" t="n"/>
      <c r="V38" s="133" t="inlineStr">
        <is>
          <t>Élevée</t>
        </is>
      </c>
      <c r="W38" s="129" t="inlineStr">
        <is>
          <t>Headfonics import</t>
        </is>
      </c>
      <c r="X38" s="130" t="n">
        <v>9</v>
      </c>
      <c r="Y38" s="133" t="inlineStr">
        <is>
          <t>Award</t>
        </is>
      </c>
      <c r="Z38" s="134" t="n">
        <v>46081</v>
      </c>
      <c r="AA38" s="135" t="n">
        <v>1</v>
      </c>
      <c r="AB38" s="139" t="inlineStr">
        <is>
          <t>https://headfonics.com/?s=iBasso+PB6+MACAW</t>
        </is>
      </c>
      <c r="AC38" s="129" t="inlineStr">
        <is>
          <t>Quad JAN6418 tube portable headphone amplifier, up to 2.3 W</t>
        </is>
      </c>
      <c r="AD38" s="133" t="inlineStr">
        <is>
          <t>Ajout Headfonics</t>
        </is>
      </c>
      <c r="AE38" s="135" t="n">
        <v>9</v>
      </c>
      <c r="AF38" s="136" t="n">
        <v>438</v>
      </c>
      <c r="AG38" s="132" t="inlineStr">
        <is>
          <t>Ampli tube portable très puissant, fluide et expansif, tout en gardant un fond noir remarquable.</t>
        </is>
      </c>
      <c r="AH38" s="129" t="inlineStr">
        <is>
          <t>Tube doux, ample et riche.</t>
        </is>
      </c>
      <c r="AI38" s="129" t="inlineStr">
        <is>
          <t>Scène expansive et bon contrôle même avec des IEM sensibles.</t>
        </is>
      </c>
      <c r="AJ38" s="129" t="inlineStr">
        <is>
          <t>Encombrant; microphonie/tubes et protection physique à surveiller.</t>
        </is>
      </c>
      <c r="AK38" s="129" t="inlineStr">
        <is>
          <t>https://headfonics.com/ibasso-pb6-macaw-review/</t>
        </is>
      </c>
      <c r="AL38" s="135" t="n">
        <v>4</v>
      </c>
      <c r="AM38" s="133" t="inlineStr">
        <is>
          <t>Élevée — 3+ sources, domaines variés</t>
        </is>
      </c>
      <c r="AN38" s="129" t="inlineStr">
        <is>
          <t>https://www.audiophile-heaven.com/2026/04/ibasso-pb6-macaw-tube-amplifier-review-portable-glow-of-magic-power.html</t>
        </is>
      </c>
      <c r="AO38" s="137" t="inlineStr">
        <is>
          <t>https://bloomaudio.com/blogs/articles/macaw-some-ibasso-pb6-macaw-review</t>
        </is>
      </c>
      <c r="AP38" s="129" t="inlineStr">
        <is>
          <t>https://www.open-end-music.com/forum/audiophile-kopfh%C3%B6rer/kh-kopfh%C3%B6rer-testberichte-rezensionen/768928-test-ibasso-pb6</t>
        </is>
      </c>
      <c r="AQ38" s="133" t="inlineStr">
        <is>
          <t>Objectif atteint</t>
        </is>
      </c>
      <c r="AR38" s="129" t="inlineStr">
        <is>
          <t>Review éditoriale: 4</t>
        </is>
      </c>
    </row>
    <row r="39" ht="54" customHeight="1">
      <c r="A39" s="117" t="inlineStr">
        <is>
          <t>HiBy</t>
        </is>
      </c>
      <c r="B39" s="117" t="inlineStr">
        <is>
          <t>W4</t>
        </is>
      </c>
      <c r="C39" s="117" t="inlineStr">
        <is>
          <t>Portable Amp/DAC (Headfonics)</t>
        </is>
      </c>
      <c r="D39" s="117" t="inlineStr">
        <is>
          <t>Neutre avec légère euphonie et aigu aéré.</t>
        </is>
      </c>
      <c r="E39" s="117" t="inlineStr">
        <is>
          <t>Dynamique, layering, propreté/contrôle</t>
        </is>
      </c>
      <c r="F39" s="117" t="inlineStr">
        <is>
          <t>Commande de volume jugée particulière</t>
        </is>
      </c>
      <c r="G39" s="118" t="n">
        <v>9.1</v>
      </c>
      <c r="H39" s="119" t="n">
        <v>8.199999999999999</v>
      </c>
      <c r="I39" s="119" t="n">
        <v>8.800000000000001</v>
      </c>
      <c r="J39" s="119" t="n">
        <v>8.6</v>
      </c>
      <c r="K39" s="119" t="n">
        <v>8.9</v>
      </c>
      <c r="L39" s="119" t="n">
        <v>8.4</v>
      </c>
      <c r="M39" s="119" t="n">
        <v>8.4</v>
      </c>
      <c r="N39" s="119" t="n">
        <v>9.1</v>
      </c>
      <c r="O39" s="119" t="n">
        <v>8</v>
      </c>
      <c r="P39" s="119" t="n">
        <v>8.300000000000001</v>
      </c>
      <c r="Q39" s="158">
        <f>IF(COUNT(G39:P39)=10,ROUND((G39*'Pondérations'!$B$5+H39*'Pondérations'!$B$6+I39*'Pondérations'!$B$7+J39*'Pondérations'!$B$8+K39*'Pondérations'!$B$9+L39*'Pondérations'!$B$10+M39*'Pondérations'!$B$11+N39*'Pondérations'!$B$12+O39*'Pondérations'!$B$13+P39*'Pondérations'!$B$14)/'Pondérations'!$B$16,3),"")</f>
        <v/>
      </c>
      <c r="R39" s="159">
        <f>IF(Q39="","",1+COUNTIF($Q$7:$Q$178,"&gt;"&amp;Q39)+COUNTIF($Q$7:Q39,Q39)-1)</f>
        <v/>
      </c>
      <c r="S39" s="122" t="n"/>
      <c r="T39" s="117" t="n"/>
      <c r="U39" s="117" t="n"/>
      <c r="V39" s="123" t="inlineStr">
        <is>
          <t>Élevée</t>
        </is>
      </c>
      <c r="W39" s="117" t="inlineStr">
        <is>
          <t>Headfonics import</t>
        </is>
      </c>
      <c r="X39" s="118" t="n">
        <v>8.300000000000001</v>
      </c>
      <c r="Y39" s="123" t="inlineStr">
        <is>
          <t>Award</t>
        </is>
      </c>
      <c r="Z39" s="124" t="n">
        <v>46066</v>
      </c>
      <c r="AA39" s="125" t="n">
        <v>1</v>
      </c>
      <c r="AB39" s="126" t="inlineStr">
        <is>
          <t>https://headfonics.com/?s=HiBy+W4</t>
        </is>
      </c>
      <c r="AC39" s="117" t="inlineStr">
        <is>
          <t>Bluetooth 5.4 dual-DAC portable amp, up to 475 mW</t>
        </is>
      </c>
      <c r="AD39" s="123" t="inlineStr">
        <is>
          <t>Ajout Headfonics</t>
        </is>
      </c>
      <c r="AE39" s="125" t="n">
        <v>10</v>
      </c>
      <c r="AF39" s="138" t="n">
        <v>87</v>
      </c>
      <c r="AG39" s="122" t="inlineStr">
        <is>
          <t>Bluetooth DAC agréable et euphonic, davantage musical que technique.</t>
        </is>
      </c>
      <c r="AH39" s="117" t="inlineStr">
        <is>
          <t>Neutre avec légère euphonie et aigu aéré.</t>
        </is>
      </c>
      <c r="AI39" s="117" t="inlineStr">
        <is>
          <t>Scène spacieuse mais résolution moins analytique.</t>
        </is>
      </c>
      <c r="AJ39" s="117" t="inlineStr">
        <is>
          <t>Commande de volume jugée particulière.</t>
        </is>
      </c>
      <c r="AK39" s="117" t="inlineStr">
        <is>
          <t>https://headfonics.com/hiby-w4-review/</t>
        </is>
      </c>
      <c r="AL39" s="125" t="n">
        <v>4</v>
      </c>
      <c r="AM39" s="123" t="inlineStr">
        <is>
          <t>Élevée — 3+ sources, domaines variés</t>
        </is>
      </c>
      <c r="AN39" s="117" t="inlineStr">
        <is>
          <t>https://www.headfonia.com/hiby-w4-review/</t>
        </is>
      </c>
      <c r="AO39" s="128" t="inlineStr">
        <is>
          <t>https://www.audiophile-heaven.com/2026/06/hiby-w4-portable-hifi-bluetooth-headphone-amplifier-review-dual-core-dual-mode-uncharge-dac.html</t>
        </is>
      </c>
      <c r="AP39" s="117" t="inlineStr">
        <is>
          <t>https://mobileaudiophile.com/wireless/hiby-w4-review/</t>
        </is>
      </c>
      <c r="AQ39" s="123" t="inlineStr">
        <is>
          <t>Objectif atteint</t>
        </is>
      </c>
      <c r="AR39" s="117" t="inlineStr">
        <is>
          <t>Review éditoriale: 4</t>
        </is>
      </c>
    </row>
    <row r="40" ht="54" customHeight="1">
      <c r="A40" s="129" t="inlineStr">
        <is>
          <t>Questyle</t>
        </is>
      </c>
      <c r="B40" s="129" t="inlineStr">
        <is>
          <t>SIGMA Pro</t>
        </is>
      </c>
      <c r="C40" s="129" t="inlineStr">
        <is>
          <t>Portable Amp/DAC (Headfonics)</t>
        </is>
      </c>
      <c r="D40" s="129" t="inlineStr">
        <is>
          <t>Neutre/analytique.</t>
        </is>
      </c>
      <c r="E40" s="129" t="inlineStr">
        <is>
          <t>Propreté/contrôle, puissance, dynamique</t>
        </is>
      </c>
      <c r="F40" s="129" t="inlineStr">
        <is>
          <t>Peu d’options de réglage</t>
        </is>
      </c>
      <c r="G40" s="130" t="n">
        <v>9.6</v>
      </c>
      <c r="H40" s="131" t="n">
        <v>9</v>
      </c>
      <c r="I40" s="131" t="n">
        <v>8.4</v>
      </c>
      <c r="J40" s="131" t="n">
        <v>8.300000000000001</v>
      </c>
      <c r="K40" s="131" t="n">
        <v>8.9</v>
      </c>
      <c r="L40" s="131" t="n">
        <v>8.5</v>
      </c>
      <c r="M40" s="131" t="n">
        <v>9.1</v>
      </c>
      <c r="N40" s="131" t="n">
        <v>9.4</v>
      </c>
      <c r="O40" s="131" t="n">
        <v>8</v>
      </c>
      <c r="P40" s="131" t="n">
        <v>8</v>
      </c>
      <c r="Q40" s="158">
        <f>IF(COUNT(G40:P40)=10,ROUND((G40*'Pondérations'!$B$5+H40*'Pondérations'!$B$6+I40*'Pondérations'!$B$7+J40*'Pondérations'!$B$8+K40*'Pondérations'!$B$9+L40*'Pondérations'!$B$10+M40*'Pondérations'!$B$11+N40*'Pondérations'!$B$12+O40*'Pondérations'!$B$13+P40*'Pondérations'!$B$14)/'Pondérations'!$B$16,3),"")</f>
        <v/>
      </c>
      <c r="R40" s="159">
        <f>IF(Q40="","",1+COUNTIF($Q$7:$Q$178,"&gt;"&amp;Q40)+COUNTIF($Q$7:Q40,Q40)-1)</f>
        <v/>
      </c>
      <c r="S40" s="132" t="n"/>
      <c r="T40" s="129" t="n"/>
      <c r="U40" s="129" t="n"/>
      <c r="V40" s="133" t="inlineStr">
        <is>
          <t>Élevée</t>
        </is>
      </c>
      <c r="W40" s="129" t="inlineStr">
        <is>
          <t>Headfonics import</t>
        </is>
      </c>
      <c r="X40" s="130" t="n">
        <v>8.6</v>
      </c>
      <c r="Y40" s="133" t="inlineStr">
        <is>
          <t>Award</t>
        </is>
      </c>
      <c r="Z40" s="134" t="n">
        <v>46053</v>
      </c>
      <c r="AA40" s="135" t="n">
        <v>1</v>
      </c>
      <c r="AB40" s="139" t="inlineStr">
        <is>
          <t>https://headfonics.com/?s=Questyle+SIGMA+Pro</t>
        </is>
      </c>
      <c r="AC40" s="129" t="inlineStr">
        <is>
          <t>Bluetooth-capable Current Mode portable DAC/amp</t>
        </is>
      </c>
      <c r="AD40" s="133" t="inlineStr">
        <is>
          <t>Ajout Headfonics</t>
        </is>
      </c>
      <c r="AE40" s="135" t="n">
        <v>11</v>
      </c>
      <c r="AF40" s="136" t="n">
        <v>790</v>
      </c>
      <c r="AG40" s="132" t="inlineStr">
        <is>
          <t>Portable résolument studio : très propre, équilibré et détaillé, visant la fidélité plutôt que la coloration.</t>
        </is>
      </c>
      <c r="AH40" s="129" t="inlineStr">
        <is>
          <t>Neutre/analytique.</t>
        </is>
      </c>
      <c r="AI40" s="129" t="inlineStr">
        <is>
          <t>Bonne précision et lisibilité des plans.</t>
        </is>
      </c>
      <c r="AJ40" s="129" t="inlineStr">
        <is>
          <t>Peu d’options de réglage; construction vitrée fragile.</t>
        </is>
      </c>
      <c r="AK40" s="129" t="inlineStr">
        <is>
          <t>https://headfonics.com/questyle-sigma-pro-review/</t>
        </is>
      </c>
      <c r="AL40" s="135" t="n">
        <v>4</v>
      </c>
      <c r="AM40" s="133" t="inlineStr">
        <is>
          <t>Élevée — 3+ sources, domaines variés</t>
        </is>
      </c>
      <c r="AN40" s="129" t="inlineStr">
        <is>
          <t>https://kropka.audio/test/wzmacniacze/questyle-sigma-pro-recenzja/</t>
        </is>
      </c>
      <c r="AO40" s="137" t="inlineStr">
        <is>
          <t>https://www.dtmstation.com/archives/75475.html</t>
        </is>
      </c>
      <c r="AP40" s="129" t="inlineStr">
        <is>
          <t>https://www.fujiya-avic.co.jp/blog/detail/996</t>
        </is>
      </c>
      <c r="AQ40" s="133" t="inlineStr">
        <is>
          <t>Objectif atteint</t>
        </is>
      </c>
      <c r="AR40" s="129" t="inlineStr">
        <is>
          <t>Review éditoriale: 4</t>
        </is>
      </c>
    </row>
    <row r="41" ht="54" customHeight="1">
      <c r="A41" s="117" t="inlineStr">
        <is>
          <t>iBasso</t>
        </is>
      </c>
      <c r="B41" s="117" t="inlineStr">
        <is>
          <t>D17 Atheris</t>
        </is>
      </c>
      <c r="C41" s="117" t="inlineStr">
        <is>
          <t>Portable Amp/DAC (Headfonics)</t>
        </is>
      </c>
      <c r="D41" s="117" t="inlineStr">
        <is>
          <t>Doux, analogique, riche; grave profond et voix charnues.</t>
        </is>
      </c>
      <c r="E41" s="117" t="inlineStr">
        <is>
          <t>Matière/timbres, image 3d, layering</t>
        </is>
      </c>
      <c r="F41" s="117" t="inlineStr">
        <is>
          <t>Puissance variable selon le mode</t>
        </is>
      </c>
      <c r="G41" s="118" t="n">
        <v>9.1</v>
      </c>
      <c r="H41" s="119" t="n">
        <v>8.9</v>
      </c>
      <c r="I41" s="119" t="n">
        <v>8.9</v>
      </c>
      <c r="J41" s="119" t="n">
        <v>9</v>
      </c>
      <c r="K41" s="119" t="n">
        <v>9</v>
      </c>
      <c r="L41" s="119" t="n">
        <v>9.699999999999999</v>
      </c>
      <c r="M41" s="119" t="n">
        <v>8.9</v>
      </c>
      <c r="N41" s="119" t="n">
        <v>7.2</v>
      </c>
      <c r="O41" s="119" t="n">
        <v>8</v>
      </c>
      <c r="P41" s="119" t="n">
        <v>8.800000000000001</v>
      </c>
      <c r="Q41" s="158">
        <f>IF(COUNT(G41:P41)=10,ROUND((G41*'Pondérations'!$B$5+H41*'Pondérations'!$B$6+I41*'Pondérations'!$B$7+J41*'Pondérations'!$B$8+K41*'Pondérations'!$B$9+L41*'Pondérations'!$B$10+M41*'Pondérations'!$B$11+N41*'Pondérations'!$B$12+O41*'Pondérations'!$B$13+P41*'Pondérations'!$B$14)/'Pondérations'!$B$16,3),"")</f>
        <v/>
      </c>
      <c r="R41" s="159">
        <f>IF(Q41="","",1+COUNTIF($Q$7:$Q$178,"&gt;"&amp;Q41)+COUNTIF($Q$7:Q41,Q41)-1)</f>
        <v/>
      </c>
      <c r="S41" s="122" t="n"/>
      <c r="T41" s="117" t="n"/>
      <c r="U41" s="117" t="n"/>
      <c r="V41" s="123" t="inlineStr">
        <is>
          <t>Élevée</t>
        </is>
      </c>
      <c r="W41" s="117" t="inlineStr">
        <is>
          <t>Headfonics import</t>
        </is>
      </c>
      <c r="X41" s="118" t="n">
        <v>9</v>
      </c>
      <c r="Y41" s="123" t="inlineStr">
        <is>
          <t>Reader</t>
        </is>
      </c>
      <c r="Z41" s="124" t="n">
        <v>45992</v>
      </c>
      <c r="AA41" s="125" t="n">
        <v>1</v>
      </c>
      <c r="AB41" s="126" t="inlineStr">
        <is>
          <t>https://headfonics.com/?s=iBasso+D17+Atheris</t>
        </is>
      </c>
      <c r="AC41" s="117" t="inlineStr">
        <is>
          <t>Discrete R2R + 1-bit portable DAC/amp, up to 1.2 W</t>
        </is>
      </c>
      <c r="AD41" s="123" t="inlineStr">
        <is>
          <t>Ajout Headfonics</t>
        </is>
      </c>
      <c r="AE41" s="125" t="n">
        <v>13</v>
      </c>
      <c r="AF41" s="138" t="n">
        <v>1757</v>
      </c>
      <c r="AG41" s="122" t="inlineStr">
        <is>
          <t>Très haut de gamme et polyvalent, avec plusieurs signatures DAC et une forte coloration analogique en mode tube.</t>
        </is>
      </c>
      <c r="AH41" s="117" t="inlineStr">
        <is>
          <t>Doux, analogique, riche; grave profond et voix charnues.</t>
        </is>
      </c>
      <c r="AI41" s="117" t="inlineStr">
        <is>
          <t>Grande richesse de texture et de nuances grâce aux modes DAC multiples.</t>
        </is>
      </c>
      <c r="AJ41" s="117" t="inlineStr">
        <is>
          <t>Puissance variable selon le mode; pas idéal pour les casques les plus difficiles.</t>
        </is>
      </c>
      <c r="AK41" s="117" t="inlineStr">
        <is>
          <t>https://headfonics.com/ibasso-d17-atheris-review/</t>
        </is>
      </c>
      <c r="AL41" s="125" t="n">
        <v>4</v>
      </c>
      <c r="AM41" s="123" t="inlineStr">
        <is>
          <t>Élevée — 3+ sources, domaines variés</t>
        </is>
      </c>
      <c r="AN41" s="117" t="inlineStr">
        <is>
          <t>https://www.headfonia.com/ibasso-d17-atheris-review/</t>
        </is>
      </c>
      <c r="AO41" s="128" t="inlineStr">
        <is>
          <t>https://moonstarreviews.net/ibasso-d17-atheris-review/</t>
        </is>
      </c>
      <c r="AP41" s="117" t="inlineStr">
        <is>
          <t>https://www.audiophile-heaven.com/2025/12/ibasso-d17-atheris-r2r-1-bit-dac-and-tube-amp-review-complete-music-experience-systema-win.html</t>
        </is>
      </c>
      <c r="AQ41" s="123" t="inlineStr">
        <is>
          <t>Objectif atteint</t>
        </is>
      </c>
      <c r="AR41" s="117" t="inlineStr">
        <is>
          <t>Review éditoriale: 4</t>
        </is>
      </c>
    </row>
    <row r="42" ht="54" customHeight="1">
      <c r="A42" s="129" t="inlineStr">
        <is>
          <t>Cayin</t>
        </is>
      </c>
      <c r="B42" s="129" t="inlineStr">
        <is>
          <t>RU3</t>
        </is>
      </c>
      <c r="C42" s="129" t="inlineStr">
        <is>
          <t>Portable Amp/DAC (Headfonics)</t>
        </is>
      </c>
      <c r="D42" s="129" t="inlineStr">
        <is>
          <t>Neutre/propre.</t>
        </is>
      </c>
      <c r="E42" s="129" t="inlineStr">
        <is>
          <t>Matière/timbres, layering, microdétail</t>
        </is>
      </c>
      <c r="F42" s="129" t="inlineStr">
        <is>
          <t>Spatialisation encore limitée face aux modèles premium</t>
        </is>
      </c>
      <c r="G42" s="130" t="n">
        <v>9</v>
      </c>
      <c r="H42" s="131" t="n">
        <v>8.300000000000001</v>
      </c>
      <c r="I42" s="131" t="n">
        <v>8.1</v>
      </c>
      <c r="J42" s="131" t="n">
        <v>8.4</v>
      </c>
      <c r="K42" s="131" t="n">
        <v>9</v>
      </c>
      <c r="L42" s="131" t="n">
        <v>9.199999999999999</v>
      </c>
      <c r="M42" s="131" t="n">
        <v>8.9</v>
      </c>
      <c r="N42" s="131" t="n">
        <v>8.699999999999999</v>
      </c>
      <c r="O42" s="131" t="n">
        <v>9.5</v>
      </c>
      <c r="P42" s="131" t="n">
        <v>8</v>
      </c>
      <c r="Q42" s="158">
        <f>IF(COUNT(G42:P42)=10,ROUND((G42*'Pondérations'!$B$5+H42*'Pondérations'!$B$6+I42*'Pondérations'!$B$7+J42*'Pondérations'!$B$8+K42*'Pondérations'!$B$9+L42*'Pondérations'!$B$10+M42*'Pondérations'!$B$11+N42*'Pondérations'!$B$12+O42*'Pondérations'!$B$13+P42*'Pondérations'!$B$14)/'Pondérations'!$B$16,3),"")</f>
        <v/>
      </c>
      <c r="R42" s="159">
        <f>IF(Q42="","",1+COUNTIF($Q$7:$Q$178,"&gt;"&amp;Q42)+COUNTIF($Q$7:Q42,Q42)-1)</f>
        <v/>
      </c>
      <c r="S42" s="132" t="n"/>
      <c r="T42" s="129" t="n"/>
      <c r="U42" s="129" t="n"/>
      <c r="V42" s="133" t="inlineStr">
        <is>
          <t>Élevée</t>
        </is>
      </c>
      <c r="W42" s="129" t="inlineStr">
        <is>
          <t>Headfonics import</t>
        </is>
      </c>
      <c r="X42" s="130" t="n">
        <v>8.199999999999999</v>
      </c>
      <c r="Y42" s="133" t="inlineStr">
        <is>
          <t>Reader</t>
        </is>
      </c>
      <c r="Z42" s="134" t="n">
        <v>45990</v>
      </c>
      <c r="AA42" s="135" t="n">
        <v>1</v>
      </c>
      <c r="AB42" s="139" t="inlineStr">
        <is>
          <t>https://headfonics.com/?s=Cayin+RU3</t>
        </is>
      </c>
      <c r="AC42" s="129" t="inlineStr">
        <is>
          <t>ES9069Q dongle DAC, app integration, up to 560 mW</t>
        </is>
      </c>
      <c r="AD42" s="133" t="inlineStr">
        <is>
          <t>Ajout Headfonics</t>
        </is>
      </c>
      <c r="AE42" s="135" t="n">
        <v>14</v>
      </c>
      <c r="AF42" s="136" t="n">
        <v>87</v>
      </c>
      <c r="AG42" s="132" t="inlineStr">
        <is>
          <t>Dongle propre et puissant pour son prix, avec un bon niveau général de qualité et de contrôle.</t>
        </is>
      </c>
      <c r="AH42" s="129" t="inlineStr">
        <is>
          <t>Neutre/propre.</t>
        </is>
      </c>
      <c r="AI42" s="129" t="inlineStr">
        <is>
          <t>Scène au-dessus de la moyenne mais pas très grande.</t>
        </is>
      </c>
      <c r="AJ42" s="129" t="inlineStr">
        <is>
          <t>Spatialisation encore limitée face aux modèles premium.</t>
        </is>
      </c>
      <c r="AK42" s="129" t="inlineStr">
        <is>
          <t>https://headfonics.com/cayin-ru3-review/</t>
        </is>
      </c>
      <c r="AL42" s="135" t="n">
        <v>4</v>
      </c>
      <c r="AM42" s="133" t="inlineStr">
        <is>
          <t>Élevée — 3+ sources, domaines variés</t>
        </is>
      </c>
      <c r="AN42" s="129" t="inlineStr">
        <is>
          <t>https://porta-fi.com/cayin-ru3-review-usb-c-dongle-dac-amp-4-4mm-balanced-output/</t>
        </is>
      </c>
      <c r="AO42" s="137" t="inlineStr">
        <is>
          <t>https://www.audiophile-heaven.com/2026/01/cayin-ru3-hifi-dac-amp-review-quad-balanced-bloomy-song.html</t>
        </is>
      </c>
      <c r="AP42" s="129" t="inlineStr">
        <is>
          <t>https://theheadphonelist.com/cayin-ru3-review-one-of-the-best-dongle-dac-amp-under-100/</t>
        </is>
      </c>
      <c r="AQ42" s="133" t="inlineStr">
        <is>
          <t>Objectif atteint</t>
        </is>
      </c>
      <c r="AR42" s="129" t="inlineStr">
        <is>
          <t>Review éditoriale: 4</t>
        </is>
      </c>
    </row>
    <row r="43" ht="54" customHeight="1">
      <c r="A43" s="117" t="inlineStr">
        <is>
          <t>FiiO</t>
        </is>
      </c>
      <c r="B43" s="117" t="inlineStr">
        <is>
          <t>SNOWSKY Tiny</t>
        </is>
      </c>
      <c r="C43" s="117" t="inlineStr">
        <is>
          <t>Portable Amp/DAC (Headfonics)</t>
        </is>
      </c>
      <c r="D43" s="117" t="inlineStr">
        <is>
          <t>Clair, vocal-forward.</t>
        </is>
      </c>
      <c r="E43" s="117" t="inlineStr">
        <is>
          <t>Microdétail, image 3d, profondeur</t>
        </is>
      </c>
      <c r="F43" s="117" t="inlineStr">
        <is>
          <t>Petit buzz au branchement et chauffe à l’usage</t>
        </is>
      </c>
      <c r="G43" s="118" t="n">
        <v>8.800000000000001</v>
      </c>
      <c r="H43" s="119" t="n">
        <v>8.4</v>
      </c>
      <c r="I43" s="119" t="n">
        <v>8.9</v>
      </c>
      <c r="J43" s="119" t="n">
        <v>8.199999999999999</v>
      </c>
      <c r="K43" s="119" t="n">
        <v>8.9</v>
      </c>
      <c r="L43" s="119" t="n">
        <v>9.1</v>
      </c>
      <c r="M43" s="119" t="n">
        <v>9</v>
      </c>
      <c r="N43" s="119" t="n">
        <v>7.9</v>
      </c>
      <c r="O43" s="119" t="n">
        <v>9.4</v>
      </c>
      <c r="P43" s="119" t="n">
        <v>8.6</v>
      </c>
      <c r="Q43" s="158">
        <f>IF(COUNT(G43:P43)=10,ROUND((G43*'Pondérations'!$B$5+H43*'Pondérations'!$B$6+I43*'Pondérations'!$B$7+J43*'Pondérations'!$B$8+K43*'Pondérations'!$B$9+L43*'Pondérations'!$B$10+M43*'Pondérations'!$B$11+N43*'Pondérations'!$B$12+O43*'Pondérations'!$B$13+P43*'Pondérations'!$B$14)/'Pondérations'!$B$16,3),"")</f>
        <v/>
      </c>
      <c r="R43" s="159">
        <f>IF(Q43="","",1+COUNTIF($Q$7:$Q$178,"&gt;"&amp;Q43)+COUNTIF($Q$7:Q43,Q43)-1)</f>
        <v/>
      </c>
      <c r="S43" s="122" t="n"/>
      <c r="T43" s="117" t="n"/>
      <c r="U43" s="117" t="n"/>
      <c r="V43" s="123" t="inlineStr">
        <is>
          <t>Élevée</t>
        </is>
      </c>
      <c r="W43" s="117" t="inlineStr">
        <is>
          <t>Headfonics import</t>
        </is>
      </c>
      <c r="X43" s="118" t="n">
        <v>8.1</v>
      </c>
      <c r="Y43" s="123" t="inlineStr">
        <is>
          <t>Reader</t>
        </is>
      </c>
      <c r="Z43" s="124" t="n">
        <v>45989</v>
      </c>
      <c r="AA43" s="125" t="n">
        <v>1</v>
      </c>
      <c r="AB43" s="126" t="inlineStr">
        <is>
          <t>https://headfonics.com/?s=FiiO+SNOWSKY+Tiny</t>
        </is>
      </c>
      <c r="AC43" s="117" t="inlineStr">
        <is>
          <t>Affordable dongle DAC, PCM384/DSD256, 10-band PEQ</t>
        </is>
      </c>
      <c r="AD43" s="123" t="inlineStr">
        <is>
          <t>Ajout Headfonics</t>
        </is>
      </c>
      <c r="AE43" s="125" t="n">
        <v>15</v>
      </c>
      <c r="AF43" s="138" t="n">
        <v>19</v>
      </c>
      <c r="AG43" s="122" t="inlineStr">
        <is>
          <t>Mini-dongle riche en fonctions, au rendu énergique et vocalement présent.</t>
        </is>
      </c>
      <c r="AH43" s="117" t="inlineStr">
        <is>
          <t>Clair, vocal-forward.</t>
        </is>
      </c>
      <c r="AI43" s="117" t="inlineStr">
        <is>
          <t>Plus axé énergie et personnalisation PEQ que raffinement spatial.</t>
        </is>
      </c>
      <c r="AJ43" s="117" t="inlineStr">
        <is>
          <t>Petit buzz au branchement et chauffe à l’usage.</t>
        </is>
      </c>
      <c r="AK43" s="117" t="inlineStr">
        <is>
          <t>https://headfonics.com/fiio-snowsky-tiny-review/</t>
        </is>
      </c>
      <c r="AL43" s="125" t="n">
        <v>3</v>
      </c>
      <c r="AM43" s="123" t="inlineStr">
        <is>
          <t>Élevée — 3+ sources, domaines variés</t>
        </is>
      </c>
      <c r="AN43" s="117" t="inlineStr">
        <is>
          <t>https://www.hifioasis.com/reviews/fiio-snowsky-tiny-usb-dac-amp-review/</t>
        </is>
      </c>
      <c r="AO43" s="128" t="inlineStr">
        <is>
          <t>https://www.reddit.com/r/iems/comments/1p07onz/got_the_fiio_snowsky_tiny_version_a_with_the_usbc/</t>
        </is>
      </c>
      <c r="AP43" s="117" t="n"/>
      <c r="AQ43" s="123" t="inlineStr">
        <is>
          <t>Objectif atteint</t>
        </is>
      </c>
      <c r="AR43" s="117" t="inlineStr">
        <is>
          <t>Communauté Reddit: 1; Review éditoriale: 2</t>
        </is>
      </c>
    </row>
    <row r="44" ht="54" customHeight="1">
      <c r="A44" s="129" t="inlineStr">
        <is>
          <t>Khadas</t>
        </is>
      </c>
      <c r="B44" s="129" t="inlineStr">
        <is>
          <t>Tea Pro</t>
        </is>
      </c>
      <c r="C44" s="129" t="inlineStr">
        <is>
          <t>Portable Amp/DAC (Headfonics)</t>
        </is>
      </c>
      <c r="D44" s="129" t="inlineStr">
        <is>
          <t>Transparent et plutôt neutre.</t>
        </is>
      </c>
      <c r="E44" s="129" t="inlineStr">
        <is>
          <t>Image 3d, profondeur, matière/timbres</t>
        </is>
      </c>
      <c r="F44" s="129" t="inlineStr">
        <is>
          <t>Recharge lente</t>
        </is>
      </c>
      <c r="G44" s="130" t="n">
        <v>8.9</v>
      </c>
      <c r="H44" s="131" t="n">
        <v>8.6</v>
      </c>
      <c r="I44" s="131" t="n">
        <v>8.800000000000001</v>
      </c>
      <c r="J44" s="131" t="n">
        <v>8.800000000000001</v>
      </c>
      <c r="K44" s="131" t="n">
        <v>8.800000000000001</v>
      </c>
      <c r="L44" s="131" t="n">
        <v>9</v>
      </c>
      <c r="M44" s="131" t="n">
        <v>8.800000000000001</v>
      </c>
      <c r="N44" s="131" t="n">
        <v>8.300000000000001</v>
      </c>
      <c r="O44" s="131" t="n">
        <v>8</v>
      </c>
      <c r="P44" s="131" t="n">
        <v>8.300000000000001</v>
      </c>
      <c r="Q44" s="158">
        <f>IF(COUNT(G44:P44)=10,ROUND((G44*'Pondérations'!$B$5+H44*'Pondérations'!$B$6+I44*'Pondérations'!$B$7+J44*'Pondérations'!$B$8+K44*'Pondérations'!$B$9+L44*'Pondérations'!$B$10+M44*'Pondérations'!$B$11+N44*'Pondérations'!$B$12+O44*'Pondérations'!$B$13+P44*'Pondérations'!$B$14)/'Pondérations'!$B$16,3),"")</f>
        <v/>
      </c>
      <c r="R44" s="159">
        <f>IF(Q44="","",1+COUNTIF($Q$7:$Q$178,"&gt;"&amp;Q44)+COUNTIF($Q$7:Q44,Q44)-1)</f>
        <v/>
      </c>
      <c r="S44" s="132" t="n"/>
      <c r="T44" s="129" t="n"/>
      <c r="U44" s="129" t="n"/>
      <c r="V44" s="133" t="inlineStr">
        <is>
          <t>Élevée</t>
        </is>
      </c>
      <c r="W44" s="129" t="inlineStr">
        <is>
          <t>Headfonics import</t>
        </is>
      </c>
      <c r="X44" s="130" t="n">
        <v>8.1</v>
      </c>
      <c r="Y44" s="133" t="inlineStr">
        <is>
          <t>Reader</t>
        </is>
      </c>
      <c r="Z44" s="134" t="n">
        <v>45965</v>
      </c>
      <c r="AA44" s="135" t="n">
        <v>1</v>
      </c>
      <c r="AB44" s="139" t="inlineStr">
        <is>
          <t>https://headfonics.com/?s=Khadas+Tea+Pro</t>
        </is>
      </c>
      <c r="AC44" s="129" t="inlineStr">
        <is>
          <t>Wireless ES9039Q2M magnetic portable DAC/amp</t>
        </is>
      </c>
      <c r="AD44" s="133" t="inlineStr">
        <is>
          <t>Ajout Headfonics</t>
        </is>
      </c>
      <c r="AE44" s="135" t="n">
        <v>17</v>
      </c>
      <c r="AF44" s="136" t="n">
        <v>175</v>
      </c>
      <c r="AG44" s="132" t="inlineStr">
        <is>
          <t>Portable Bluetooth transparent et suffisamment robuste pour alimenter même un HD6XX dans de bonnes conditions.</t>
        </is>
      </c>
      <c r="AH44" s="129" t="inlineStr">
        <is>
          <t>Transparent et plutôt neutre.</t>
        </is>
      </c>
      <c r="AI44" s="129" t="inlineStr">
        <is>
          <t>Bonne clarté générale; EQ/filtres utiles.</t>
        </is>
      </c>
      <c r="AJ44" s="129" t="inlineStr">
        <is>
          <t>Recharge lente.</t>
        </is>
      </c>
      <c r="AK44" s="129" t="inlineStr">
        <is>
          <t>https://headfonics.com/khadas-tea-pro-review/</t>
        </is>
      </c>
      <c r="AL44" s="135" t="n">
        <v>4</v>
      </c>
      <c r="AM44" s="133" t="inlineStr">
        <is>
          <t>Élevée — 3+ sources, domaines variés</t>
        </is>
      </c>
      <c r="AN44" s="129" t="inlineStr">
        <is>
          <t>https://www.techradar.com/audio/dacs/khadas-tea-pro-review</t>
        </is>
      </c>
      <c r="AO44" s="137" t="inlineStr">
        <is>
          <t>https://mobileaudiophile.com/dacs/khadas-tea-pro-review-power-in-balance/</t>
        </is>
      </c>
      <c r="AP44" s="129" t="inlineStr">
        <is>
          <t>https://www.audiophile-heaven.com/2025/10/khadas-tea-pro-dac-amp-review-uniting-android-and-iphone-users-for-music.html</t>
        </is>
      </c>
      <c r="AQ44" s="133" t="inlineStr">
        <is>
          <t>Objectif atteint</t>
        </is>
      </c>
      <c r="AR44" s="129" t="inlineStr">
        <is>
          <t>Review éditoriale: 4</t>
        </is>
      </c>
    </row>
    <row r="45" ht="54" customHeight="1">
      <c r="A45" s="117" t="inlineStr">
        <is>
          <t>ddHiFi</t>
        </is>
      </c>
      <c r="B45" s="117" t="inlineStr">
        <is>
          <t>TC44Grip</t>
        </is>
      </c>
      <c r="C45" s="117" t="inlineStr">
        <is>
          <t>Portable Amp/DAC (Headfonics)</t>
        </is>
      </c>
      <c r="D45" s="117" t="inlineStr">
        <is>
          <t>Neutre-claire, brillante/analytique</t>
        </is>
      </c>
      <c r="E45" s="117" t="inlineStr">
        <is>
          <t>Microdétail, layering, propreté/contrôle</t>
        </is>
      </c>
      <c r="F45" s="117" t="inlineStr">
        <is>
          <t>Sous-grave et bas-médium maigres, impact limité</t>
        </is>
      </c>
      <c r="G45" s="118" t="n">
        <v>9.1</v>
      </c>
      <c r="H45" s="119" t="n">
        <v>9.199999999999999</v>
      </c>
      <c r="I45" s="119" t="n">
        <v>8.6</v>
      </c>
      <c r="J45" s="119" t="n">
        <v>8.6</v>
      </c>
      <c r="K45" s="119" t="n">
        <v>9</v>
      </c>
      <c r="L45" s="119" t="n">
        <v>8.4</v>
      </c>
      <c r="M45" s="119" t="n">
        <v>7.8</v>
      </c>
      <c r="N45" s="119" t="n">
        <v>8.6</v>
      </c>
      <c r="O45" s="119" t="n">
        <v>8</v>
      </c>
      <c r="P45" s="119" t="n">
        <v>8.199999999999999</v>
      </c>
      <c r="Q45" s="158">
        <f>IF(COUNT(G45:P45)=10,ROUND((G45*'Pondérations'!$B$5+H45*'Pondérations'!$B$6+I45*'Pondérations'!$B$7+J45*'Pondérations'!$B$8+K45*'Pondérations'!$B$9+L45*'Pondérations'!$B$10+M45*'Pondérations'!$B$11+N45*'Pondérations'!$B$12+O45*'Pondérations'!$B$13+P45*'Pondérations'!$B$14)/'Pondérations'!$B$16,3),"")</f>
        <v/>
      </c>
      <c r="R45" s="159">
        <f>IF(Q45="","",1+COUNTIF($Q$7:$Q$178,"&gt;"&amp;Q45)+COUNTIF($Q$7:Q45,Q45)-1)</f>
        <v/>
      </c>
      <c r="S45" s="122" t="n"/>
      <c r="T45" s="117" t="n"/>
      <c r="U45" s="117" t="n"/>
      <c r="V45" s="123" t="inlineStr">
        <is>
          <t>Élevée</t>
        </is>
      </c>
      <c r="W45" s="117" t="inlineStr">
        <is>
          <t>Headfonics import</t>
        </is>
      </c>
      <c r="X45" s="118" t="n">
        <v>7.7</v>
      </c>
      <c r="Y45" s="123" t="inlineStr">
        <is>
          <t>Reader</t>
        </is>
      </c>
      <c r="Z45" s="124" t="n">
        <v>45964</v>
      </c>
      <c r="AA45" s="125" t="n">
        <v>1</v>
      </c>
      <c r="AB45" s="126" t="inlineStr">
        <is>
          <t>https://headfonics.com/?s=ddHiFi+TC44Grip</t>
        </is>
      </c>
      <c r="AC45" s="117" t="inlineStr">
        <is>
          <t>Dual CS43198 smartphone-mounted dongle DAC, 330 mW</t>
        </is>
      </c>
      <c r="AD45" s="123" t="inlineStr">
        <is>
          <t>Ajout Headfonics</t>
        </is>
      </c>
      <c r="AE45" s="125" t="n">
        <v>18</v>
      </c>
      <c r="AF45" s="127" t="n">
        <v>159</v>
      </c>
      <c r="AG45" s="122" t="inlineStr">
        <is>
          <t>Le TC44Grip privilégie clarté des hauts-médiums, air et microdétails. Sa présentation est légère et articulate, mais volontairement peu chargée dans le grave.</t>
        </is>
      </c>
      <c r="AH45" s="117" t="inlineStr">
        <is>
          <t>Neutre-claire, brillante/analytique</t>
        </is>
      </c>
      <c r="AI45" s="117" t="inlineStr">
        <is>
          <t>Scène raisonnablement large, séparation précise et bon placement; forte sensation d'air, mais dynamique moins charnue.</t>
        </is>
      </c>
      <c r="AJ45" s="117" t="inlineStr">
        <is>
          <t>Sous-grave et bas-médium maigres, impact limité; peut fatiguer ou devenir sifflant sur des enregistrements brillants.</t>
        </is>
      </c>
      <c r="AK45" s="117" t="inlineStr">
        <is>
          <t>https://headfonics.com/ddhifi-tc44grip-review/</t>
        </is>
      </c>
      <c r="AL45" s="125" t="n">
        <v>3</v>
      </c>
      <c r="AM45" s="123" t="inlineStr">
        <is>
          <t>Élevée — 3+ sources, domaines variés</t>
        </is>
      </c>
      <c r="AN45" s="117" t="inlineStr">
        <is>
          <t>https://androidbrick.com/ddhifi-tc44grip-phone-dac-review/</t>
        </is>
      </c>
      <c r="AO45" s="128" t="inlineStr">
        <is>
          <t>https://www.ddhifi.com/en/review/21130/</t>
        </is>
      </c>
      <c r="AP45" s="117" t="inlineStr">
        <is>
          <t>https://bloomaudio.com/products/ddhifi-tc44grip</t>
        </is>
      </c>
      <c r="AQ45" s="123" t="inlineStr">
        <is>
          <t>Objectif atteint</t>
        </is>
      </c>
      <c r="AR45" s="117" t="inlineStr">
        <is>
          <t>Review éditoriale: 3</t>
        </is>
      </c>
    </row>
    <row r="46" ht="54" customHeight="1">
      <c r="A46" s="129" t="inlineStr">
        <is>
          <t>ddHiFi</t>
        </is>
      </c>
      <c r="B46" s="129" t="inlineStr">
        <is>
          <t>TC44 Pro E3</t>
        </is>
      </c>
      <c r="C46" s="129" t="inlineStr">
        <is>
          <t>Portable Amp/DAC (Headfonics)</t>
        </is>
      </c>
      <c r="D46" s="129" t="inlineStr">
        <is>
          <t>Plutôt énergique/clair.</t>
        </is>
      </c>
      <c r="E46" s="129" t="inlineStr">
        <is>
          <t>Microdétail, image 3d, propreté/contrôle</t>
        </is>
      </c>
      <c r="F46" s="129" t="inlineStr">
        <is>
          <t>Peut devenir sibilant ou fatigant avec des écouteurs déjà brillants</t>
        </is>
      </c>
      <c r="G46" s="130" t="n">
        <v>9.199999999999999</v>
      </c>
      <c r="H46" s="131" t="n">
        <v>9</v>
      </c>
      <c r="I46" s="131" t="n">
        <v>8.800000000000001</v>
      </c>
      <c r="J46" s="131" t="n">
        <v>8.199999999999999</v>
      </c>
      <c r="K46" s="131" t="n">
        <v>8.9</v>
      </c>
      <c r="L46" s="131" t="n">
        <v>8.4</v>
      </c>
      <c r="M46" s="131" t="n">
        <v>8.9</v>
      </c>
      <c r="N46" s="131" t="n">
        <v>8.699999999999999</v>
      </c>
      <c r="O46" s="131" t="n">
        <v>9.5</v>
      </c>
      <c r="P46" s="131" t="n">
        <v>8.699999999999999</v>
      </c>
      <c r="Q46" s="158">
        <f>IF(COUNT(G46:P46)=10,ROUND((G46*'Pondérations'!$B$5+H46*'Pondérations'!$B$6+I46*'Pondérations'!$B$7+J46*'Pondérations'!$B$8+K46*'Pondérations'!$B$9+L46*'Pondérations'!$B$10+M46*'Pondérations'!$B$11+N46*'Pondérations'!$B$12+O46*'Pondérations'!$B$13+P46*'Pondérations'!$B$14)/'Pondérations'!$B$16,3),"")</f>
        <v/>
      </c>
      <c r="R46" s="159">
        <f>IF(Q46="","",1+COUNTIF($Q$7:$Q$178,"&gt;"&amp;Q46)+COUNTIF($Q$7:Q46,Q46)-1)</f>
        <v/>
      </c>
      <c r="S46" s="132" t="n"/>
      <c r="T46" s="129" t="n"/>
      <c r="U46" s="129" t="n"/>
      <c r="V46" s="133" t="inlineStr">
        <is>
          <t>Élevée</t>
        </is>
      </c>
      <c r="W46" s="129" t="inlineStr">
        <is>
          <t>Headfonics import</t>
        </is>
      </c>
      <c r="X46" s="130" t="n">
        <v>7.9</v>
      </c>
      <c r="Y46" s="133" t="inlineStr">
        <is>
          <t>Reader</t>
        </is>
      </c>
      <c r="Z46" s="134" t="n">
        <v>45945</v>
      </c>
      <c r="AA46" s="135" t="n">
        <v>1</v>
      </c>
      <c r="AB46" s="139" t="inlineStr">
        <is>
          <t>https://headfonics.com/?s=ddHiFi+TC44+Pro+E3</t>
        </is>
      </c>
      <c r="AC46" s="129" t="inlineStr">
        <is>
          <t>Dual CS43198 dongle DAC, up to 510 mW</t>
        </is>
      </c>
      <c r="AD46" s="133" t="inlineStr">
        <is>
          <t>Ajout Headfonics</t>
        </is>
      </c>
      <c r="AE46" s="135" t="n">
        <v>20</v>
      </c>
      <c r="AF46" s="127" t="n">
        <v>104.9</v>
      </c>
      <c r="AG46" s="132" t="inlineStr">
        <is>
          <t>Dongle puissant avec bon sous-grave, mais dont l’équilibre dépend fortement de l’association.</t>
        </is>
      </c>
      <c r="AH46" s="129" t="inlineStr">
        <is>
          <t>Plutôt énergique/clair.</t>
        </is>
      </c>
      <c r="AI46" s="129" t="inlineStr">
        <is>
          <t>Bonne sensation de puissance; scène correcte.</t>
        </is>
      </c>
      <c r="AJ46" s="129" t="inlineStr">
        <is>
          <t>Peut devenir sibilant ou fatigant avec des écouteurs déjà brillants.</t>
        </is>
      </c>
      <c r="AK46" s="129" t="inlineStr">
        <is>
          <t>https://headfonics.com/ddhifi-tc44-pro-e3-review/</t>
        </is>
      </c>
      <c r="AL46" s="135" t="n">
        <v>3</v>
      </c>
      <c r="AM46" s="133" t="inlineStr">
        <is>
          <t>Élevée — 3+ sources, domaines variés</t>
        </is>
      </c>
      <c r="AN46" s="129" t="inlineStr">
        <is>
          <t>https://moonstarreviews.net/ddhifi-eye3-tc44pro-e3-review/</t>
        </is>
      </c>
      <c r="AO46" s="137" t="inlineStr">
        <is>
          <t>https://www.audioreviews.org/hifi-tc44pro-e3-review/</t>
        </is>
      </c>
      <c r="AP46" s="129" t="n"/>
      <c r="AQ46" s="133" t="inlineStr">
        <is>
          <t>Objectif atteint</t>
        </is>
      </c>
      <c r="AR46" s="129" t="inlineStr">
        <is>
          <t>Review éditoriale: 3</t>
        </is>
      </c>
    </row>
    <row r="47" ht="54" customHeight="1">
      <c r="A47" s="117" t="inlineStr">
        <is>
          <t>xDuoo</t>
        </is>
      </c>
      <c r="B47" s="117" t="inlineStr">
        <is>
          <t>Link10</t>
        </is>
      </c>
      <c r="C47" s="117" t="inlineStr">
        <is>
          <t>Portable Amp/DAC (Headfonics)</t>
        </is>
      </c>
      <c r="D47" s="117" t="inlineStr">
        <is>
          <t>Chaud, relax, grave et bas-médium présents.</t>
        </is>
      </c>
      <c r="E47" s="117" t="inlineStr">
        <is>
          <t>Dynamique, matière/timbres, layering</t>
        </is>
      </c>
      <c r="F47" s="117" t="inlineStr">
        <is>
          <t>Aigu en retrait, pas idéal si l’on cherche beaucoup d’air et d’analyse</t>
        </is>
      </c>
      <c r="G47" s="118" t="n">
        <v>9.1</v>
      </c>
      <c r="H47" s="119" t="n">
        <v>7.5</v>
      </c>
      <c r="I47" s="119" t="n">
        <v>8.6</v>
      </c>
      <c r="J47" s="119" t="n">
        <v>8.5</v>
      </c>
      <c r="K47" s="119" t="n">
        <v>8.9</v>
      </c>
      <c r="L47" s="119" t="n">
        <v>9.1</v>
      </c>
      <c r="M47" s="119" t="n">
        <v>9.1</v>
      </c>
      <c r="N47" s="119" t="n">
        <v>9.1</v>
      </c>
      <c r="O47" s="119" t="n">
        <v>9.5</v>
      </c>
      <c r="P47" s="119" t="n">
        <v>8.199999999999999</v>
      </c>
      <c r="Q47" s="158">
        <f>IF(COUNT(G47:P47)=10,ROUND((G47*'Pondérations'!$B$5+H47*'Pondérations'!$B$6+I47*'Pondérations'!$B$7+J47*'Pondérations'!$B$8+K47*'Pondérations'!$B$9+L47*'Pondérations'!$B$10+M47*'Pondérations'!$B$11+N47*'Pondérations'!$B$12+O47*'Pondérations'!$B$13+P47*'Pondérations'!$B$14)/'Pondérations'!$B$16,3),"")</f>
        <v/>
      </c>
      <c r="R47" s="159">
        <f>IF(Q47="","",1+COUNTIF($Q$7:$Q$178,"&gt;"&amp;Q47)+COUNTIF($Q$7:Q47,Q47)-1)</f>
        <v/>
      </c>
      <c r="S47" s="122" t="n"/>
      <c r="T47" s="117" t="n"/>
      <c r="U47" s="117" t="n"/>
      <c r="V47" s="123" t="inlineStr">
        <is>
          <t>Élevée</t>
        </is>
      </c>
      <c r="W47" s="117" t="inlineStr">
        <is>
          <t>Headfonics import</t>
        </is>
      </c>
      <c r="X47" s="118" t="n">
        <v>7.7</v>
      </c>
      <c r="Y47" s="123" t="inlineStr">
        <is>
          <t>Reader</t>
        </is>
      </c>
      <c r="Z47" s="124" t="n">
        <v>45931</v>
      </c>
      <c r="AA47" s="125" t="n">
        <v>2</v>
      </c>
      <c r="AB47" s="126" t="inlineStr">
        <is>
          <t>https://headfonics.com/?s=xDuoo+Link10</t>
        </is>
      </c>
      <c r="AC47" s="117" t="inlineStr">
        <is>
          <t>Dual CS43131 USB DAC/amp, up to 300 mW</t>
        </is>
      </c>
      <c r="AD47" s="123" t="inlineStr">
        <is>
          <t>Ajout Headfonics</t>
        </is>
      </c>
      <c r="AE47" s="125" t="n">
        <v>21</v>
      </c>
      <c r="AF47" s="127" t="n">
        <v>109</v>
      </c>
      <c r="AG47" s="122" t="inlineStr">
        <is>
          <t>Signature analogique et détendue qui se distingue des dongles CS43131 plus conventionnels.</t>
        </is>
      </c>
      <c r="AH47" s="117" t="inlineStr">
        <is>
          <t>Chaud, relax, grave et bas-médium présents.</t>
        </is>
      </c>
      <c r="AI47" s="117" t="inlineStr">
        <is>
          <t>Plus musical que démonstratif; filtres/NOS influents.</t>
        </is>
      </c>
      <c r="AJ47" s="117" t="inlineStr">
        <is>
          <t>Aigu en retrait, pas idéal si l’on cherche beaucoup d’air et d’analyse.</t>
        </is>
      </c>
      <c r="AK47" s="117" t="inlineStr">
        <is>
          <t>https://headfonics.com/xduoo-link10-review/</t>
        </is>
      </c>
      <c r="AL47" s="125" t="n">
        <v>3</v>
      </c>
      <c r="AM47" s="123" t="inlineStr">
        <is>
          <t>Élevée — 3+ sources, domaines variés</t>
        </is>
      </c>
      <c r="AN47" s="117" t="inlineStr">
        <is>
          <t>https://bbs.erji.net/forum.php?mod=viewthread&amp;tid=2404200</t>
        </is>
      </c>
      <c r="AO47" s="128" t="inlineStr">
        <is>
          <t>https://inf.news/en/digital/f4754a56ebfbac0251b1eb9b168579f7.html</t>
        </is>
      </c>
      <c r="AP47" s="117" t="n"/>
      <c r="AQ47" s="123" t="inlineStr">
        <is>
          <t>Objectif atteint</t>
        </is>
      </c>
      <c r="AR47" s="117" t="inlineStr">
        <is>
          <t>Review éditoriale: 3</t>
        </is>
      </c>
    </row>
    <row r="48" ht="54" customHeight="1">
      <c r="A48" s="129" t="inlineStr">
        <is>
          <t>FiiO</t>
        </is>
      </c>
      <c r="B48" s="129" t="inlineStr">
        <is>
          <t>JIEZI</t>
        </is>
      </c>
      <c r="C48" s="129" t="inlineStr">
        <is>
          <t>Portable Amp/DAC (Headfonics)</t>
        </is>
      </c>
      <c r="D48" s="129" t="inlineStr">
        <is>
          <t>V-shape énergique.</t>
        </is>
      </c>
      <c r="E48" s="129" t="inlineStr">
        <is>
          <t>Dynamique, propreté/contrôle, layering</t>
        </is>
      </c>
      <c r="F48" s="129" t="inlineStr">
        <is>
          <t>Pas très résolvant</t>
        </is>
      </c>
      <c r="G48" s="130" t="n">
        <v>8.199999999999999</v>
      </c>
      <c r="H48" s="131" t="n">
        <v>7.9</v>
      </c>
      <c r="I48" s="131" t="n">
        <v>8.6</v>
      </c>
      <c r="J48" s="131" t="n">
        <v>8.5</v>
      </c>
      <c r="K48" s="131" t="n">
        <v>8.9</v>
      </c>
      <c r="L48" s="131" t="n">
        <v>8.4</v>
      </c>
      <c r="M48" s="131" t="n">
        <v>9.199999999999999</v>
      </c>
      <c r="N48" s="131" t="n">
        <v>8.699999999999999</v>
      </c>
      <c r="O48" s="131" t="n">
        <v>9.5</v>
      </c>
      <c r="P48" s="131" t="n">
        <v>7.9</v>
      </c>
      <c r="Q48" s="158">
        <f>IF(COUNT(G48:P48)=10,ROUND((G48*'Pondérations'!$B$5+H48*'Pondérations'!$B$6+I48*'Pondérations'!$B$7+J48*'Pondérations'!$B$8+K48*'Pondérations'!$B$9+L48*'Pondérations'!$B$10+M48*'Pondérations'!$B$11+N48*'Pondérations'!$B$12+O48*'Pondérations'!$B$13+P48*'Pondérations'!$B$14)/'Pondérations'!$B$16,3),"")</f>
        <v/>
      </c>
      <c r="R48" s="159">
        <f>IF(Q48="","",1+COUNTIF($Q$7:$Q$178,"&gt;"&amp;Q48)+COUNTIF($Q$7:Q48,Q48)-1)</f>
        <v/>
      </c>
      <c r="S48" s="132" t="n"/>
      <c r="T48" s="129" t="n"/>
      <c r="U48" s="129" t="n"/>
      <c r="V48" s="133" t="inlineStr">
        <is>
          <t>Élevée</t>
        </is>
      </c>
      <c r="W48" s="129" t="inlineStr">
        <is>
          <t>Headfonics import</t>
        </is>
      </c>
      <c r="X48" s="130" t="n">
        <v>7.4</v>
      </c>
      <c r="Y48" s="133" t="inlineStr">
        <is>
          <t>Reader</t>
        </is>
      </c>
      <c r="Z48" s="134" t="n">
        <v>45927</v>
      </c>
      <c r="AA48" s="135" t="n">
        <v>2</v>
      </c>
      <c r="AB48" s="139" t="inlineStr">
        <is>
          <t>https://headfonics.com/?s=FiiO+JIEZI</t>
        </is>
      </c>
      <c r="AC48" s="129" t="inlineStr">
        <is>
          <t>Affordable 4.4 mm dongle DAC with 10-band PEQ</t>
        </is>
      </c>
      <c r="AD48" s="133" t="inlineStr">
        <is>
          <t>Ajout Headfonics</t>
        </is>
      </c>
      <c r="AE48" s="135" t="n">
        <v>22</v>
      </c>
      <c r="AF48" s="136" t="n">
        <v>11</v>
      </c>
      <c r="AG48" s="132" t="inlineStr">
        <is>
          <t>Petit dongle très énergique avec PEQ, pensé davantage pour le fun que pour la haute résolution.</t>
        </is>
      </c>
      <c r="AH48" s="129" t="inlineStr">
        <is>
          <t>V-shape énergique.</t>
        </is>
      </c>
      <c r="AI48" s="129" t="inlineStr">
        <is>
          <t>Bonne vivacité, mais détail/résolution modestes.</t>
        </is>
      </c>
      <c r="AJ48" s="129" t="inlineStr">
        <is>
          <t>Pas très résolvant.</t>
        </is>
      </c>
      <c r="AK48" s="129" t="inlineStr">
        <is>
          <t>https://headfonics.com/fiio-jiezi-review/</t>
        </is>
      </c>
      <c r="AL48" s="135" t="n">
        <v>4</v>
      </c>
      <c r="AM48" s="133" t="inlineStr">
        <is>
          <t>Élevée — 3+ sources, domaines variés</t>
        </is>
      </c>
      <c r="AN48" s="129" t="inlineStr">
        <is>
          <t>https://www.headfonia.com/fiio-jiezi-review/</t>
        </is>
      </c>
      <c r="AO48" s="137" t="inlineStr">
        <is>
          <t>https://portativ.ua/blog/ogljad-cap-pidsiljuvacha-fiio-jiezi-vse-scho-potribno.html</t>
        </is>
      </c>
      <c r="AP48" s="129" t="inlineStr">
        <is>
          <t>https://www.ixbt.com/live/digs/fiio-jade-audio-jiezi-obzor-mobilnogo-capa-usilitelya-dlya-naushnikov-nachalnogo-urovnya.html</t>
        </is>
      </c>
      <c r="AQ48" s="133" t="inlineStr">
        <is>
          <t>Objectif atteint</t>
        </is>
      </c>
      <c r="AR48" s="129" t="inlineStr">
        <is>
          <t>Review éditoriale: 4</t>
        </is>
      </c>
    </row>
    <row r="49" ht="54" customHeight="1">
      <c r="A49" s="117" t="inlineStr">
        <is>
          <t>FiiO</t>
        </is>
      </c>
      <c r="B49" s="117" t="inlineStr">
        <is>
          <t>SNOWSKY Melody</t>
        </is>
      </c>
      <c r="C49" s="117" t="inlineStr">
        <is>
          <t>Portable Amp/DAC (Headfonics)</t>
        </is>
      </c>
      <c r="D49" s="117" t="inlineStr">
        <is>
          <t>V-shape énergique.</t>
        </is>
      </c>
      <c r="E49" s="117" t="inlineStr">
        <is>
          <t>Propreté/contrôle, dynamique, layering</t>
        </is>
      </c>
      <c r="F49" s="117" t="inlineStr">
        <is>
          <t>Manque de finesse et de détail face aux modèles plus ambitieux</t>
        </is>
      </c>
      <c r="G49" s="118" t="n">
        <v>8.4</v>
      </c>
      <c r="H49" s="119" t="n">
        <v>8</v>
      </c>
      <c r="I49" s="119" t="n">
        <v>8.699999999999999</v>
      </c>
      <c r="J49" s="119" t="n">
        <v>8.6</v>
      </c>
      <c r="K49" s="119" t="n">
        <v>8.9</v>
      </c>
      <c r="L49" s="119" t="n">
        <v>8.5</v>
      </c>
      <c r="M49" s="119" t="n">
        <v>9</v>
      </c>
      <c r="N49" s="119" t="n">
        <v>9.1</v>
      </c>
      <c r="O49" s="119" t="n">
        <v>9.5</v>
      </c>
      <c r="P49" s="119" t="n">
        <v>8</v>
      </c>
      <c r="Q49" s="158">
        <f>IF(COUNT(G49:P49)=10,ROUND((G49*'Pondérations'!$B$5+H49*'Pondérations'!$B$6+I49*'Pondérations'!$B$7+J49*'Pondérations'!$B$8+K49*'Pondérations'!$B$9+L49*'Pondérations'!$B$10+M49*'Pondérations'!$B$11+N49*'Pondérations'!$B$12+O49*'Pondérations'!$B$13+P49*'Pondérations'!$B$14)/'Pondérations'!$B$16,3),"")</f>
        <v/>
      </c>
      <c r="R49" s="159">
        <f>IF(Q49="","",1+COUNTIF($Q$7:$Q$178,"&gt;"&amp;Q49)+COUNTIF($Q$7:Q49,Q49)-1)</f>
        <v/>
      </c>
      <c r="S49" s="122" t="n"/>
      <c r="T49" s="117" t="n"/>
      <c r="U49" s="117" t="n"/>
      <c r="V49" s="123" t="inlineStr">
        <is>
          <t>Élevée</t>
        </is>
      </c>
      <c r="W49" s="117" t="inlineStr">
        <is>
          <t>Headfonics import</t>
        </is>
      </c>
      <c r="X49" s="118" t="n">
        <v>7.7</v>
      </c>
      <c r="Y49" s="123" t="inlineStr">
        <is>
          <t>Reader</t>
        </is>
      </c>
      <c r="Z49" s="124" t="n">
        <v>45913</v>
      </c>
      <c r="AA49" s="125" t="n">
        <v>2</v>
      </c>
      <c r="AB49" s="126" t="inlineStr">
        <is>
          <t>https://headfonics.com/?s=FiiO+SNOWSKY+Melody</t>
        </is>
      </c>
      <c r="AC49" s="117" t="inlineStr">
        <is>
          <t>Dual CS43131 wood-design dongle DAC, 250 mW</t>
        </is>
      </c>
      <c r="AD49" s="123" t="inlineStr">
        <is>
          <t>Ajout Headfonics</t>
        </is>
      </c>
      <c r="AE49" s="125" t="n">
        <v>23</v>
      </c>
      <c r="AF49" s="138" t="n">
        <v>35</v>
      </c>
      <c r="AG49" s="122" t="inlineStr">
        <is>
          <t>Dongle fun et personnalisable, agréable pour qui aime l’EQ et une restitution non technique.</t>
        </is>
      </c>
      <c r="AH49" s="117" t="inlineStr">
        <is>
          <t>V-shape énergique.</t>
        </is>
      </c>
      <c r="AI49" s="117" t="inlineStr">
        <is>
          <t>Scène correcte, résolution limitée.</t>
        </is>
      </c>
      <c r="AJ49" s="117" t="inlineStr">
        <is>
          <t>Manque de finesse et de détail face aux modèles plus ambitieux.</t>
        </is>
      </c>
      <c r="AK49" s="117" t="inlineStr">
        <is>
          <t>https://headfonics.com/fiio-snowsky-melody-review/</t>
        </is>
      </c>
      <c r="AL49" s="125" t="n">
        <v>4</v>
      </c>
      <c r="AM49" s="123" t="inlineStr">
        <is>
          <t>Élevée — 3+ sources, domaines variés</t>
        </is>
      </c>
      <c r="AN49" s="117" t="inlineStr">
        <is>
          <t>https://primeaudio.org/fiio-snowsky-melody-review/</t>
        </is>
      </c>
      <c r="AO49" s="128" t="inlineStr">
        <is>
          <t>https://www.headfonia.com/fiio-snowksy-melody-review/</t>
        </is>
      </c>
      <c r="AP49" s="117" t="inlineStr">
        <is>
          <t>https://moonstarreviews.net/fiio-snowsky-melody-review/</t>
        </is>
      </c>
      <c r="AQ49" s="123" t="inlineStr">
        <is>
          <t>Objectif atteint</t>
        </is>
      </c>
      <c r="AR49" s="117" t="inlineStr">
        <is>
          <t>Review éditoriale: 4</t>
        </is>
      </c>
    </row>
    <row r="50" ht="54" customHeight="1">
      <c r="A50" s="129" t="inlineStr">
        <is>
          <t>xDuoo</t>
        </is>
      </c>
      <c r="B50" s="129" t="inlineStr">
        <is>
          <t>XD05 Basic2</t>
        </is>
      </c>
      <c r="C50" s="129" t="inlineStr">
        <is>
          <t>Portable Amp/DAC (Headfonics)</t>
        </is>
      </c>
      <c r="D50" s="129" t="inlineStr">
        <is>
          <t>Analogique/chaud selon op-amp.</t>
        </is>
      </c>
      <c r="E50" s="129" t="inlineStr">
        <is>
          <t>Matière/timbres, profondeur, image 3d</t>
        </is>
      </c>
      <c r="F50" s="129" t="inlineStr">
        <is>
          <t>Résolution perçue moyenne</t>
        </is>
      </c>
      <c r="G50" s="130" t="n">
        <v>8.800000000000001</v>
      </c>
      <c r="H50" s="131" t="n">
        <v>8.300000000000001</v>
      </c>
      <c r="I50" s="131" t="n">
        <v>9</v>
      </c>
      <c r="J50" s="131" t="n">
        <v>8.9</v>
      </c>
      <c r="K50" s="131" t="n">
        <v>8.9</v>
      </c>
      <c r="L50" s="131" t="n">
        <v>9.4</v>
      </c>
      <c r="M50" s="131" t="n">
        <v>9</v>
      </c>
      <c r="N50" s="131" t="n">
        <v>9.1</v>
      </c>
      <c r="O50" s="131" t="n">
        <v>8</v>
      </c>
      <c r="P50" s="131" t="n">
        <v>8.4</v>
      </c>
      <c r="Q50" s="158">
        <f>IF(COUNT(G50:P50)=10,ROUND((G50*'Pondérations'!$B$5+H50*'Pondérations'!$B$6+I50*'Pondérations'!$B$7+J50*'Pondérations'!$B$8+K50*'Pondérations'!$B$9+L50*'Pondérations'!$B$10+M50*'Pondérations'!$B$11+N50*'Pondérations'!$B$12+O50*'Pondérations'!$B$13+P50*'Pondérations'!$B$14)/'Pondérations'!$B$16,3),"")</f>
        <v/>
      </c>
      <c r="R50" s="159">
        <f>IF(Q50="","",1+COUNTIF($Q$7:$Q$178,"&gt;"&amp;Q50)+COUNTIF($Q$7:Q50,Q50)-1)</f>
        <v/>
      </c>
      <c r="S50" s="132" t="n"/>
      <c r="T50" s="129" t="n"/>
      <c r="U50" s="129" t="n"/>
      <c r="V50" s="133" t="inlineStr">
        <is>
          <t>Élevée</t>
        </is>
      </c>
      <c r="W50" s="129" t="inlineStr">
        <is>
          <t>Headfonics import</t>
        </is>
      </c>
      <c r="X50" s="130" t="n">
        <v>8.300000000000001</v>
      </c>
      <c r="Y50" s="133" t="inlineStr">
        <is>
          <t>Reader</t>
        </is>
      </c>
      <c r="Z50" s="134" t="n">
        <v>45889</v>
      </c>
      <c r="AA50" s="135" t="n">
        <v>2</v>
      </c>
      <c r="AB50" s="139" t="inlineStr">
        <is>
          <t>https://headfonics.com/?s=xDuoo+XD05+Basic2</t>
        </is>
      </c>
      <c r="AC50" s="129" t="inlineStr">
        <is>
          <t>CS43131 portable DAC/amp, 750 mW, swappable op-amps, wireless</t>
        </is>
      </c>
      <c r="AD50" s="133" t="inlineStr">
        <is>
          <t>Ajout Headfonics</t>
        </is>
      </c>
      <c r="AE50" s="135" t="n">
        <v>26</v>
      </c>
      <c r="AF50" s="127" t="n">
        <v>299</v>
      </c>
      <c r="AG50" s="132" t="inlineStr">
        <is>
          <t>Portable très polyvalent, au rendu analogique modifiable par changement d’op-amp.</t>
        </is>
      </c>
      <c r="AH50" s="129" t="inlineStr">
        <is>
          <t>Analogique/chaud selon op-amp.</t>
        </is>
      </c>
      <c r="AI50" s="129" t="inlineStr">
        <is>
          <t>Agréable et musical plus que hyper-résolvant.</t>
        </is>
      </c>
      <c r="AJ50" s="129" t="inlineStr">
        <is>
          <t>Résolution perçue moyenne; pas de 4.4 mm.</t>
        </is>
      </c>
      <c r="AK50" s="129" t="inlineStr">
        <is>
          <t>https://headfonics.com/xduoo-xd05-basic2-review/</t>
        </is>
      </c>
      <c r="AL50" s="135" t="n">
        <v>3</v>
      </c>
      <c r="AM50" s="133" t="inlineStr">
        <is>
          <t>Élevée — 3+ sources, domaines variés</t>
        </is>
      </c>
      <c r="AN50" s="129" t="inlineStr">
        <is>
          <t>https://primeaudio.org/xduoo-xd05-basic2-review/</t>
        </is>
      </c>
      <c r="AO50" s="137" t="inlineStr">
        <is>
          <t>https://www.headfonia.com/xduoo-xd05-basic2-review/</t>
        </is>
      </c>
      <c r="AP50" s="129" t="n"/>
      <c r="AQ50" s="133" t="inlineStr">
        <is>
          <t>Objectif atteint</t>
        </is>
      </c>
      <c r="AR50" s="129" t="inlineStr">
        <is>
          <t>Review éditoriale: 3</t>
        </is>
      </c>
    </row>
    <row r="51" ht="54" customHeight="1">
      <c r="A51" s="117" t="inlineStr">
        <is>
          <t>iBasso</t>
        </is>
      </c>
      <c r="B51" s="117" t="inlineStr">
        <is>
          <t>Nunchaku</t>
        </is>
      </c>
      <c r="C51" s="117" t="inlineStr">
        <is>
          <t>Portable Amp/DAC (Headfonics)</t>
        </is>
      </c>
      <c r="D51" s="117" t="inlineStr">
        <is>
          <t>Deux modes/timbres, dont tube.</t>
        </is>
      </c>
      <c r="E51" s="117" t="inlineStr">
        <is>
          <t>Matière/timbres, image 3d, profondeur</t>
        </is>
      </c>
      <c r="F51" s="117" t="inlineStr">
        <is>
          <t>Gros pour un dongle</t>
        </is>
      </c>
      <c r="G51" s="118" t="n">
        <v>8.9</v>
      </c>
      <c r="H51" s="119" t="n">
        <v>8.800000000000001</v>
      </c>
      <c r="I51" s="119" t="n">
        <v>8.9</v>
      </c>
      <c r="J51" s="119" t="n">
        <v>9</v>
      </c>
      <c r="K51" s="119" t="n">
        <v>8.9</v>
      </c>
      <c r="L51" s="119" t="n">
        <v>9.4</v>
      </c>
      <c r="M51" s="119" t="n">
        <v>8.800000000000001</v>
      </c>
      <c r="N51" s="119" t="n">
        <v>8.699999999999999</v>
      </c>
      <c r="O51" s="119" t="n">
        <v>6.5</v>
      </c>
      <c r="P51" s="119" t="n">
        <v>8.5</v>
      </c>
      <c r="Q51" s="158">
        <f>IF(COUNT(G51:P51)=10,ROUND((G51*'Pondérations'!$B$5+H51*'Pondérations'!$B$6+I51*'Pondérations'!$B$7+J51*'Pondérations'!$B$8+K51*'Pondérations'!$B$9+L51*'Pondérations'!$B$10+M51*'Pondérations'!$B$11+N51*'Pondérations'!$B$12+O51*'Pondérations'!$B$13+P51*'Pondérations'!$B$14)/'Pondérations'!$B$16,3),"")</f>
        <v/>
      </c>
      <c r="R51" s="159">
        <f>IF(Q51="","",1+COUNTIF($Q$7:$Q$178,"&gt;"&amp;Q51)+COUNTIF($Q$7:Q51,Q51)-1)</f>
        <v/>
      </c>
      <c r="S51" s="122" t="n"/>
      <c r="T51" s="117" t="n"/>
      <c r="U51" s="117" t="n"/>
      <c r="V51" s="123" t="inlineStr">
        <is>
          <t>Élevée</t>
        </is>
      </c>
      <c r="W51" s="117" t="inlineStr">
        <is>
          <t>Headfonics import</t>
        </is>
      </c>
      <c r="X51" s="118" t="n">
        <v>8.6</v>
      </c>
      <c r="Y51" s="123" t="inlineStr">
        <is>
          <t>Reader</t>
        </is>
      </c>
      <c r="Z51" s="124" t="n">
        <v>45864</v>
      </c>
      <c r="AA51" s="125" t="n">
        <v>2</v>
      </c>
      <c r="AB51" s="126" t="inlineStr">
        <is>
          <t>https://headfonics.com/?s=iBasso+Nunchaku</t>
        </is>
      </c>
      <c r="AC51" s="117" t="inlineStr">
        <is>
          <t>Portable DAC/amp; Headfonics category entry added after older cache snapshots</t>
        </is>
      </c>
      <c r="AD51" s="123" t="inlineStr">
        <is>
          <t>Ajout Headfonics</t>
        </is>
      </c>
      <c r="AE51" s="125" t="n">
        <v>27</v>
      </c>
      <c r="AF51" s="127" t="n">
        <v>299</v>
      </c>
      <c r="AG51" s="122" t="inlineStr">
        <is>
          <t>Dongle haut de gamme à double personnalité sonore, plus flexible que le DC-Elite dans ses timbres.</t>
        </is>
      </c>
      <c r="AH51" s="117" t="inlineStr">
        <is>
          <t>Deux modes/timbres, dont tube.</t>
        </is>
      </c>
      <c r="AI51" s="117" t="inlineStr">
        <is>
          <t>Très bon niveau global, caractère ajustable.</t>
        </is>
      </c>
      <c r="AJ51" s="117" t="inlineStr">
        <is>
          <t>Gros pour un dongle; tube sujet au 'ping' microphonique.</t>
        </is>
      </c>
      <c r="AK51" s="117" t="inlineStr">
        <is>
          <t>https://headfonics.com/ibasso-nunchaku-review/</t>
        </is>
      </c>
      <c r="AL51" s="125" t="n">
        <v>4</v>
      </c>
      <c r="AM51" s="123" t="inlineStr">
        <is>
          <t>Élevée — 3+ sources, domaines variés</t>
        </is>
      </c>
      <c r="AN51" s="117" t="inlineStr">
        <is>
          <t>https://www.head-fi.org/showcase/ibasso-nunchaku.27945/reviews</t>
        </is>
      </c>
      <c r="AO51" s="128" t="inlineStr">
        <is>
          <t>https://www.headfonia.com/ibasso-nunchaku-review/</t>
        </is>
      </c>
      <c r="AP51" s="117" t="inlineStr">
        <is>
          <t>https://moonstarreviews.net/ibasso-nunchaku-review/</t>
        </is>
      </c>
      <c r="AQ51" s="123" t="inlineStr">
        <is>
          <t>Objectif atteint</t>
        </is>
      </c>
      <c r="AR51" s="117" t="inlineStr">
        <is>
          <t>Head-Fi reviews: 1; Review éditoriale: 3</t>
        </is>
      </c>
    </row>
    <row r="52" ht="54" customHeight="1">
      <c r="A52" s="129" t="inlineStr">
        <is>
          <t>NiPO</t>
        </is>
      </c>
      <c r="B52" s="129" t="inlineStr">
        <is>
          <t>A100</t>
        </is>
      </c>
      <c r="C52" s="129" t="inlineStr">
        <is>
          <t>Portable Amp/DAC (Headfonics)</t>
        </is>
      </c>
      <c r="D52" s="129" t="inlineStr">
        <is>
          <t>Analytique avec légère musicalité.</t>
        </is>
      </c>
      <c r="E52" s="129" t="inlineStr">
        <is>
          <t>Propreté/contrôle, dynamique, microdétail</t>
        </is>
      </c>
      <c r="F52" s="129" t="inlineStr">
        <is>
          <t>Impossible à utiliser pendant la charge</t>
        </is>
      </c>
      <c r="G52" s="130" t="n">
        <v>9.4</v>
      </c>
      <c r="H52" s="131" t="n">
        <v>8.9</v>
      </c>
      <c r="I52" s="131" t="n">
        <v>8.699999999999999</v>
      </c>
      <c r="J52" s="131" t="n">
        <v>8.6</v>
      </c>
      <c r="K52" s="131" t="n">
        <v>8.800000000000001</v>
      </c>
      <c r="L52" s="131" t="n">
        <v>8.6</v>
      </c>
      <c r="M52" s="131" t="n">
        <v>9</v>
      </c>
      <c r="N52" s="131" t="n">
        <v>9</v>
      </c>
      <c r="O52" s="131" t="n">
        <v>8</v>
      </c>
      <c r="P52" s="131" t="n">
        <v>8.199999999999999</v>
      </c>
      <c r="Q52" s="158">
        <f>IF(COUNT(G52:P52)=10,ROUND((G52*'Pondérations'!$B$5+H52*'Pondérations'!$B$6+I52*'Pondérations'!$B$7+J52*'Pondérations'!$B$8+K52*'Pondérations'!$B$9+L52*'Pondérations'!$B$10+M52*'Pondérations'!$B$11+N52*'Pondérations'!$B$12+O52*'Pondérations'!$B$13+P52*'Pondérations'!$B$14)/'Pondérations'!$B$16,3),"")</f>
        <v/>
      </c>
      <c r="R52" s="159">
        <f>IF(Q52="","",1+COUNTIF($Q$7:$Q$178,"&gt;"&amp;Q52)+COUNTIF($Q$7:Q52,Q52)-1)</f>
        <v/>
      </c>
      <c r="S52" s="132" t="n"/>
      <c r="T52" s="129" t="n"/>
      <c r="U52" s="129" t="n"/>
      <c r="V52" s="133" t="inlineStr">
        <is>
          <t>Élevée</t>
        </is>
      </c>
      <c r="W52" s="129" t="inlineStr">
        <is>
          <t>Headfonics import</t>
        </is>
      </c>
      <c r="X52" s="130" t="n">
        <v>8</v>
      </c>
      <c r="Y52" s="133" t="inlineStr">
        <is>
          <t>Reader</t>
        </is>
      </c>
      <c r="Z52" s="134" t="n">
        <v>45859</v>
      </c>
      <c r="AA52" s="135" t="n">
        <v>2</v>
      </c>
      <c r="AB52" s="139" t="inlineStr">
        <is>
          <t>https://headfonics.com/?s=NiPO+A100</t>
        </is>
      </c>
      <c r="AC52" s="129" t="inlineStr">
        <is>
          <t>ES9039Q2M portable DAC/amp, up to 550 mW</t>
        </is>
      </c>
      <c r="AD52" s="133" t="inlineStr">
        <is>
          <t>Ajout Headfonics</t>
        </is>
      </c>
      <c r="AE52" s="135" t="n">
        <v>28</v>
      </c>
      <c r="AF52" s="136" t="n">
        <v>351</v>
      </c>
      <c r="AG52" s="132" t="inlineStr">
        <is>
          <t>Portable propre et analytique, avec suffisamment de corps pour éviter une présentation sèche.</t>
        </is>
      </c>
      <c r="AH52" s="129" t="inlineStr">
        <is>
          <t>Analytique avec légère musicalité.</t>
        </is>
      </c>
      <c r="AI52" s="129" t="inlineStr">
        <is>
          <t>Fond silencieux et bonne lisibilité.</t>
        </is>
      </c>
      <c r="AJ52" s="129" t="inlineStr">
        <is>
          <t>Impossible à utiliser pendant la charge; pas d’écran.</t>
        </is>
      </c>
      <c r="AK52" s="129" t="inlineStr">
        <is>
          <t>https://headfonics.com/nipo-a100-review/</t>
        </is>
      </c>
      <c r="AL52" s="135" t="n">
        <v>4</v>
      </c>
      <c r="AM52" s="133" t="inlineStr">
        <is>
          <t>Élevée — 3+ sources, domaines variés</t>
        </is>
      </c>
      <c r="AN52" s="129" t="inlineStr">
        <is>
          <t>https://twister6.com/2025/08/08/nipo-a100/</t>
        </is>
      </c>
      <c r="AO52" s="137" t="inlineStr">
        <is>
          <t>https://trefle-lab.com/nipo-a100-review/</t>
        </is>
      </c>
      <c r="AP52" s="129" t="inlineStr">
        <is>
          <t>https://note.com/ralphhinkley/n/n48e78452f0d8?hl=en</t>
        </is>
      </c>
      <c r="AQ52" s="133" t="inlineStr">
        <is>
          <t>Objectif atteint</t>
        </is>
      </c>
      <c r="AR52" s="129" t="inlineStr">
        <is>
          <t>Review éditoriale: 4</t>
        </is>
      </c>
    </row>
    <row r="53" ht="54" customHeight="1">
      <c r="A53" s="117" t="inlineStr">
        <is>
          <t>ddHiFi</t>
        </is>
      </c>
      <c r="B53" s="117" t="inlineStr">
        <is>
          <t>TC44Pro M3</t>
        </is>
      </c>
      <c r="C53" s="117" t="inlineStr">
        <is>
          <t>Portable Amp/DAC (Headfonics)</t>
        </is>
      </c>
      <c r="D53" s="117" t="inlineStr">
        <is>
          <t>Neutre-chaud léger.</t>
        </is>
      </c>
      <c r="E53" s="117" t="inlineStr">
        <is>
          <t>Microdétail, image 3d, propreté/contrôle</t>
        </is>
      </c>
      <c r="F53" s="117" t="inlineStr">
        <is>
          <t>Format large pouvant gêner les ports voisins</t>
        </is>
      </c>
      <c r="G53" s="118" t="n">
        <v>9.199999999999999</v>
      </c>
      <c r="H53" s="119" t="n">
        <v>9</v>
      </c>
      <c r="I53" s="119" t="n">
        <v>8.800000000000001</v>
      </c>
      <c r="J53" s="119" t="n">
        <v>8.9</v>
      </c>
      <c r="K53" s="119" t="n">
        <v>8.9</v>
      </c>
      <c r="L53" s="119" t="n">
        <v>9.1</v>
      </c>
      <c r="M53" s="119" t="n">
        <v>8.9</v>
      </c>
      <c r="N53" s="119" t="n">
        <v>8.199999999999999</v>
      </c>
      <c r="O53" s="119" t="n">
        <v>7.2</v>
      </c>
      <c r="P53" s="119" t="n">
        <v>8.699999999999999</v>
      </c>
      <c r="Q53" s="158">
        <f>IF(COUNT(G53:P53)=10,ROUND((G53*'Pondérations'!$B$5+H53*'Pondérations'!$B$6+I53*'Pondérations'!$B$7+J53*'Pondérations'!$B$8+K53*'Pondérations'!$B$9+L53*'Pondérations'!$B$10+M53*'Pondérations'!$B$11+N53*'Pondérations'!$B$12+O53*'Pondérations'!$B$13+P53*'Pondérations'!$B$14)/'Pondérations'!$B$16,3),"")</f>
        <v/>
      </c>
      <c r="R53" s="159">
        <f>IF(Q53="","",1+COUNTIF($Q$7:$Q$178,"&gt;"&amp;Q53)+COUNTIF($Q$7:Q53,Q53)-1)</f>
        <v/>
      </c>
      <c r="S53" s="122" t="n"/>
      <c r="T53" s="117" t="n"/>
      <c r="U53" s="117" t="n"/>
      <c r="V53" s="123" t="inlineStr">
        <is>
          <t>Élevée</t>
        </is>
      </c>
      <c r="W53" s="117" t="inlineStr">
        <is>
          <t>Headfonics import</t>
        </is>
      </c>
      <c r="X53" s="118" t="n">
        <v>8</v>
      </c>
      <c r="Y53" s="123" t="inlineStr">
        <is>
          <t>Reader</t>
        </is>
      </c>
      <c r="Z53" s="124" t="n">
        <v>45852</v>
      </c>
      <c r="AA53" s="125" t="n">
        <v>2</v>
      </c>
      <c r="AB53" s="126" t="inlineStr">
        <is>
          <t>https://headfonics.com/?s=ddHiFi+TC44Pro+M3</t>
        </is>
      </c>
      <c r="AC53" s="117" t="inlineStr">
        <is>
          <t>Dual CS43198 dongle DAC, up to 120 mW balanced</t>
        </is>
      </c>
      <c r="AD53" s="123" t="inlineStr">
        <is>
          <t>Ajout Headfonics</t>
        </is>
      </c>
      <c r="AE53" s="125" t="n">
        <v>29</v>
      </c>
      <c r="AF53" s="138" t="n">
        <v>79</v>
      </c>
      <c r="AG53" s="122" t="inlineStr">
        <is>
          <t>Dongle compact et propre, légèrement chaleureux, avec une bonne texture de grave.</t>
        </is>
      </c>
      <c r="AH53" s="117" t="inlineStr">
        <is>
          <t>Neutre-chaud léger.</t>
        </is>
      </c>
      <c r="AI53" s="117" t="inlineStr">
        <is>
          <t>Bonne définition générale dans un format compact.</t>
        </is>
      </c>
      <c r="AJ53" s="117" t="inlineStr">
        <is>
          <t>Format large pouvant gêner les ports voisins; accessoires limités.</t>
        </is>
      </c>
      <c r="AK53" s="117" t="inlineStr">
        <is>
          <t>https://headfonics.com/ddhifi-tc44pro-m3-review/</t>
        </is>
      </c>
      <c r="AL53" s="125" t="n">
        <v>4</v>
      </c>
      <c r="AM53" s="123" t="inlineStr">
        <is>
          <t>Élevée — 3+ sources, domaines variés</t>
        </is>
      </c>
      <c r="AN53" s="117" t="inlineStr">
        <is>
          <t>https://www.head-fi.org/showcase/ddhifi-tc44pro-m3-mountain3-t-shaped-hi-res-dac-amp-dongle-adapter.28092/reviews</t>
        </is>
      </c>
      <c r="AO53" s="128" t="inlineStr">
        <is>
          <t>https://moonstarreviews.net/ddhifi-tc44pro-m3-review/</t>
        </is>
      </c>
      <c r="AP53" s="117" t="inlineStr">
        <is>
          <t>https://www.audiophile-heaven.com/2025/09/ddhifi-tc44pro-m3-mountain3-review-t-shaped-dongle-dac-amp-with-an-engaging-signature.html</t>
        </is>
      </c>
      <c r="AQ53" s="123" t="inlineStr">
        <is>
          <t>Objectif atteint</t>
        </is>
      </c>
      <c r="AR53" s="117" t="inlineStr">
        <is>
          <t>Head-Fi reviews: 1; Review éditoriale: 3</t>
        </is>
      </c>
    </row>
    <row r="54" ht="54" customHeight="1">
      <c r="A54" s="129" t="inlineStr">
        <is>
          <t>Cayin</t>
        </is>
      </c>
      <c r="B54" s="129" t="inlineStr">
        <is>
          <t>RU9</t>
        </is>
      </c>
      <c r="C54" s="129" t="inlineStr">
        <is>
          <t>Portable Amp/DAC (Headfonics)</t>
        </is>
      </c>
      <c r="D54" s="129" t="inlineStr">
        <is>
          <t>Très ajustable selon modes/tubes.</t>
        </is>
      </c>
      <c r="E54" s="129" t="inlineStr">
        <is>
          <t>Matière/timbres, profondeur, image 3d</t>
        </is>
      </c>
      <c r="F54" s="129" t="inlineStr">
        <is>
          <t>Plus transportable que réellement dongle</t>
        </is>
      </c>
      <c r="G54" s="130" t="n">
        <v>8.800000000000001</v>
      </c>
      <c r="H54" s="131" t="n">
        <v>8.699999999999999</v>
      </c>
      <c r="I54" s="131" t="n">
        <v>8.9</v>
      </c>
      <c r="J54" s="131" t="n">
        <v>8.800000000000001</v>
      </c>
      <c r="K54" s="131" t="n">
        <v>8.9</v>
      </c>
      <c r="L54" s="131" t="n">
        <v>9.6</v>
      </c>
      <c r="M54" s="131" t="n">
        <v>8.800000000000001</v>
      </c>
      <c r="N54" s="131" t="n">
        <v>8.800000000000001</v>
      </c>
      <c r="O54" s="131" t="n">
        <v>6.5</v>
      </c>
      <c r="P54" s="131" t="n">
        <v>8.4</v>
      </c>
      <c r="Q54" s="158">
        <f>IF(COUNT(G54:P54)=10,ROUND((G54*'Pondérations'!$B$5+H54*'Pondérations'!$B$6+I54*'Pondérations'!$B$7+J54*'Pondérations'!$B$8+K54*'Pondérations'!$B$9+L54*'Pondérations'!$B$10+M54*'Pondérations'!$B$11+N54*'Pondérations'!$B$12+O54*'Pondérations'!$B$13+P54*'Pondérations'!$B$14)/'Pondérations'!$B$16,3),"")</f>
        <v/>
      </c>
      <c r="R54" s="159">
        <f>IF(Q54="","",1+COUNTIF($Q$7:$Q$178,"&gt;"&amp;Q54)+COUNTIF($Q$7:Q54,Q54)-1)</f>
        <v/>
      </c>
      <c r="S54" s="132" t="n"/>
      <c r="T54" s="129" t="n"/>
      <c r="U54" s="129" t="n"/>
      <c r="V54" s="133" t="inlineStr">
        <is>
          <t>Élevée</t>
        </is>
      </c>
      <c r="W54" s="129" t="inlineStr">
        <is>
          <t>Headfonics import</t>
        </is>
      </c>
      <c r="X54" s="130" t="n">
        <v>8.6</v>
      </c>
      <c r="Y54" s="133" t="inlineStr">
        <is>
          <t>Reader</t>
        </is>
      </c>
      <c r="Z54" s="134" t="n">
        <v>45850</v>
      </c>
      <c r="AA54" s="135" t="n">
        <v>2</v>
      </c>
      <c r="AB54" s="139" t="inlineStr">
        <is>
          <t>https://headfonics.com/?s=Cayin+RU9</t>
        </is>
      </c>
      <c r="AC54" s="129" t="inlineStr">
        <is>
          <t>Tube/solid-state USB DAC/amp, up to 1 W</t>
        </is>
      </c>
      <c r="AD54" s="133" t="inlineStr">
        <is>
          <t>Ajout Headfonics</t>
        </is>
      </c>
      <c r="AE54" s="135" t="n">
        <v>30</v>
      </c>
      <c r="AF54" s="136" t="n">
        <v>438</v>
      </c>
      <c r="AG54" s="132" t="inlineStr">
        <is>
          <t>DAC/amp très modulable et puissant, pensé pour offrir plusieurs saveurs sonores plutôt qu’une signature unique.</t>
        </is>
      </c>
      <c r="AH54" s="129" t="inlineStr">
        <is>
          <t>Très ajustable selon modes/tubes.</t>
        </is>
      </c>
      <c r="AI54" s="129" t="inlineStr">
        <is>
          <t>Bon potentiel dynamique et de texture; batterie interne bénéfique.</t>
        </is>
      </c>
      <c r="AJ54" s="129" t="inlineStr">
        <is>
          <t>Plus transportable que réellement dongle.</t>
        </is>
      </c>
      <c r="AK54" s="129" t="inlineStr">
        <is>
          <t>https://headfonics.com/cayin-ru9-review/</t>
        </is>
      </c>
      <c r="AL54" s="135" t="n">
        <v>4</v>
      </c>
      <c r="AM54" s="133" t="inlineStr">
        <is>
          <t>Élevée — 3+ sources, domaines variés</t>
        </is>
      </c>
      <c r="AN54" s="129" t="inlineStr">
        <is>
          <t>https://www.headfonia.com/cayin-ru9-review/</t>
        </is>
      </c>
      <c r="AO54" s="137" t="inlineStr">
        <is>
          <t>https://www.ecoustics.com/reviews/cayin-ru9/</t>
        </is>
      </c>
      <c r="AP54" s="129" t="inlineStr">
        <is>
          <t>https://kropka.audio/test/wzmacniacze/cayin-ru9-review/</t>
        </is>
      </c>
      <c r="AQ54" s="133" t="inlineStr">
        <is>
          <t>Objectif atteint</t>
        </is>
      </c>
      <c r="AR54" s="129" t="inlineStr">
        <is>
          <t>Review éditoriale: 4</t>
        </is>
      </c>
    </row>
    <row r="55" ht="54" customHeight="1">
      <c r="A55" s="117" t="inlineStr">
        <is>
          <t>Shanling</t>
        </is>
      </c>
      <c r="B55" s="117" t="inlineStr">
        <is>
          <t>UP6</t>
        </is>
      </c>
      <c r="C55" s="117" t="inlineStr">
        <is>
          <t>Portable Amp/DAC (Headfonics)</t>
        </is>
      </c>
      <c r="D55" s="117" t="inlineStr">
        <is>
          <t>Propre, assez neutre.</t>
        </is>
      </c>
      <c r="E55" s="117" t="inlineStr">
        <is>
          <t>Image 3d, profondeur, layering</t>
        </is>
      </c>
      <c r="F55" s="117" t="inlineStr">
        <is>
          <t>Bluetooth pas de toute dernière génération</t>
        </is>
      </c>
      <c r="G55" s="118" t="n">
        <v>8.800000000000001</v>
      </c>
      <c r="H55" s="119" t="n">
        <v>8.6</v>
      </c>
      <c r="I55" s="119" t="n">
        <v>8.6</v>
      </c>
      <c r="J55" s="119" t="n">
        <v>8.6</v>
      </c>
      <c r="K55" s="119" t="n">
        <v>8.699999999999999</v>
      </c>
      <c r="L55" s="119" t="n">
        <v>8.800000000000001</v>
      </c>
      <c r="M55" s="119" t="n">
        <v>8.800000000000001</v>
      </c>
      <c r="N55" s="119" t="n">
        <v>8.9</v>
      </c>
      <c r="O55" s="119" t="n">
        <v>8</v>
      </c>
      <c r="P55" s="119" t="n">
        <v>8</v>
      </c>
      <c r="Q55" s="158">
        <f>IF(COUNT(G55:P55)=10,ROUND((G55*'Pondérations'!$B$5+H55*'Pondérations'!$B$6+I55*'Pondérations'!$B$7+J55*'Pondérations'!$B$8+K55*'Pondérations'!$B$9+L55*'Pondérations'!$B$10+M55*'Pondérations'!$B$11+N55*'Pondérations'!$B$12+O55*'Pondérations'!$B$13+P55*'Pondérations'!$B$14)/'Pondérations'!$B$16,3),"")</f>
        <v/>
      </c>
      <c r="R55" s="159">
        <f>IF(Q55="","",1+COUNTIF($Q$7:$Q$178,"&gt;"&amp;Q55)+COUNTIF($Q$7:Q55,Q55)-1)</f>
        <v/>
      </c>
      <c r="S55" s="122" t="n"/>
      <c r="T55" s="117" t="n"/>
      <c r="U55" s="117" t="n"/>
      <c r="V55" s="123" t="inlineStr">
        <is>
          <t>Élevée</t>
        </is>
      </c>
      <c r="W55" s="117" t="inlineStr">
        <is>
          <t>Headfonics import</t>
        </is>
      </c>
      <c r="X55" s="118" t="n">
        <v>8.4</v>
      </c>
      <c r="Y55" s="123" t="inlineStr">
        <is>
          <t>Reader</t>
        </is>
      </c>
      <c r="Z55" s="124" t="n">
        <v>45847</v>
      </c>
      <c r="AA55" s="125" t="n">
        <v>2</v>
      </c>
      <c r="AB55" s="126" t="inlineStr">
        <is>
          <t>https://headfonics.com/?s=Shanling+UP6</t>
        </is>
      </c>
      <c r="AC55" s="117" t="inlineStr">
        <is>
          <t>Dual ES9069Q Bluetooth DAC/amp with LDAC/aptX</t>
        </is>
      </c>
      <c r="AD55" s="123" t="inlineStr">
        <is>
          <t>Ajout Headfonics</t>
        </is>
      </c>
      <c r="AE55" s="125" t="n">
        <v>31</v>
      </c>
      <c r="AF55" s="127" t="n">
        <v>189</v>
      </c>
      <c r="AG55" s="122" t="inlineStr">
        <is>
          <t>Bluetooth DAC propre et puissant, très complet et d’un bon rapport performances/fonctions.</t>
        </is>
      </c>
      <c r="AH55" s="117" t="inlineStr">
        <is>
          <t>Propre, assez neutre.</t>
        </is>
      </c>
      <c r="AI55" s="117" t="inlineStr">
        <is>
          <t>Bonne puissance et lisibilité, sans accent particulier sur l’holographie.</t>
        </is>
      </c>
      <c r="AJ55" s="117" t="inlineStr">
        <is>
          <t>Bluetooth pas de toute dernière génération; châssis anguleux.</t>
        </is>
      </c>
      <c r="AK55" s="117" t="inlineStr">
        <is>
          <t>https://headfonics.com/shanling-up6-review/</t>
        </is>
      </c>
      <c r="AL55" s="125" t="n">
        <v>4</v>
      </c>
      <c r="AM55" s="123" t="inlineStr">
        <is>
          <t>Élevée — 3+ sources, domaines variés</t>
        </is>
      </c>
      <c r="AN55" s="117" t="inlineStr">
        <is>
          <t>https://www.head-fi.org/showcase/shanling-up6.28161/reviews</t>
        </is>
      </c>
      <c r="AO55" s="128" t="inlineStr">
        <is>
          <t>https://www.headfonia.com/shanling-up6-review/</t>
        </is>
      </c>
      <c r="AP55" s="117" t="inlineStr">
        <is>
          <t>https://www.hifioasis.com/reviews/shanling-up6-review/</t>
        </is>
      </c>
      <c r="AQ55" s="123" t="inlineStr">
        <is>
          <t>Objectif atteint</t>
        </is>
      </c>
      <c r="AR55" s="117" t="inlineStr">
        <is>
          <t>Head-Fi reviews: 1; Review éditoriale: 3</t>
        </is>
      </c>
    </row>
    <row r="56" ht="54" customHeight="1">
      <c r="A56" s="129" t="inlineStr">
        <is>
          <t>Questyle</t>
        </is>
      </c>
      <c r="B56" s="129" t="inlineStr">
        <is>
          <t>M18i</t>
        </is>
      </c>
      <c r="C56" s="129" t="inlineStr">
        <is>
          <t>Portable Amp/DAC (Headfonics)</t>
        </is>
      </c>
      <c r="D56" s="129" t="inlineStr">
        <is>
          <t>Propre, neutre.</t>
        </is>
      </c>
      <c r="E56" s="129" t="inlineStr">
        <is>
          <t>Profondeur, matière/timbres, image 3d</t>
        </is>
      </c>
      <c r="F56" s="129" t="inlineStr">
        <is>
          <t>Ergonomie/charge et gain en Bluetooth perfectibles</t>
        </is>
      </c>
      <c r="G56" s="130" t="n">
        <v>9</v>
      </c>
      <c r="H56" s="131" t="n">
        <v>8.699999999999999</v>
      </c>
      <c r="I56" s="131" t="n">
        <v>9.1</v>
      </c>
      <c r="J56" s="131" t="n">
        <v>8.800000000000001</v>
      </c>
      <c r="K56" s="131" t="n">
        <v>8.9</v>
      </c>
      <c r="L56" s="131" t="n">
        <v>9.199999999999999</v>
      </c>
      <c r="M56" s="131" t="n">
        <v>9</v>
      </c>
      <c r="N56" s="131" t="n">
        <v>9</v>
      </c>
      <c r="O56" s="131" t="n">
        <v>9.5</v>
      </c>
      <c r="P56" s="131" t="n">
        <v>8.5</v>
      </c>
      <c r="Q56" s="158">
        <f>IF(COUNT(G56:P56)=10,ROUND((G56*'Pondérations'!$B$5+H56*'Pondérations'!$B$6+I56*'Pondérations'!$B$7+J56*'Pondérations'!$B$8+K56*'Pondérations'!$B$9+L56*'Pondérations'!$B$10+M56*'Pondérations'!$B$11+N56*'Pondérations'!$B$12+O56*'Pondérations'!$B$13+P56*'Pondérations'!$B$14)/'Pondérations'!$B$16,3),"")</f>
        <v/>
      </c>
      <c r="R56" s="159">
        <f>IF(Q56="","",1+COUNTIF($Q$7:$Q$178,"&gt;"&amp;Q56)+COUNTIF($Q$7:Q56,Q56)-1)</f>
        <v/>
      </c>
      <c r="S56" s="132" t="n"/>
      <c r="T56" s="129" t="n"/>
      <c r="U56" s="129" t="n"/>
      <c r="V56" s="133" t="inlineStr">
        <is>
          <t>Élevée</t>
        </is>
      </c>
      <c r="W56" s="129" t="inlineStr">
        <is>
          <t>Headfonics import</t>
        </is>
      </c>
      <c r="X56" s="130" t="n">
        <v>8.300000000000001</v>
      </c>
      <c r="Y56" s="133" t="inlineStr">
        <is>
          <t>Reader</t>
        </is>
      </c>
      <c r="Z56" s="134" t="n">
        <v>45798</v>
      </c>
      <c r="AA56" s="135" t="n">
        <v>2</v>
      </c>
      <c r="AB56" s="139" t="inlineStr">
        <is>
          <t>https://headfonics.com/?s=Questyle+M18i</t>
        </is>
      </c>
      <c r="AC56" s="129" t="inlineStr">
        <is>
          <t>ES9219Q wireless dongle DAC with Current Mode amplification</t>
        </is>
      </c>
      <c r="AD56" s="133" t="inlineStr">
        <is>
          <t>Ajout Headfonics</t>
        </is>
      </c>
      <c r="AE56" s="135" t="n">
        <v>33</v>
      </c>
      <c r="AF56" s="136" t="n">
        <v>307</v>
      </c>
      <c r="AG56" s="132" t="inlineStr">
        <is>
          <t>Dongle/Bluetooth de haut niveau, propre et techniquement très capable, avec une scène particulièrement grande et précise.</t>
        </is>
      </c>
      <c r="AH56" s="129" t="inlineStr">
        <is>
          <t>Propre, neutre.</t>
        </is>
      </c>
      <c r="AI56" s="129" t="inlineStr">
        <is>
          <t>Grande scène, forte précision et fond sombre.</t>
        </is>
      </c>
      <c r="AJ56" s="129" t="inlineStr">
        <is>
          <t>Ergonomie/charge et gain en Bluetooth perfectibles.</t>
        </is>
      </c>
      <c r="AK56" s="129" t="inlineStr">
        <is>
          <t>https://headfonics.com/questyle-m18i-review/</t>
        </is>
      </c>
      <c r="AL56" s="135" t="n">
        <v>4</v>
      </c>
      <c r="AM56" s="133" t="inlineStr">
        <is>
          <t>Élevée — 3+ sources, domaines variés</t>
        </is>
      </c>
      <c r="AN56" s="129" t="inlineStr">
        <is>
          <t>https://www.headfonia.com/questyle-m18i-review/</t>
        </is>
      </c>
      <c r="AO56" s="137" t="inlineStr">
        <is>
          <t>https://www.ecoustics.com/reviews/questyle-m18i/</t>
        </is>
      </c>
      <c r="AP56" s="129" t="inlineStr">
        <is>
          <t>https://www.androidcentral.com/accessories/audio/review-questyle-m18i</t>
        </is>
      </c>
      <c r="AQ56" s="133" t="inlineStr">
        <is>
          <t>Objectif atteint</t>
        </is>
      </c>
      <c r="AR56" s="129" t="inlineStr">
        <is>
          <t>Review éditoriale: 4</t>
        </is>
      </c>
    </row>
    <row r="57" ht="54" customHeight="1">
      <c r="A57" s="117" t="inlineStr">
        <is>
          <t>FiiO</t>
        </is>
      </c>
      <c r="B57" s="117" t="inlineStr">
        <is>
          <t>RR11</t>
        </is>
      </c>
      <c r="C57" s="117" t="inlineStr">
        <is>
          <t>Portable Amp/DAC (Headfonics)</t>
        </is>
      </c>
      <c r="D57" s="117" t="inlineStr">
        <is>
          <t>Plutôt analytique.</t>
        </is>
      </c>
      <c r="E57" s="117" t="inlineStr">
        <is>
          <t>Microdétail, layering, image 3d</t>
        </is>
      </c>
      <c r="F57" s="117" t="inlineStr">
        <is>
          <t>Signature potentiellement trop analytique</t>
        </is>
      </c>
      <c r="G57" s="118" t="n">
        <v>8.4</v>
      </c>
      <c r="H57" s="119" t="n">
        <v>8.300000000000001</v>
      </c>
      <c r="I57" s="119" t="n">
        <v>8.800000000000001</v>
      </c>
      <c r="J57" s="119" t="n">
        <v>8.199999999999999</v>
      </c>
      <c r="K57" s="119" t="n">
        <v>9</v>
      </c>
      <c r="L57" s="119" t="n">
        <v>8.4</v>
      </c>
      <c r="M57" s="119" t="n">
        <v>8.9</v>
      </c>
      <c r="N57" s="119" t="n">
        <v>8.4</v>
      </c>
      <c r="O57" s="119" t="n">
        <v>9.5</v>
      </c>
      <c r="P57" s="119" t="n">
        <v>8.699999999999999</v>
      </c>
      <c r="Q57" s="158">
        <f>IF(COUNT(G57:P57)=10,ROUND((G57*'Pondérations'!$B$5+H57*'Pondérations'!$B$6+I57*'Pondérations'!$B$7+J57*'Pondérations'!$B$8+K57*'Pondérations'!$B$9+L57*'Pondérations'!$B$10+M57*'Pondérations'!$B$11+N57*'Pondérations'!$B$12+O57*'Pondérations'!$B$13+P57*'Pondérations'!$B$14)/'Pondérations'!$B$16,3),"")</f>
        <v/>
      </c>
      <c r="R57" s="159">
        <f>IF(Q57="","",1+COUNTIF($Q$7:$Q$178,"&gt;"&amp;Q57)+COUNTIF($Q$7:Q57,Q57)-1)</f>
        <v/>
      </c>
      <c r="S57" s="122" t="n"/>
      <c r="T57" s="117" t="n"/>
      <c r="U57" s="117" t="n"/>
      <c r="V57" s="123" t="inlineStr">
        <is>
          <t>Élevée</t>
        </is>
      </c>
      <c r="W57" s="117" t="inlineStr">
        <is>
          <t>Headfonics import</t>
        </is>
      </c>
      <c r="X57" s="118" t="n">
        <v>7.7</v>
      </c>
      <c r="Y57" s="123" t="inlineStr">
        <is>
          <t>Reader</t>
        </is>
      </c>
      <c r="Z57" s="124" t="n">
        <v>45787</v>
      </c>
      <c r="AA57" s="125" t="n">
        <v>2</v>
      </c>
      <c r="AB57" s="126" t="inlineStr">
        <is>
          <t>https://headfonics.com/?s=FiiO+RR11</t>
        </is>
      </c>
      <c r="AC57" s="117" t="inlineStr">
        <is>
          <t>Portable FM radio with dongle functionality</t>
        </is>
      </c>
      <c r="AD57" s="123" t="inlineStr">
        <is>
          <t>Ajout Headfonics</t>
        </is>
      </c>
      <c r="AE57" s="125" t="n">
        <v>34</v>
      </c>
      <c r="AF57" s="138" t="n">
        <v>53</v>
      </c>
      <c r="AG57" s="122" t="inlineStr">
        <is>
          <t>Produit rétro surtout intéressant pour la radio, mais son mode dongle est correctement réussi.</t>
        </is>
      </c>
      <c r="AH57" s="117" t="inlineStr">
        <is>
          <t>Plutôt analytique.</t>
        </is>
      </c>
      <c r="AI57" s="117" t="inlineStr">
        <is>
          <t>Correct pour le prix, sans ambition audiophile extrême.</t>
        </is>
      </c>
      <c r="AJ57" s="117" t="inlineStr">
        <is>
          <t>Signature potentiellement trop analytique; fonctions sonores gadget limitées.</t>
        </is>
      </c>
      <c r="AK57" s="117" t="inlineStr">
        <is>
          <t>https://headfonics.com/fiio-rr11-review/</t>
        </is>
      </c>
      <c r="AL57" s="125" t="n">
        <v>4</v>
      </c>
      <c r="AM57" s="123" t="inlineStr">
        <is>
          <t>Élevée — 3+ sources, domaines variés</t>
        </is>
      </c>
      <c r="AN57" s="117" t="inlineStr">
        <is>
          <t>https://www.head-fi.org/showcase/fiio-rr11.28083/reviews</t>
        </is>
      </c>
      <c r="AO57" s="128" t="inlineStr">
        <is>
          <t>https://www.headfonia.com/fiio-rr11-review/</t>
        </is>
      </c>
      <c r="AP57" s="117" t="inlineStr">
        <is>
          <t>https://moonstarreviews.net/fiio-rr11-review/</t>
        </is>
      </c>
      <c r="AQ57" s="123" t="inlineStr">
        <is>
          <t>Objectif atteint</t>
        </is>
      </c>
      <c r="AR57" s="117" t="inlineStr">
        <is>
          <t>Head-Fi reviews: 1; Review éditoriale: 3</t>
        </is>
      </c>
    </row>
    <row r="58" ht="54" customHeight="1">
      <c r="A58" s="129" t="inlineStr">
        <is>
          <t>EarMen</t>
        </is>
      </c>
      <c r="B58" s="129" t="inlineStr">
        <is>
          <t>L-Amp</t>
        </is>
      </c>
      <c r="C58" s="129" t="inlineStr">
        <is>
          <t>Portable Amp/DAC (Headfonics)</t>
        </is>
      </c>
      <c r="D58" s="129" t="inlineStr">
        <is>
          <t>Chaleur tube avec clarté solide-state.</t>
        </is>
      </c>
      <c r="E58" s="129" t="inlineStr">
        <is>
          <t>Puissance, matière/timbres, image 3d</t>
        </is>
      </c>
      <c r="F58" s="129" t="inlineStr">
        <is>
          <t>Format/usage plus transportable que mini-dongle</t>
        </is>
      </c>
      <c r="G58" s="130" t="n">
        <v>9</v>
      </c>
      <c r="H58" s="131" t="n">
        <v>8.800000000000001</v>
      </c>
      <c r="I58" s="131" t="n">
        <v>8.699999999999999</v>
      </c>
      <c r="J58" s="131" t="n">
        <v>8.800000000000001</v>
      </c>
      <c r="K58" s="131" t="n">
        <v>8.800000000000001</v>
      </c>
      <c r="L58" s="131" t="n">
        <v>9.199999999999999</v>
      </c>
      <c r="M58" s="131" t="n">
        <v>8.9</v>
      </c>
      <c r="N58" s="131" t="n">
        <v>9.300000000000001</v>
      </c>
      <c r="O58" s="131" t="n">
        <v>6.5</v>
      </c>
      <c r="P58" s="131" t="n">
        <v>8.300000000000001</v>
      </c>
      <c r="Q58" s="158">
        <f>IF(COUNT(G58:P58)=10,ROUND((G58*'Pondérations'!$B$5+H58*'Pondérations'!$B$6+I58*'Pondérations'!$B$7+J58*'Pondérations'!$B$8+K58*'Pondérations'!$B$9+L58*'Pondérations'!$B$10+M58*'Pondérations'!$B$11+N58*'Pondérations'!$B$12+O58*'Pondérations'!$B$13+P58*'Pondérations'!$B$14)/'Pondérations'!$B$16,3),"")</f>
        <v/>
      </c>
      <c r="R58" s="159">
        <f>IF(Q58="","",1+COUNTIF($Q$7:$Q$178,"&gt;"&amp;Q58)+COUNTIF($Q$7:Q58,Q58)-1)</f>
        <v/>
      </c>
      <c r="S58" s="132" t="n"/>
      <c r="T58" s="129" t="n"/>
      <c r="U58" s="129" t="n"/>
      <c r="V58" s="133" t="inlineStr">
        <is>
          <t>Élevée</t>
        </is>
      </c>
      <c r="W58" s="129" t="inlineStr">
        <is>
          <t>Headfonics import</t>
        </is>
      </c>
      <c r="X58" s="130" t="n">
        <v>8.6</v>
      </c>
      <c r="Y58" s="133" t="inlineStr">
        <is>
          <t>Reader</t>
        </is>
      </c>
      <c r="Z58" s="134" t="n">
        <v>45770</v>
      </c>
      <c r="AA58" s="135" t="n">
        <v>2</v>
      </c>
      <c r="AB58" s="139" t="inlineStr">
        <is>
          <t>https://headfonics.com/?s=EarMen+L-Amp</t>
        </is>
      </c>
      <c r="AC58" s="129" t="inlineStr">
        <is>
          <t>Dual JAN6418 NOS tube portable headphone amplifier/DAC</t>
        </is>
      </c>
      <c r="AD58" s="133" t="inlineStr">
        <is>
          <t>Ajout Headfonics</t>
        </is>
      </c>
      <c r="AE58" s="135" t="n">
        <v>35</v>
      </c>
      <c r="AF58" s="136" t="n">
        <v>351</v>
      </c>
      <c r="AG58" s="132" t="inlineStr">
        <is>
          <t>Ampli/DAC tube très puissant combinant fluidité et précision, avec un bon équilibre entre chaleur et clarté.</t>
        </is>
      </c>
      <c r="AH58" s="129" t="inlineStr">
        <is>
          <t>Chaleur tube avec clarté solide-state.</t>
        </is>
      </c>
      <c r="AI58" s="129" t="inlineStr">
        <is>
          <t>Bonne dynamique et ample réserve de puissance.</t>
        </is>
      </c>
      <c r="AJ58" s="129" t="inlineStr">
        <is>
          <t>Format/usage plus transportable que mini-dongle.</t>
        </is>
      </c>
      <c r="AK58" s="129" t="inlineStr">
        <is>
          <t>https://headfonics.com/earmen-l-amp-review/</t>
        </is>
      </c>
      <c r="AL58" s="135" t="n">
        <v>3</v>
      </c>
      <c r="AM58" s="133" t="inlineStr">
        <is>
          <t>Élevée — 3+ sources, domaines variés</t>
        </is>
      </c>
      <c r="AN58" s="129" t="inlineStr">
        <is>
          <t>https://www.head-fi.org/threads/earmen-l-amp-review.976122/</t>
        </is>
      </c>
      <c r="AO58" s="137" t="inlineStr">
        <is>
          <t>https://www.headfonia.com/earmen-l-amp-review/</t>
        </is>
      </c>
      <c r="AP58" s="129" t="n"/>
      <c r="AQ58" s="133" t="inlineStr">
        <is>
          <t>Objectif atteint</t>
        </is>
      </c>
      <c r="AR58" s="129" t="inlineStr">
        <is>
          <t>Head-Fi forum: 1; Review éditoriale: 2</t>
        </is>
      </c>
    </row>
    <row r="59" ht="54" customHeight="1">
      <c r="A59" s="117" t="inlineStr">
        <is>
          <t>FiiO</t>
        </is>
      </c>
      <c r="B59" s="117" t="inlineStr">
        <is>
          <t>SNOWSKY RETRO NANO</t>
        </is>
      </c>
      <c r="C59" s="117" t="inlineStr">
        <is>
          <t>Portable Amp/DAC (Headfonics)</t>
        </is>
      </c>
      <c r="D59" s="117" t="inlineStr">
        <is>
          <t>Plutôt polyvalent/fun.</t>
        </is>
      </c>
      <c r="E59" s="117" t="inlineStr">
        <is>
          <t>Puissance, matière/timbres, dynamique</t>
        </is>
      </c>
      <c r="F59" s="117" t="inlineStr">
        <is>
          <t>Autonomie courte et trappe de batterie fragile</t>
        </is>
      </c>
      <c r="G59" s="118" t="n">
        <v>8.800000000000001</v>
      </c>
      <c r="H59" s="119" t="n">
        <v>8.6</v>
      </c>
      <c r="I59" s="119" t="n">
        <v>8.6</v>
      </c>
      <c r="J59" s="119" t="n">
        <v>8.4</v>
      </c>
      <c r="K59" s="119" t="n">
        <v>8.699999999999999</v>
      </c>
      <c r="L59" s="119" t="n">
        <v>8.9</v>
      </c>
      <c r="M59" s="119" t="n">
        <v>8.9</v>
      </c>
      <c r="N59" s="119" t="n">
        <v>9.4</v>
      </c>
      <c r="O59" s="119" t="n">
        <v>8</v>
      </c>
      <c r="P59" s="119" t="n">
        <v>7.9</v>
      </c>
      <c r="Q59" s="158">
        <f>IF(COUNT(G59:P59)=10,ROUND((G59*'Pondérations'!$B$5+H59*'Pondérations'!$B$6+I59*'Pondérations'!$B$7+J59*'Pondérations'!$B$8+K59*'Pondérations'!$B$9+L59*'Pondérations'!$B$10+M59*'Pondérations'!$B$11+N59*'Pondérations'!$B$12+O59*'Pondérations'!$B$13+P59*'Pondérations'!$B$14)/'Pondérations'!$B$16,3),"")</f>
        <v/>
      </c>
      <c r="R59" s="159">
        <f>IF(Q59="","",1+COUNTIF($Q$7:$Q$178,"&gt;"&amp;Q59)+COUNTIF($Q$7:Q59,Q59)-1)</f>
        <v/>
      </c>
      <c r="S59" s="122" t="n"/>
      <c r="T59" s="117" t="n"/>
      <c r="U59" s="117" t="n"/>
      <c r="V59" s="123" t="inlineStr">
        <is>
          <t>Élevée</t>
        </is>
      </c>
      <c r="W59" s="117" t="inlineStr">
        <is>
          <t>Headfonics import</t>
        </is>
      </c>
      <c r="X59" s="118" t="n">
        <v>8.1</v>
      </c>
      <c r="Y59" s="123" t="inlineStr">
        <is>
          <t>Reader</t>
        </is>
      </c>
      <c r="Z59" s="124" t="n">
        <v>45745</v>
      </c>
      <c r="AA59" s="125" t="n">
        <v>2</v>
      </c>
      <c r="AB59" s="126" t="inlineStr">
        <is>
          <t>https://headfonics.com/?s=FiiO+SNOWSKY+RETRO+NANO</t>
        </is>
      </c>
      <c r="AC59" s="117" t="inlineStr">
        <is>
          <t>Self-powered Bluetooth dongle DAC, up to 220 mW</t>
        </is>
      </c>
      <c r="AD59" s="123" t="inlineStr">
        <is>
          <t>Ajout Headfonics</t>
        </is>
      </c>
      <c r="AE59" s="125" t="n">
        <v>36</v>
      </c>
      <c r="AF59" s="138" t="n">
        <v>53</v>
      </c>
      <c r="AG59" s="122" t="inlineStr">
        <is>
          <t>Petit DAC Bluetooth très riche en fonctions et très bon marché, davantage axé polyvalence que performance sonore ultime.</t>
        </is>
      </c>
      <c r="AH59" s="117" t="inlineStr">
        <is>
          <t>Plutôt polyvalent/fun.</t>
        </is>
      </c>
      <c r="AI59" s="117" t="inlineStr">
        <is>
          <t>Correct techniquement pour le prix.</t>
        </is>
      </c>
      <c r="AJ59" s="117" t="inlineStr">
        <is>
          <t>Autonomie courte et trappe de batterie fragile.</t>
        </is>
      </c>
      <c r="AK59" s="117" t="inlineStr">
        <is>
          <t>https://headfonics.com/fiio-snowsky-retro-nano-review/</t>
        </is>
      </c>
      <c r="AL59" s="125" t="n">
        <v>4</v>
      </c>
      <c r="AM59" s="123" t="inlineStr">
        <is>
          <t>Élevée — 3+ sources, domaines variés</t>
        </is>
      </c>
      <c r="AN59" s="117" t="inlineStr">
        <is>
          <t>https://www.head-fi.org/showcase/snowsky-retro-nano.27828/reviews</t>
        </is>
      </c>
      <c r="AO59" s="128" t="inlineStr">
        <is>
          <t>https://www.hifioasis.com/reviews/snowsky-retro-nano-review/</t>
        </is>
      </c>
      <c r="AP59" s="117" t="inlineStr">
        <is>
          <t>https://audio46.com/blogs/headphones/fiio-snowsky-retro-nano-bluetooth-dac-amp-review</t>
        </is>
      </c>
      <c r="AQ59" s="123" t="inlineStr">
        <is>
          <t>Objectif atteint</t>
        </is>
      </c>
      <c r="AR59" s="117" t="inlineStr">
        <is>
          <t>Head-Fi reviews: 1; Review éditoriale: 3</t>
        </is>
      </c>
    </row>
    <row r="60" ht="54" customHeight="1">
      <c r="A60" s="129" t="inlineStr">
        <is>
          <t>Cayin</t>
        </is>
      </c>
      <c r="B60" s="129" t="inlineStr">
        <is>
          <t>C9ii</t>
        </is>
      </c>
      <c r="C60" s="129" t="inlineStr">
        <is>
          <t>Portable Amp/DAC (Headfonics)</t>
        </is>
      </c>
      <c r="D60" s="129" t="inlineStr">
        <is>
          <t>Très ajustable, tube/solid-state selon modes.</t>
        </is>
      </c>
      <c r="E60" s="129" t="inlineStr">
        <is>
          <t>Propreté/contrôle, matière/timbres, image 3d</t>
        </is>
      </c>
      <c r="F60" s="129" t="inlineStr">
        <is>
          <t>Très volumineux : transportable plus que portable</t>
        </is>
      </c>
      <c r="G60" s="130" t="n">
        <v>9.1</v>
      </c>
      <c r="H60" s="131" t="n">
        <v>8.800000000000001</v>
      </c>
      <c r="I60" s="131" t="n">
        <v>8.6</v>
      </c>
      <c r="J60" s="131" t="n">
        <v>8.6</v>
      </c>
      <c r="K60" s="131" t="n">
        <v>8.699999999999999</v>
      </c>
      <c r="L60" s="131" t="n">
        <v>9</v>
      </c>
      <c r="M60" s="131" t="n">
        <v>8.9</v>
      </c>
      <c r="N60" s="131" t="n">
        <v>9</v>
      </c>
      <c r="O60" s="131" t="n">
        <v>6.5</v>
      </c>
      <c r="P60" s="131" t="n">
        <v>8.1</v>
      </c>
      <c r="Q60" s="158">
        <f>IF(COUNT(G60:P60)=10,ROUND((G60*'Pondérations'!$B$5+H60*'Pondérations'!$B$6+I60*'Pondérations'!$B$7+J60*'Pondérations'!$B$8+K60*'Pondérations'!$B$9+L60*'Pondérations'!$B$10+M60*'Pondérations'!$B$11+N60*'Pondérations'!$B$12+O60*'Pondérations'!$B$13+P60*'Pondérations'!$B$14)/'Pondérations'!$B$16,3),"")</f>
        <v/>
      </c>
      <c r="R60" s="159">
        <f>IF(Q60="","",1+COUNTIF($Q$7:$Q$178,"&gt;"&amp;Q60)+COUNTIF($Q$7:Q60,Q60)-1)</f>
        <v/>
      </c>
      <c r="S60" s="132" t="n"/>
      <c r="T60" s="129" t="n"/>
      <c r="U60" s="129" t="n"/>
      <c r="V60" s="133" t="inlineStr">
        <is>
          <t>Élevée</t>
        </is>
      </c>
      <c r="W60" s="129" t="inlineStr">
        <is>
          <t>Headfonics import</t>
        </is>
      </c>
      <c r="X60" s="130" t="n">
        <v>9.1</v>
      </c>
      <c r="Y60" s="133" t="inlineStr">
        <is>
          <t>Reader</t>
        </is>
      </c>
      <c r="Z60" s="134" t="n">
        <v>45735</v>
      </c>
      <c r="AA60" s="135" t="n">
        <v>2</v>
      </c>
      <c r="AB60" s="139" t="inlineStr">
        <is>
          <t>https://headfonics.com/?s=Cayin+C9ii</t>
        </is>
      </c>
      <c r="AC60" s="129" t="inlineStr">
        <is>
          <t>Solid-state / Gen 5 Nutube portable headphone amplifier</t>
        </is>
      </c>
      <c r="AD60" s="133" t="inlineStr">
        <is>
          <t>Ajout Headfonics</t>
        </is>
      </c>
      <c r="AE60" s="135" t="n">
        <v>37</v>
      </c>
      <c r="AF60" s="136" t="n">
        <v>2108</v>
      </c>
      <c r="AG60" s="132" t="inlineStr">
        <is>
          <t>Ampli portable tube extrêmement complet et puissant, avec bien plus de dynamique et un fond plus noir que le C9.</t>
        </is>
      </c>
      <c r="AH60" s="129" t="inlineStr">
        <is>
          <t>Très ajustable, tube/solid-state selon modes.</t>
        </is>
      </c>
      <c r="AI60" s="129" t="inlineStr">
        <is>
          <t>Large plage de réglages, forte dynamique et bonne maîtrise.</t>
        </is>
      </c>
      <c r="AJ60" s="129" t="inlineStr">
        <is>
          <t>Très volumineux : transportable plus que portable.</t>
        </is>
      </c>
      <c r="AK60" s="129" t="inlineStr">
        <is>
          <t>https://headfonics.com/cayin-c9ii-review/</t>
        </is>
      </c>
      <c r="AL60" s="135" t="n">
        <v>3</v>
      </c>
      <c r="AM60" s="133" t="inlineStr">
        <is>
          <t>Élevée — 3+ sources, domaines variés</t>
        </is>
      </c>
      <c r="AN60" s="129" t="inlineStr">
        <is>
          <t>https://www.headfonia.com/cayin-c9ii-review/</t>
        </is>
      </c>
      <c r="AO60" s="137" t="inlineStr">
        <is>
          <t>https://www.head-fi.org/threads/cayin-c9ii-dual-nutube-prtable-headphone-amplifier-gen5-3x-timbre-anode-nfb-pre-line.973711/</t>
        </is>
      </c>
      <c r="AP60" s="129" t="n"/>
      <c r="AQ60" s="133" t="inlineStr">
        <is>
          <t>Objectif atteint</t>
        </is>
      </c>
      <c r="AR60" s="129" t="inlineStr">
        <is>
          <t>Head-Fi forum: 1; Review éditoriale: 2</t>
        </is>
      </c>
    </row>
    <row r="61" ht="54" customHeight="1">
      <c r="A61" s="117" t="inlineStr">
        <is>
          <t>ddHiFi</t>
        </is>
      </c>
      <c r="B61" s="117" t="inlineStr">
        <is>
          <t>TC35M2</t>
        </is>
      </c>
      <c r="C61" s="117" t="inlineStr">
        <is>
          <t>Portable Amp/DAC (Headfonics)</t>
        </is>
      </c>
      <c r="D61" s="117" t="inlineStr">
        <is>
          <t>Neutre fonctionnel.</t>
        </is>
      </c>
      <c r="E61" s="117" t="inlineStr">
        <is>
          <t>Matière/timbres, dynamique, layering</t>
        </is>
      </c>
      <c r="F61" s="117" t="inlineStr">
        <is>
          <t>Pas idéal avec IEM ultra-sensibles ni casques difficiles</t>
        </is>
      </c>
      <c r="G61" s="118" t="n">
        <v>8.800000000000001</v>
      </c>
      <c r="H61" s="119" t="n">
        <v>8</v>
      </c>
      <c r="I61" s="119" t="n">
        <v>8.800000000000001</v>
      </c>
      <c r="J61" s="119" t="n">
        <v>8.699999999999999</v>
      </c>
      <c r="K61" s="119" t="n">
        <v>8.9</v>
      </c>
      <c r="L61" s="119" t="n">
        <v>9.1</v>
      </c>
      <c r="M61" s="119" t="n">
        <v>9</v>
      </c>
      <c r="N61" s="119" t="n">
        <v>7.5</v>
      </c>
      <c r="O61" s="119" t="n">
        <v>8</v>
      </c>
      <c r="P61" s="119" t="n">
        <v>8.300000000000001</v>
      </c>
      <c r="Q61" s="158">
        <f>IF(COUNT(G61:P61)=10,ROUND((G61*'Pondérations'!$B$5+H61*'Pondérations'!$B$6+I61*'Pondérations'!$B$7+J61*'Pondérations'!$B$8+K61*'Pondérations'!$B$9+L61*'Pondérations'!$B$10+M61*'Pondérations'!$B$11+N61*'Pondérations'!$B$12+O61*'Pondérations'!$B$13+P61*'Pondérations'!$B$14)/'Pondérations'!$B$16,3),"")</f>
        <v/>
      </c>
      <c r="R61" s="159">
        <f>IF(Q61="","",1+COUNTIF($Q$7:$Q$178,"&gt;"&amp;Q61)+COUNTIF($Q$7:Q61,Q61)-1)</f>
        <v/>
      </c>
      <c r="S61" s="122" t="n"/>
      <c r="T61" s="117" t="n"/>
      <c r="U61" s="117" t="n"/>
      <c r="V61" s="123" t="inlineStr">
        <is>
          <t>Élevée</t>
        </is>
      </c>
      <c r="W61" s="117" t="inlineStr">
        <is>
          <t>Headfonics import</t>
        </is>
      </c>
      <c r="X61" s="118" t="n">
        <v>7.9</v>
      </c>
      <c r="Y61" s="123" t="inlineStr">
        <is>
          <t>Reader</t>
        </is>
      </c>
      <c r="Z61" s="124" t="n">
        <v>45691</v>
      </c>
      <c r="AA61" s="125" t="n">
        <v>2</v>
      </c>
      <c r="AB61" s="126" t="inlineStr">
        <is>
          <t>https://headfonics.com/?s=ddHiFi+TC35M2</t>
        </is>
      </c>
      <c r="AC61" s="117" t="inlineStr">
        <is>
          <t>Tiny 384 kHz USB-C DAC to 3.5 mm converter</t>
        </is>
      </c>
      <c r="AD61" s="123" t="inlineStr">
        <is>
          <t>Ajout Headfonics</t>
        </is>
      </c>
      <c r="AE61" s="125" t="n">
        <v>38</v>
      </c>
      <c r="AF61" s="138" t="n">
        <v>32</v>
      </c>
      <c r="AG61" s="122" t="inlineStr">
        <is>
          <t>Très petit DAC surtout remarquable par sa commodité, pas par ses performances absolues.</t>
        </is>
      </c>
      <c r="AH61" s="117" t="inlineStr">
        <is>
          <t>Neutre fonctionnel.</t>
        </is>
      </c>
      <c r="AI61" s="117" t="inlineStr">
        <is>
          <t>Clarté correcte mais détail médium limité.</t>
        </is>
      </c>
      <c r="AJ61" s="117" t="inlineStr">
        <is>
          <t>Pas idéal avec IEM ultra-sensibles ni casques difficiles.</t>
        </is>
      </c>
      <c r="AK61" s="117" t="inlineStr">
        <is>
          <t>https://headfonics.com/ddhifi-tc35m2-review/</t>
        </is>
      </c>
      <c r="AL61" s="125" t="n">
        <v>3</v>
      </c>
      <c r="AM61" s="123" t="inlineStr">
        <is>
          <t>Élevée — 3+ sources, domaines variés</t>
        </is>
      </c>
      <c r="AN61" s="117" t="inlineStr">
        <is>
          <t>https://www.head-fi.org/showcase/ddhifi-tc35m2.27896/reviews</t>
        </is>
      </c>
      <c r="AO61" s="128" t="inlineStr">
        <is>
          <t>https://www.audioreviews.org/ddhifi-tc35cm2-review/</t>
        </is>
      </c>
      <c r="AP61" s="117" t="n"/>
      <c r="AQ61" s="123" t="inlineStr">
        <is>
          <t>Objectif atteint</t>
        </is>
      </c>
      <c r="AR61" s="117" t="inlineStr">
        <is>
          <t>Head-Fi reviews: 1; Review éditoriale: 2</t>
        </is>
      </c>
    </row>
    <row r="62" ht="54" customHeight="1">
      <c r="A62" s="129" t="inlineStr">
        <is>
          <t>iFi audio</t>
        </is>
      </c>
      <c r="B62" s="129" t="inlineStr">
        <is>
          <t>GO link Max</t>
        </is>
      </c>
      <c r="C62" s="129" t="inlineStr">
        <is>
          <t>Portable Amp/DAC (Headfonics)</t>
        </is>
      </c>
      <c r="D62" s="129" t="inlineStr">
        <is>
          <t>Coloré, grave plutôt maigre.</t>
        </is>
      </c>
      <c r="E62" s="129" t="inlineStr">
        <is>
          <t>Propreté/contrôle, dynamique, microdétail</t>
        </is>
      </c>
      <c r="F62" s="129" t="inlineStr">
        <is>
          <t>Grave lean selon les associations</t>
        </is>
      </c>
      <c r="G62" s="130" t="n">
        <v>8.4</v>
      </c>
      <c r="H62" s="131" t="n">
        <v>8.9</v>
      </c>
      <c r="I62" s="131" t="n">
        <v>8.6</v>
      </c>
      <c r="J62" s="131" t="n">
        <v>8.6</v>
      </c>
      <c r="K62" s="131" t="n">
        <v>8.199999999999999</v>
      </c>
      <c r="L62" s="131" t="n">
        <v>8.199999999999999</v>
      </c>
      <c r="M62" s="131" t="n">
        <v>8</v>
      </c>
      <c r="N62" s="131" t="n">
        <v>8.699999999999999</v>
      </c>
      <c r="O62" s="131" t="n">
        <v>9.5</v>
      </c>
      <c r="P62" s="131" t="n">
        <v>8.1</v>
      </c>
      <c r="Q62" s="158">
        <f>IF(COUNT(G62:P62)=10,ROUND((G62*'Pondérations'!$B$5+H62*'Pondérations'!$B$6+I62*'Pondérations'!$B$7+J62*'Pondérations'!$B$8+K62*'Pondérations'!$B$9+L62*'Pondérations'!$B$10+M62*'Pondérations'!$B$11+N62*'Pondérations'!$B$12+O62*'Pondérations'!$B$13+P62*'Pondérations'!$B$14)/'Pondérations'!$B$16,3),"")</f>
        <v/>
      </c>
      <c r="R62" s="159">
        <f>IF(Q62="","",1+COUNTIF($Q$7:$Q$178,"&gt;"&amp;Q62)+COUNTIF($Q$7:Q62,Q62)-1)</f>
        <v/>
      </c>
      <c r="S62" s="132" t="n"/>
      <c r="T62" s="129" t="n"/>
      <c r="U62" s="129" t="n"/>
      <c r="V62" s="133" t="inlineStr">
        <is>
          <t>Élevée</t>
        </is>
      </c>
      <c r="W62" s="129" t="inlineStr">
        <is>
          <t>Headfonics import</t>
        </is>
      </c>
      <c r="X62" s="130" t="n">
        <v>7.8</v>
      </c>
      <c r="Y62" s="133" t="inlineStr">
        <is>
          <t>Reader</t>
        </is>
      </c>
      <c r="Z62" s="134" t="n">
        <v>45672</v>
      </c>
      <c r="AA62" s="135" t="n">
        <v>2</v>
      </c>
      <c r="AB62" s="139" t="inlineStr">
        <is>
          <t>https://headfonics.com/?s=iFi+audio+GO+link+Max</t>
        </is>
      </c>
      <c r="AC62" s="129" t="inlineStr">
        <is>
          <t>Compact DSD256-capable dongle DAC</t>
        </is>
      </c>
      <c r="AD62" s="133" t="inlineStr">
        <is>
          <t>Ajout Headfonics</t>
        </is>
      </c>
      <c r="AE62" s="135" t="n">
        <v>39</v>
      </c>
      <c r="AF62" s="136" t="n">
        <v>69</v>
      </c>
      <c r="AG62" s="132" t="inlineStr">
        <is>
          <t>Petit dongle étonnamment puissant, mais avec une coloration qui peut réduire la polyvalence d’association.</t>
        </is>
      </c>
      <c r="AH62" s="129" t="inlineStr">
        <is>
          <t>Coloré, grave plutôt maigre.</t>
        </is>
      </c>
      <c r="AI62" s="129" t="inlineStr">
        <is>
          <t>Bonne énergie et puissance pour le format.</t>
        </is>
      </c>
      <c r="AJ62" s="129" t="inlineStr">
        <is>
          <t>Grave lean selon les associations.</t>
        </is>
      </c>
      <c r="AK62" s="129" t="inlineStr">
        <is>
          <t>https://headfonics.com/ifi-audio-go-link-max-review/</t>
        </is>
      </c>
      <c r="AL62" s="135" t="n">
        <v>4</v>
      </c>
      <c r="AM62" s="133" t="inlineStr">
        <is>
          <t>Élevée — 3+ sources, domaines variés</t>
        </is>
      </c>
      <c r="AN62" s="129" t="inlineStr">
        <is>
          <t>https://www.head-fi.org/showcase/ifi-audio-go-link-max.27729/reviews</t>
        </is>
      </c>
      <c r="AO62" s="137" t="inlineStr">
        <is>
          <t>https://www.whathifi.com/reviews/ifi-go-link-max</t>
        </is>
      </c>
      <c r="AP62" s="129" t="inlineStr">
        <is>
          <t>https://primeaudio.org/ifi-go-link-max-review/</t>
        </is>
      </c>
      <c r="AQ62" s="133" t="inlineStr">
        <is>
          <t>Objectif atteint</t>
        </is>
      </c>
      <c r="AR62" s="129" t="inlineStr">
        <is>
          <t>Head-Fi reviews: 1; Review éditoriale: 3</t>
        </is>
      </c>
    </row>
    <row r="63" ht="54" customHeight="1">
      <c r="A63" s="117" t="inlineStr">
        <is>
          <t>Heartfield</t>
        </is>
      </c>
      <c r="B63" s="117" t="inlineStr">
        <is>
          <t>R1</t>
        </is>
      </c>
      <c r="C63" s="117" t="inlineStr">
        <is>
          <t>Portable Amp/DAC (Headfonics)</t>
        </is>
      </c>
      <c r="D63" s="117" t="inlineStr">
        <is>
          <t>Chaud, analogique.</t>
        </is>
      </c>
      <c r="E63" s="117" t="inlineStr">
        <is>
          <t>Matière/timbres, image 3d, profondeur</t>
        </is>
      </c>
      <c r="F63" s="117" t="inlineStr">
        <is>
          <t>Distorsion/pops et qualité de construction signalés</t>
        </is>
      </c>
      <c r="G63" s="118" t="n">
        <v>7.5</v>
      </c>
      <c r="H63" s="119" t="n">
        <v>8.9</v>
      </c>
      <c r="I63" s="119" t="n">
        <v>8.9</v>
      </c>
      <c r="J63" s="119" t="n">
        <v>8.9</v>
      </c>
      <c r="K63" s="119" t="n">
        <v>8.9</v>
      </c>
      <c r="L63" s="119" t="n">
        <v>8.199999999999999</v>
      </c>
      <c r="M63" s="119" t="n">
        <v>7.5</v>
      </c>
      <c r="N63" s="119" t="n">
        <v>8.699999999999999</v>
      </c>
      <c r="O63" s="119" t="n">
        <v>8</v>
      </c>
      <c r="P63" s="119" t="n">
        <v>8.6</v>
      </c>
      <c r="Q63" s="158">
        <f>IF(COUNT(G63:P63)=10,ROUND((G63*'Pondérations'!$B$5+H63*'Pondérations'!$B$6+I63*'Pondérations'!$B$7+J63*'Pondérations'!$B$8+K63*'Pondérations'!$B$9+L63*'Pondérations'!$B$10+M63*'Pondérations'!$B$11+N63*'Pondérations'!$B$12+O63*'Pondérations'!$B$13+P63*'Pondérations'!$B$14)/'Pondérations'!$B$16,3),"")</f>
        <v/>
      </c>
      <c r="R63" s="159">
        <f>IF(Q63="","",1+COUNTIF($Q$7:$Q$178,"&gt;"&amp;Q63)+COUNTIF($Q$7:Q63,Q63)-1)</f>
        <v/>
      </c>
      <c r="S63" s="122" t="n"/>
      <c r="T63" s="117" t="n"/>
      <c r="U63" s="117" t="n"/>
      <c r="V63" s="123" t="inlineStr">
        <is>
          <t>Élevée</t>
        </is>
      </c>
      <c r="W63" s="117" t="inlineStr">
        <is>
          <t>Headfonics import</t>
        </is>
      </c>
      <c r="X63" s="118" t="n">
        <v>7.7</v>
      </c>
      <c r="Y63" s="123" t="inlineStr">
        <is>
          <t>Reader</t>
        </is>
      </c>
      <c r="Z63" s="124" t="n">
        <v>45665</v>
      </c>
      <c r="AA63" s="125" t="n">
        <v>2</v>
      </c>
      <c r="AB63" s="126" t="inlineStr">
        <is>
          <t>https://headfonics.com/?s=Heartfield+R1</t>
        </is>
      </c>
      <c r="AC63" s="117" t="inlineStr">
        <is>
          <t>64-resistor R2R balanced dongle DAC</t>
        </is>
      </c>
      <c r="AD63" s="123" t="inlineStr">
        <is>
          <t>Ajout Headfonics</t>
        </is>
      </c>
      <c r="AE63" s="125" t="n">
        <v>40</v>
      </c>
      <c r="AF63" s="138" t="n">
        <v>140</v>
      </c>
      <c r="AG63" s="122" t="inlineStr">
        <is>
          <t>R2R chaleureux et naturel, séduisant pour la musicalité plus que pour l’analyse.</t>
        </is>
      </c>
      <c r="AH63" s="117" t="inlineStr">
        <is>
          <t>Chaud, analogique.</t>
        </is>
      </c>
      <c r="AI63" s="117" t="inlineStr">
        <is>
          <t>Bonne sensation organique et clarté correcte.</t>
        </is>
      </c>
      <c r="AJ63" s="117" t="inlineStr">
        <is>
          <t>Distorsion/pops et qualité de construction signalés; formats haute résolution limités.</t>
        </is>
      </c>
      <c r="AK63" s="117" t="inlineStr">
        <is>
          <t>https://headfonics.com/heartfield-r1-review/</t>
        </is>
      </c>
      <c r="AL63" s="125" t="n">
        <v>3</v>
      </c>
      <c r="AM63" s="123" t="inlineStr">
        <is>
          <t>Élevée — 3+ sources, domaines variés</t>
        </is>
      </c>
      <c r="AN63" s="117" t="inlineStr">
        <is>
          <t>https://www.head-fi.org/showcase/heartfield-r1.27610/</t>
        </is>
      </c>
      <c r="AO63" s="128" t="inlineStr">
        <is>
          <t>https://www.linsoul.com/products/heartfield-r1</t>
        </is>
      </c>
      <c r="AP63" s="117" t="inlineStr">
        <is>
          <t>https://www.audiophile-heaven.com/2024/10/heartfield-r1-r2r-hifi-portable-dac-amp-low-mass-music-class.html</t>
        </is>
      </c>
      <c r="AQ63" s="123" t="inlineStr">
        <is>
          <t>Objectif atteint</t>
        </is>
      </c>
      <c r="AR63" s="117" t="inlineStr">
        <is>
          <t>Head-Fi reviews: 1; Review éditoriale: 2</t>
        </is>
      </c>
    </row>
    <row r="64" ht="54" customHeight="1">
      <c r="A64" s="129" t="inlineStr">
        <is>
          <t>iBasso</t>
        </is>
      </c>
      <c r="B64" s="129" t="inlineStr">
        <is>
          <t>PB5 Osprey</t>
        </is>
      </c>
      <c r="C64" s="129" t="inlineStr">
        <is>
          <t>Portable Amp/DAC (Headfonics)</t>
        </is>
      </c>
      <c r="D64" s="129" t="inlineStr">
        <is>
          <t>Tube riche, lisse et plein.</t>
        </is>
      </c>
      <c r="E64" s="129" t="inlineStr">
        <is>
          <t>Matière/timbres, puissance, profondeur</t>
        </is>
      </c>
      <c r="F64" s="129" t="inlineStr">
        <is>
          <t>Pas d’entrée single-ended</t>
        </is>
      </c>
      <c r="G64" s="130" t="n">
        <v>8.9</v>
      </c>
      <c r="H64" s="131" t="n">
        <v>8.800000000000001</v>
      </c>
      <c r="I64" s="131" t="n">
        <v>9</v>
      </c>
      <c r="J64" s="131" t="n">
        <v>8.9</v>
      </c>
      <c r="K64" s="131" t="n">
        <v>9</v>
      </c>
      <c r="L64" s="131" t="n">
        <v>9.5</v>
      </c>
      <c r="M64" s="131" t="n">
        <v>8.9</v>
      </c>
      <c r="N64" s="131" t="n">
        <v>9.300000000000001</v>
      </c>
      <c r="O64" s="131" t="n">
        <v>7.2</v>
      </c>
      <c r="P64" s="131" t="n">
        <v>8.6</v>
      </c>
      <c r="Q64" s="158">
        <f>IF(COUNT(G64:P64)=10,ROUND((G64*'Pondérations'!$B$5+H64*'Pondérations'!$B$6+I64*'Pondérations'!$B$7+J64*'Pondérations'!$B$8+K64*'Pondérations'!$B$9+L64*'Pondérations'!$B$10+M64*'Pondérations'!$B$11+N64*'Pondérations'!$B$12+O64*'Pondérations'!$B$13+P64*'Pondérations'!$B$14)/'Pondérations'!$B$16,3),"")</f>
        <v/>
      </c>
      <c r="R64" s="159">
        <f>IF(Q64="","",1+COUNTIF($Q$7:$Q$178,"&gt;"&amp;Q64)+COUNTIF($Q$7:Q64,Q64)-1)</f>
        <v/>
      </c>
      <c r="S64" s="132" t="n"/>
      <c r="T64" s="129" t="n"/>
      <c r="U64" s="129" t="n"/>
      <c r="V64" s="133" t="inlineStr">
        <is>
          <t>Élevée</t>
        </is>
      </c>
      <c r="W64" s="129" t="inlineStr">
        <is>
          <t>Headfonics import</t>
        </is>
      </c>
      <c r="X64" s="130" t="n">
        <v>9</v>
      </c>
      <c r="Y64" s="133" t="inlineStr">
        <is>
          <t>Reader</t>
        </is>
      </c>
      <c r="Z64" s="134" t="n">
        <v>45647</v>
      </c>
      <c r="AA64" s="135" t="n">
        <v>3</v>
      </c>
      <c r="AB64" s="139" t="inlineStr">
        <is>
          <t>https://headfonics.com/?s=iBasso+PB5+Osprey</t>
        </is>
      </c>
      <c r="AC64" s="129" t="inlineStr">
        <is>
          <t>Dual Nutube 6P1 portable headphone amplifier, up to 1.7 W</t>
        </is>
      </c>
      <c r="AD64" s="133" t="inlineStr">
        <is>
          <t>Ajout Headfonics</t>
        </is>
      </c>
      <c r="AE64" s="135" t="n">
        <v>42</v>
      </c>
      <c r="AF64" s="136" t="n">
        <v>1317</v>
      </c>
      <c r="AG64" s="132" t="inlineStr">
        <is>
          <t>Ampli tube portable très doux, dense et charnu, avec une excellente plage dynamique et beaucoup de puissance propre.</t>
        </is>
      </c>
      <c r="AH64" s="129" t="inlineStr">
        <is>
          <t>Tube riche, lisse et plein.</t>
        </is>
      </c>
      <c r="AI64" s="129" t="inlineStr">
        <is>
          <t>Bonne dynamique, ampleur et compatibilité IEM/casque.</t>
        </is>
      </c>
      <c r="AJ64" s="129" t="inlineStr">
        <is>
          <t>Pas d’entrée single-ended; format simple et assez gros.</t>
        </is>
      </c>
      <c r="AK64" s="129" t="inlineStr">
        <is>
          <t>https://headfonics.com/ibasso-pb5-osprey-review/</t>
        </is>
      </c>
      <c r="AL64" s="135" t="n">
        <v>4</v>
      </c>
      <c r="AM64" s="133" t="inlineStr">
        <is>
          <t>Élevée — 3+ sources, domaines variés</t>
        </is>
      </c>
      <c r="AN64" s="129" t="inlineStr">
        <is>
          <t>https://www.headfonia.com/ibasso-pb5-review/</t>
        </is>
      </c>
      <c r="AO64" s="137" t="inlineStr">
        <is>
          <t>https://www.audiodiscourse.com/2024/04/ibasso-pb5-osprey-nutube-portable.html</t>
        </is>
      </c>
      <c r="AP64" s="129" t="inlineStr">
        <is>
          <t>https://www.audiophile-heaven.com/2024/09/ibasso-pb5-osprey-hifi-tube-amplifier-apex-analogic-musicality.html</t>
        </is>
      </c>
      <c r="AQ64" s="133" t="inlineStr">
        <is>
          <t>Objectif atteint</t>
        </is>
      </c>
      <c r="AR64" s="129" t="inlineStr">
        <is>
          <t>Review éditoriale: 4</t>
        </is>
      </c>
    </row>
    <row r="65" ht="54" customHeight="1">
      <c r="A65" s="117" t="inlineStr">
        <is>
          <t>FiiO</t>
        </is>
      </c>
      <c r="B65" s="117" t="inlineStr">
        <is>
          <t>KA15</t>
        </is>
      </c>
      <c r="C65" s="117" t="inlineStr">
        <is>
          <t>Portable Amp/DAC (Headfonics)</t>
        </is>
      </c>
      <c r="D65" s="117" t="inlineStr">
        <is>
          <t>Plutôt neutre et adaptable.</t>
        </is>
      </c>
      <c r="E65" s="117" t="inlineStr">
        <is>
          <t>Matière/timbres, profondeur, image 3d</t>
        </is>
      </c>
      <c r="F65" s="117" t="inlineStr">
        <is>
          <t>Léger bruit de fond en symétrique avec certains IEM sensibles</t>
        </is>
      </c>
      <c r="G65" s="118" t="n">
        <v>8.699999999999999</v>
      </c>
      <c r="H65" s="119" t="n">
        <v>8.5</v>
      </c>
      <c r="I65" s="119" t="n">
        <v>8.699999999999999</v>
      </c>
      <c r="J65" s="119" t="n">
        <v>8.6</v>
      </c>
      <c r="K65" s="119" t="n">
        <v>8.6</v>
      </c>
      <c r="L65" s="119" t="n">
        <v>9.1</v>
      </c>
      <c r="M65" s="119" t="n">
        <v>8.800000000000001</v>
      </c>
      <c r="N65" s="119" t="n">
        <v>8.9</v>
      </c>
      <c r="O65" s="119" t="n">
        <v>9.5</v>
      </c>
      <c r="P65" s="119" t="n">
        <v>8</v>
      </c>
      <c r="Q65" s="158">
        <f>IF(COUNT(G65:P65)=10,ROUND((G65*'Pondérations'!$B$5+H65*'Pondérations'!$B$6+I65*'Pondérations'!$B$7+J65*'Pondérations'!$B$8+K65*'Pondérations'!$B$9+L65*'Pondérations'!$B$10+M65*'Pondérations'!$B$11+N65*'Pondérations'!$B$12+O65*'Pondérations'!$B$13+P65*'Pondérations'!$B$14)/'Pondérations'!$B$16,3),"")</f>
        <v/>
      </c>
      <c r="R65" s="159">
        <f>IF(Q65="","",1+COUNTIF($Q$7:$Q$178,"&gt;"&amp;Q65)+COUNTIF($Q$7:Q65,Q65)-1)</f>
        <v/>
      </c>
      <c r="S65" s="122" t="n"/>
      <c r="T65" s="117" t="n"/>
      <c r="U65" s="117" t="n"/>
      <c r="V65" s="123" t="inlineStr">
        <is>
          <t>Élevée</t>
        </is>
      </c>
      <c r="W65" s="117" t="inlineStr">
        <is>
          <t>Headfonics import</t>
        </is>
      </c>
      <c r="X65" s="118" t="n">
        <v>8.1</v>
      </c>
      <c r="Y65" s="123" t="inlineStr">
        <is>
          <t>Reader</t>
        </is>
      </c>
      <c r="Z65" s="124" t="n">
        <v>45619</v>
      </c>
      <c r="AA65" s="125" t="n">
        <v>3</v>
      </c>
      <c r="AB65" s="126" t="inlineStr">
        <is>
          <t>https://headfonics.com/?s=FiiO+KA15</t>
        </is>
      </c>
      <c r="AC65" s="117" t="inlineStr">
        <is>
          <t>Dual CS43198 dongle DAC, up to 500 mW</t>
        </is>
      </c>
      <c r="AD65" s="123" t="inlineStr">
        <is>
          <t>Ajout Headfonics</t>
        </is>
      </c>
      <c r="AE65" s="125" t="n">
        <v>43</v>
      </c>
      <c r="AF65" s="127" t="n">
        <v>109</v>
      </c>
      <c r="AG65" s="122" t="inlineStr">
        <is>
          <t>Dongle polyvalent et puissant, avec beaucoup d’options de personnalisation et un bon rapport fonctionnalités/prix.</t>
        </is>
      </c>
      <c r="AH65" s="117" t="inlineStr">
        <is>
          <t>Plutôt neutre et adaptable.</t>
        </is>
      </c>
      <c r="AI65" s="117" t="inlineStr">
        <is>
          <t>Bonne puissance; performance générale solide.</t>
        </is>
      </c>
      <c r="AJ65" s="117" t="inlineStr">
        <is>
          <t>Léger bruit de fond en symétrique avec certains IEM sensibles; menus moins intuitifs sans app.</t>
        </is>
      </c>
      <c r="AK65" s="117" t="inlineStr">
        <is>
          <t>https://headfonics.com/fiio-ka15-review/</t>
        </is>
      </c>
      <c r="AL65" s="125" t="n">
        <v>4</v>
      </c>
      <c r="AM65" s="123" t="inlineStr">
        <is>
          <t>Élevée — 3+ sources, domaines variés</t>
        </is>
      </c>
      <c r="AN65" s="117" t="inlineStr">
        <is>
          <t>https://www.head-fi.org/showcase/fiio-ka15-dac-and-headphone-amplifier.27557/reviews</t>
        </is>
      </c>
      <c r="AO65" s="128" t="inlineStr">
        <is>
          <t>https://www.headfonia.com/fiio-ka15-review/</t>
        </is>
      </c>
      <c r="AP65" s="117" t="inlineStr">
        <is>
          <t>https://moonstarreviews.net/fiio-ka15-review/</t>
        </is>
      </c>
      <c r="AQ65" s="123" t="inlineStr">
        <is>
          <t>Objectif atteint</t>
        </is>
      </c>
      <c r="AR65" s="117" t="inlineStr">
        <is>
          <t>Head-Fi reviews: 1; Review éditoriale: 3</t>
        </is>
      </c>
    </row>
    <row r="66" ht="54" customHeight="1">
      <c r="A66" s="129" t="inlineStr">
        <is>
          <t>TempoTec</t>
        </is>
      </c>
      <c r="B66" s="129" t="inlineStr">
        <is>
          <t>Sonata BHD Pro</t>
        </is>
      </c>
      <c r="C66" s="129" t="inlineStr">
        <is>
          <t>Portable Amp/DAC (Headfonics)</t>
        </is>
      </c>
      <c r="D66" s="129" t="inlineStr">
        <is>
          <t>Neutre variable selon pairing.</t>
        </is>
      </c>
      <c r="E66" s="129" t="inlineStr">
        <is>
          <t>Matière/timbres, image 3d, profondeur</t>
        </is>
      </c>
      <c r="F66" s="129" t="inlineStr">
        <is>
          <t>Synergie parfois difficile</t>
        </is>
      </c>
      <c r="G66" s="130" t="n">
        <v>8</v>
      </c>
      <c r="H66" s="131" t="n">
        <v>8.199999999999999</v>
      </c>
      <c r="I66" s="131" t="n">
        <v>8.800000000000001</v>
      </c>
      <c r="J66" s="131" t="n">
        <v>8.800000000000001</v>
      </c>
      <c r="K66" s="131" t="n">
        <v>8.800000000000001</v>
      </c>
      <c r="L66" s="131" t="n">
        <v>8</v>
      </c>
      <c r="M66" s="131" t="n">
        <v>6.5</v>
      </c>
      <c r="N66" s="131" t="n">
        <v>8.699999999999999</v>
      </c>
      <c r="O66" s="131" t="n">
        <v>9.5</v>
      </c>
      <c r="P66" s="131" t="n">
        <v>8.4</v>
      </c>
      <c r="Q66" s="158">
        <f>IF(COUNT(G66:P66)=10,ROUND((G66*'Pondérations'!$B$5+H66*'Pondérations'!$B$6+I66*'Pondérations'!$B$7+J66*'Pondérations'!$B$8+K66*'Pondérations'!$B$9+L66*'Pondérations'!$B$10+M66*'Pondérations'!$B$11+N66*'Pondérations'!$B$12+O66*'Pondérations'!$B$13+P66*'Pondérations'!$B$14)/'Pondérations'!$B$16,3),"")</f>
        <v/>
      </c>
      <c r="R66" s="159">
        <f>IF(Q66="","",1+COUNTIF($Q$7:$Q$178,"&gt;"&amp;Q66)+COUNTIF($Q$7:Q66,Q66)-1)</f>
        <v/>
      </c>
      <c r="S66" s="132" t="n"/>
      <c r="T66" s="129" t="n"/>
      <c r="U66" s="129" t="n"/>
      <c r="V66" s="133" t="inlineStr">
        <is>
          <t>Élevée</t>
        </is>
      </c>
      <c r="W66" s="129" t="inlineStr">
        <is>
          <t>Headfonics import</t>
        </is>
      </c>
      <c r="X66" s="130" t="n">
        <v>7</v>
      </c>
      <c r="Y66" s="133" t="inlineStr">
        <is>
          <t>Reader</t>
        </is>
      </c>
      <c r="Z66" s="134" t="n">
        <v>45609</v>
      </c>
      <c r="AA66" s="135" t="n">
        <v>3</v>
      </c>
      <c r="AB66" s="139" t="inlineStr">
        <is>
          <t>https://headfonics.com/?s=TempoTec+Sonata+BHD+Pro</t>
        </is>
      </c>
      <c r="AC66" s="129" t="inlineStr">
        <is>
          <t>Dual CS43131 dongle DAC, up to 280 mW</t>
        </is>
      </c>
      <c r="AD66" s="133" t="inlineStr">
        <is>
          <t>Ajout Headfonics</t>
        </is>
      </c>
      <c r="AE66" s="135" t="n">
        <v>44</v>
      </c>
      <c r="AF66" s="136" t="n">
        <v>61</v>
      </c>
      <c r="AG66" s="132" t="inlineStr">
        <is>
          <t>Dongle compact et assez puissant pour IEM et casques faciles, mais plus sensible aux associations.</t>
        </is>
      </c>
      <c r="AH66" s="129" t="inlineStr">
        <is>
          <t>Neutre variable selon pairing.</t>
        </is>
      </c>
      <c r="AI66" s="129" t="inlineStr">
        <is>
          <t>Correct techniquement pour le prix.</t>
        </is>
      </c>
      <c r="AJ66" s="129" t="inlineStr">
        <is>
          <t>Synergie parfois difficile; moins convaincant avec certains casques/IEM.</t>
        </is>
      </c>
      <c r="AK66" s="129" t="inlineStr">
        <is>
          <t>https://headfonics.com/tempotec-sonata-bhd-pro-review/</t>
        </is>
      </c>
      <c r="AL66" s="135" t="n">
        <v>3</v>
      </c>
      <c r="AM66" s="133" t="inlineStr">
        <is>
          <t>Élevée — 3+ sources, domaines variés</t>
        </is>
      </c>
      <c r="AN66" s="129" t="inlineStr">
        <is>
          <t>https://www.head-fi.org/showcase/tempotec-sonata-bhd-pro.26579/reviews</t>
        </is>
      </c>
      <c r="AO66" s="137" t="inlineStr">
        <is>
          <t>https://forum.hifiguides.com/t/tempotec-sonata-bhd-pro-review/41099</t>
        </is>
      </c>
      <c r="AP66" s="129" t="n"/>
      <c r="AQ66" s="133" t="inlineStr">
        <is>
          <t>Objectif atteint</t>
        </is>
      </c>
      <c r="AR66" s="129" t="inlineStr">
        <is>
          <t>Forum / communauté: 1; Head-Fi reviews: 1; Review éditoriale: 1</t>
        </is>
      </c>
    </row>
    <row r="67" ht="54" customHeight="1">
      <c r="A67" s="117" t="inlineStr">
        <is>
          <t>iBasso</t>
        </is>
      </c>
      <c r="B67" s="117" t="inlineStr">
        <is>
          <t>D16 Taipan</t>
        </is>
      </c>
      <c r="C67" s="117" t="inlineStr">
        <is>
          <t>Portable Amp/DAC (Headfonics)</t>
        </is>
      </c>
      <c r="D67" s="117" t="inlineStr">
        <is>
          <t>Analogique, texturé, naturel.</t>
        </is>
      </c>
      <c r="E67" s="117" t="inlineStr">
        <is>
          <t>Image 3d, microdétail, layering</t>
        </is>
      </c>
      <c r="F67" s="117" t="inlineStr">
        <is>
          <t>Puissance insuffisante pour certains casques exigeants</t>
        </is>
      </c>
      <c r="G67" s="118" t="n">
        <v>9.300000000000001</v>
      </c>
      <c r="H67" s="119" t="n">
        <v>9.199999999999999</v>
      </c>
      <c r="I67" s="119" t="n">
        <v>9</v>
      </c>
      <c r="J67" s="119" t="n">
        <v>9.300000000000001</v>
      </c>
      <c r="K67" s="119" t="n">
        <v>9.1</v>
      </c>
      <c r="L67" s="119" t="n">
        <v>9.300000000000001</v>
      </c>
      <c r="M67" s="119" t="n">
        <v>9</v>
      </c>
      <c r="N67" s="119" t="n">
        <v>7</v>
      </c>
      <c r="O67" s="119" t="n">
        <v>8</v>
      </c>
      <c r="P67" s="119" t="n">
        <v>9.199999999999999</v>
      </c>
      <c r="Q67" s="158">
        <f>IF(COUNT(G67:P67)=10,ROUND((G67*'Pondérations'!$B$5+H67*'Pondérations'!$B$6+I67*'Pondérations'!$B$7+J67*'Pondérations'!$B$8+K67*'Pondérations'!$B$9+L67*'Pondérations'!$B$10+M67*'Pondérations'!$B$11+N67*'Pondérations'!$B$12+O67*'Pondérations'!$B$13+P67*'Pondérations'!$B$14)/'Pondérations'!$B$16,3),"")</f>
        <v/>
      </c>
      <c r="R67" s="159">
        <f>IF(Q67="","",1+COUNTIF($Q$7:$Q$178,"&gt;"&amp;Q67)+COUNTIF($Q$7:Q67,Q67)-1)</f>
        <v/>
      </c>
      <c r="S67" s="122" t="n"/>
      <c r="T67" s="117" t="n"/>
      <c r="U67" s="117" t="n"/>
      <c r="V67" s="123" t="inlineStr">
        <is>
          <t>Élevée</t>
        </is>
      </c>
      <c r="W67" s="117" t="inlineStr">
        <is>
          <t>Headfonics import</t>
        </is>
      </c>
      <c r="X67" s="118" t="n">
        <v>8.699999999999999</v>
      </c>
      <c r="Y67" s="123" t="inlineStr">
        <is>
          <t>Reader</t>
        </is>
      </c>
      <c r="Z67" s="124" t="n">
        <v>45591</v>
      </c>
      <c r="AA67" s="125" t="n">
        <v>3</v>
      </c>
      <c r="AB67" s="126" t="inlineStr">
        <is>
          <t>https://headfonics.com/?s=iBasso+D16+Taipan</t>
        </is>
      </c>
      <c r="AC67" s="117" t="inlineStr">
        <is>
          <t>Discrete 1-bit DAC + Super Class A amp, up to 1.125 W</t>
        </is>
      </c>
      <c r="AD67" s="123" t="inlineStr">
        <is>
          <t>Ajout Headfonics</t>
        </is>
      </c>
      <c r="AE67" s="125" t="n">
        <v>46</v>
      </c>
      <c r="AF67" s="127" t="n">
        <v>1490</v>
      </c>
      <c r="AG67" s="122" t="inlineStr">
        <is>
          <t>DAC/amp haut de gamme à la restitution analogique très texturée, avec une imagerie particulièrement immersive.</t>
        </is>
      </c>
      <c r="AH67" s="117" t="inlineStr">
        <is>
          <t>Analogique, texturé, naturel.</t>
        </is>
      </c>
      <c r="AI67" s="117" t="inlineStr">
        <is>
          <t>Imagerie holographique et grande finesse de placement.</t>
        </is>
      </c>
      <c r="AJ67" s="117" t="inlineStr">
        <is>
          <t>Puissance insuffisante pour certains casques exigeants; écran basique.</t>
        </is>
      </c>
      <c r="AK67" s="117" t="inlineStr">
        <is>
          <t>https://headfonics.com/ibasso-d16-taipan-review/</t>
        </is>
      </c>
      <c r="AL67" s="125" t="n">
        <v>4</v>
      </c>
      <c r="AM67" s="123" t="inlineStr">
        <is>
          <t>Élevée — 3+ sources, domaines variés</t>
        </is>
      </c>
      <c r="AN67" s="117" t="inlineStr">
        <is>
          <t>https://www.head-fi.org/showcase/ibasso-d16-taipan.27482/reviews</t>
        </is>
      </c>
      <c r="AO67" s="128" t="inlineStr">
        <is>
          <t>https://www.headfonia.com/ibasso-d16-review/</t>
        </is>
      </c>
      <c r="AP67" s="117" t="inlineStr">
        <is>
          <t>https://moonstarreviews.net/ibasso-d16-taipan-review/</t>
        </is>
      </c>
      <c r="AQ67" s="123" t="inlineStr">
        <is>
          <t>Objectif atteint</t>
        </is>
      </c>
      <c r="AR67" s="117" t="inlineStr">
        <is>
          <t>Head-Fi reviews: 1; Review éditoriale: 3</t>
        </is>
      </c>
    </row>
    <row r="68" ht="54" customHeight="1">
      <c r="A68" s="129" t="inlineStr">
        <is>
          <t>7Hz</t>
        </is>
      </c>
      <c r="B68" s="129" t="inlineStr">
        <is>
          <t>Artemis39</t>
        </is>
      </c>
      <c r="C68" s="129" t="inlineStr">
        <is>
          <t>Portable Amp/DAC (Headfonics)</t>
        </is>
      </c>
      <c r="D68" s="129" t="inlineStr">
        <is>
          <t>Plutôt neutre/énergique.</t>
        </is>
      </c>
      <c r="E68" s="129" t="inlineStr">
        <is>
          <t>Image 3d, matière/timbres, profondeur</t>
        </is>
      </c>
      <c r="F68" s="129" t="inlineStr">
        <is>
          <t>Le test met davantage en avant polyvalence et puissance que finesse sonore ultime</t>
        </is>
      </c>
      <c r="G68" s="130" t="n">
        <v>8.800000000000001</v>
      </c>
      <c r="H68" s="131" t="n">
        <v>8.6</v>
      </c>
      <c r="I68" s="131" t="n">
        <v>8.6</v>
      </c>
      <c r="J68" s="131" t="n">
        <v>8.6</v>
      </c>
      <c r="K68" s="131" t="n">
        <v>8.6</v>
      </c>
      <c r="L68" s="131" t="n">
        <v>8.9</v>
      </c>
      <c r="M68" s="131" t="n">
        <v>8.800000000000001</v>
      </c>
      <c r="N68" s="131" t="n">
        <v>8.800000000000001</v>
      </c>
      <c r="O68" s="131" t="n">
        <v>8</v>
      </c>
      <c r="P68" s="131" t="n">
        <v>8</v>
      </c>
      <c r="Q68" s="158">
        <f>IF(COUNT(G68:P68)=10,ROUND((G68*'Pondérations'!$B$5+H68*'Pondérations'!$B$6+I68*'Pondérations'!$B$7+J68*'Pondérations'!$B$8+K68*'Pondérations'!$B$9+L68*'Pondérations'!$B$10+M68*'Pondérations'!$B$11+N68*'Pondérations'!$B$12+O68*'Pondérations'!$B$13+P68*'Pondérations'!$B$14)/'Pondérations'!$B$16,3),"")</f>
        <v/>
      </c>
      <c r="R68" s="159">
        <f>IF(Q68="","",1+COUNTIF($Q$7:$Q$178,"&gt;"&amp;Q68)+COUNTIF($Q$7:Q68,Q68)-1)</f>
        <v/>
      </c>
      <c r="S68" s="132" t="n"/>
      <c r="T68" s="129" t="n"/>
      <c r="U68" s="129" t="n"/>
      <c r="V68" s="133" t="inlineStr">
        <is>
          <t>Élevée</t>
        </is>
      </c>
      <c r="W68" s="129" t="inlineStr">
        <is>
          <t>Headfonics import</t>
        </is>
      </c>
      <c r="X68" s="130" t="n">
        <v>8</v>
      </c>
      <c r="Y68" s="133" t="inlineStr">
        <is>
          <t>Reader</t>
        </is>
      </c>
      <c r="Z68" s="134" t="n">
        <v>45567</v>
      </c>
      <c r="AA68" s="135" t="n">
        <v>3</v>
      </c>
      <c r="AB68" s="139" t="inlineStr">
        <is>
          <t>https://headfonics.com/?s=7Hz+Artemis39</t>
        </is>
      </c>
      <c r="AC68" s="129" t="inlineStr">
        <is>
          <t>Wireless ES9039Q2M dongle DAC, LDAC, up to 405 mW</t>
        </is>
      </c>
      <c r="AD68" s="133" t="inlineStr">
        <is>
          <t>Ajout Headfonics</t>
        </is>
      </c>
      <c r="AE68" s="135" t="n">
        <v>47</v>
      </c>
      <c r="AF68" s="127" t="n">
        <v>149</v>
      </c>
      <c r="AG68" s="132" t="inlineStr">
        <is>
          <t>Portable sans-fil polyvalent et puissant, avec bonne autonomie et DAC de niveau desktop.</t>
        </is>
      </c>
      <c r="AH68" s="129" t="inlineStr">
        <is>
          <t>Plutôt neutre/énergique.</t>
        </is>
      </c>
      <c r="AI68" s="129" t="inlineStr">
        <is>
          <t>Bonne réserve de puissance; spatialisation correcte.</t>
        </is>
      </c>
      <c r="AJ68" s="129" t="inlineStr">
        <is>
          <t>Le test met davantage en avant polyvalence et puissance que finesse sonore ultime.</t>
        </is>
      </c>
      <c r="AK68" s="129" t="inlineStr">
        <is>
          <t>https://headfonics.com/7hz-artemis39-review/</t>
        </is>
      </c>
      <c r="AL68" s="135" t="n">
        <v>3</v>
      </c>
      <c r="AM68" s="133" t="inlineStr">
        <is>
          <t>Élevée — 3+ sources, domaines variés</t>
        </is>
      </c>
      <c r="AN68" s="129" t="inlineStr">
        <is>
          <t>https://www.head-fi.org/showcase/7hz-artemis-39.27382/reviews</t>
        </is>
      </c>
      <c r="AO68" s="137" t="inlineStr">
        <is>
          <t>https://www.youtube.com/watch?v=9_EumJz2pSc</t>
        </is>
      </c>
      <c r="AP68" s="129" t="n"/>
      <c r="AQ68" s="133" t="inlineStr">
        <is>
          <t>Objectif atteint</t>
        </is>
      </c>
      <c r="AR68" s="129" t="inlineStr">
        <is>
          <t>Head-Fi reviews: 1; Review éditoriale: 1; Vidéo review: 1</t>
        </is>
      </c>
    </row>
    <row r="69" ht="54" customHeight="1">
      <c r="A69" s="117" t="inlineStr">
        <is>
          <t>SMSL</t>
        </is>
      </c>
      <c r="B69" s="117" t="inlineStr">
        <is>
          <t>D10</t>
        </is>
      </c>
      <c r="C69" s="117" t="inlineStr">
        <is>
          <t>Portable Amp/DAC (Headfonics)</t>
        </is>
      </c>
      <c r="D69" s="117" t="inlineStr">
        <is>
          <t>Neutre/propre.</t>
        </is>
      </c>
      <c r="E69" s="117" t="inlineStr">
        <is>
          <t>Propreté/contrôle, microdétail, profondeur</t>
        </is>
      </c>
      <c r="F69" s="117" t="inlineStr">
        <is>
          <t>Grave peu incarné</t>
        </is>
      </c>
      <c r="G69" s="118" t="n">
        <v>9.1</v>
      </c>
      <c r="H69" s="119" t="n">
        <v>8.9</v>
      </c>
      <c r="I69" s="119" t="n">
        <v>8.699999999999999</v>
      </c>
      <c r="J69" s="119" t="n">
        <v>8.6</v>
      </c>
      <c r="K69" s="119" t="n">
        <v>8.800000000000001</v>
      </c>
      <c r="L69" s="119" t="n">
        <v>8.300000000000001</v>
      </c>
      <c r="M69" s="119" t="n">
        <v>8.9</v>
      </c>
      <c r="N69" s="119" t="n">
        <v>8.800000000000001</v>
      </c>
      <c r="O69" s="119" t="n">
        <v>9.5</v>
      </c>
      <c r="P69" s="119" t="n">
        <v>8.199999999999999</v>
      </c>
      <c r="Q69" s="158">
        <f>IF(COUNT(G69:P69)=10,ROUND((G69*'Pondérations'!$B$5+H69*'Pondérations'!$B$6+I69*'Pondérations'!$B$7+J69*'Pondérations'!$B$8+K69*'Pondérations'!$B$9+L69*'Pondérations'!$B$10+M69*'Pondérations'!$B$11+N69*'Pondérations'!$B$12+O69*'Pondérations'!$B$13+P69*'Pondérations'!$B$14)/'Pondérations'!$B$16,3),"")</f>
        <v/>
      </c>
      <c r="R69" s="159">
        <f>IF(Q69="","",1+COUNTIF($Q$7:$Q$178,"&gt;"&amp;Q69)+COUNTIF($Q$7:Q69,Q69)-1)</f>
        <v/>
      </c>
      <c r="S69" s="122" t="n"/>
      <c r="T69" s="117" t="n"/>
      <c r="U69" s="117" t="n"/>
      <c r="V69" s="123" t="inlineStr">
        <is>
          <t>Élevée</t>
        </is>
      </c>
      <c r="W69" s="117" t="inlineStr">
        <is>
          <t>Headfonics import</t>
        </is>
      </c>
      <c r="X69" s="118" t="n">
        <v>8.1</v>
      </c>
      <c r="Y69" s="123" t="inlineStr">
        <is>
          <t>Reader</t>
        </is>
      </c>
      <c r="Z69" s="124" t="n">
        <v>45555</v>
      </c>
      <c r="AA69" s="125" t="n">
        <v>3</v>
      </c>
      <c r="AB69" s="126" t="inlineStr">
        <is>
          <t>https://headfonics.com/?s=SMSL+D10</t>
        </is>
      </c>
      <c r="AC69" s="117" t="inlineStr">
        <is>
          <t>Dual CS43131 balanced dongle DAC, up to 500 mW</t>
        </is>
      </c>
      <c r="AD69" s="123" t="inlineStr">
        <is>
          <t>Ajout Headfonics</t>
        </is>
      </c>
      <c r="AE69" s="125" t="n">
        <v>48</v>
      </c>
      <c r="AF69" s="138" t="n">
        <v>62</v>
      </c>
      <c r="AG69" s="122" t="inlineStr">
        <is>
          <t>Dongle simple, propre et polyvalent, mais dont le grave est jugé assez stérile.</t>
        </is>
      </c>
      <c r="AH69" s="117" t="inlineStr">
        <is>
          <t>Neutre/propre.</t>
        </is>
      </c>
      <c r="AI69" s="117" t="inlineStr">
        <is>
          <t>Lisibilité correcte, scène sans caractère marquant.</t>
        </is>
      </c>
      <c r="AJ69" s="117" t="inlineStr">
        <is>
          <t>Grave peu incarné; pas d’application.</t>
        </is>
      </c>
      <c r="AK69" s="117" t="inlineStr">
        <is>
          <t>https://headfonics.com/smsl-d10-review/</t>
        </is>
      </c>
      <c r="AL69" s="125" t="n">
        <v>4</v>
      </c>
      <c r="AM69" s="123" t="inlineStr">
        <is>
          <t>Élevée — 3+ sources, domaines variés</t>
        </is>
      </c>
      <c r="AN69" s="117" t="inlineStr">
        <is>
          <t>https://www.head-fi.org/showcase/smsl-d10.27738/reviews</t>
        </is>
      </c>
      <c r="AO69" s="128" t="inlineStr">
        <is>
          <t>https://primeaudio.org/smsl-d10-review/</t>
        </is>
      </c>
      <c r="AP69" s="117" t="inlineStr">
        <is>
          <t>https://www.audioreviews.org/smsl-d10-review/</t>
        </is>
      </c>
      <c r="AQ69" s="123" t="inlineStr">
        <is>
          <t>Objectif atteint</t>
        </is>
      </c>
      <c r="AR69" s="117" t="inlineStr">
        <is>
          <t>Head-Fi reviews: 1; Review éditoriale: 3</t>
        </is>
      </c>
    </row>
    <row r="70" ht="54" customHeight="1">
      <c r="A70" s="129" t="inlineStr">
        <is>
          <t>FiiO</t>
        </is>
      </c>
      <c r="B70" s="129" t="inlineStr">
        <is>
          <t>JA11</t>
        </is>
      </c>
      <c r="C70" s="129" t="inlineStr">
        <is>
          <t>Portable Amp/DAC (Headfonics)</t>
        </is>
      </c>
      <c r="D70" s="129" t="inlineStr">
        <is>
          <t>Neutre.</t>
        </is>
      </c>
      <c r="E70" s="129" t="inlineStr">
        <is>
          <t>Layering, propreté/contrôle, microdétail</t>
        </is>
      </c>
      <c r="F70" s="129" t="inlineStr">
        <is>
          <t>Puissance moyenne</t>
        </is>
      </c>
      <c r="G70" s="130" t="n">
        <v>9.1</v>
      </c>
      <c r="H70" s="131" t="n">
        <v>8.9</v>
      </c>
      <c r="I70" s="131" t="n">
        <v>8.699999999999999</v>
      </c>
      <c r="J70" s="131" t="n">
        <v>8.699999999999999</v>
      </c>
      <c r="K70" s="131" t="n">
        <v>8.9</v>
      </c>
      <c r="L70" s="131" t="n">
        <v>8.9</v>
      </c>
      <c r="M70" s="131" t="n">
        <v>8.9</v>
      </c>
      <c r="N70" s="131" t="n">
        <v>7.5</v>
      </c>
      <c r="O70" s="131" t="n">
        <v>8</v>
      </c>
      <c r="P70" s="131" t="n">
        <v>8.300000000000001</v>
      </c>
      <c r="Q70" s="158">
        <f>IF(COUNT(G70:P70)=10,ROUND((G70*'Pondérations'!$B$5+H70*'Pondérations'!$B$6+I70*'Pondérations'!$B$7+J70*'Pondérations'!$B$8+K70*'Pondérations'!$B$9+L70*'Pondérations'!$B$10+M70*'Pondérations'!$B$11+N70*'Pondérations'!$B$12+O70*'Pondérations'!$B$13+P70*'Pondérations'!$B$14)/'Pondérations'!$B$16,3),"")</f>
        <v/>
      </c>
      <c r="R70" s="159">
        <f>IF(Q70="","",1+COUNTIF($Q$7:$Q$178,"&gt;"&amp;Q70)+COUNTIF($Q$7:Q70,Q70)-1)</f>
        <v/>
      </c>
      <c r="S70" s="132" t="n"/>
      <c r="T70" s="129" t="n"/>
      <c r="U70" s="129" t="n"/>
      <c r="V70" s="133" t="inlineStr">
        <is>
          <t>Élevée</t>
        </is>
      </c>
      <c r="W70" s="129" t="inlineStr">
        <is>
          <t>Headfonics import</t>
        </is>
      </c>
      <c r="X70" s="130" t="n">
        <v>7.5</v>
      </c>
      <c r="Y70" s="133" t="inlineStr">
        <is>
          <t>Reader</t>
        </is>
      </c>
      <c r="Z70" s="134" t="n">
        <v>45513</v>
      </c>
      <c r="AA70" s="135" t="n">
        <v>3</v>
      </c>
      <c r="AB70" s="139" t="inlineStr">
        <is>
          <t>https://headfonics.com/?s=FiiO+JA11</t>
        </is>
      </c>
      <c r="AC70" s="129" t="inlineStr">
        <is>
          <t>Portable dongle DAC/amp</t>
        </is>
      </c>
      <c r="AD70" s="133" t="inlineStr">
        <is>
          <t>Ajout Headfonics</t>
        </is>
      </c>
      <c r="AE70" s="135" t="n">
        <v>49</v>
      </c>
      <c r="AF70" s="136" t="n">
        <v>13</v>
      </c>
      <c r="AG70" s="132" t="inlineStr">
        <is>
          <t>Entrée de gamme très compétitive, neutre et légère, sans coloration marquée.</t>
        </is>
      </c>
      <c r="AH70" s="129" t="inlineStr">
        <is>
          <t>Neutre.</t>
        </is>
      </c>
      <c r="AI70" s="129" t="inlineStr">
        <is>
          <t>Correcte pour le prix; PEQ utile.</t>
        </is>
      </c>
      <c r="AJ70" s="129" t="inlineStr">
        <is>
          <t>Puissance moyenne; réglages avancés dépendants de l’app FiiO.</t>
        </is>
      </c>
      <c r="AK70" s="129" t="inlineStr">
        <is>
          <t>https://headfonics.com/fiio-ja11-review/</t>
        </is>
      </c>
      <c r="AL70" s="135" t="n">
        <v>4</v>
      </c>
      <c r="AM70" s="133" t="inlineStr">
        <is>
          <t>Élevée — 3+ sources, domaines variés</t>
        </is>
      </c>
      <c r="AN70" s="129" t="inlineStr">
        <is>
          <t>https://www.head-fi.org/showcase/fiio-ja11.27321/reviews</t>
        </is>
      </c>
      <c r="AO70" s="137" t="inlineStr">
        <is>
          <t>https://www.headfonia.com/fiio-ja11-review/</t>
        </is>
      </c>
      <c r="AP70" s="129" t="inlineStr">
        <is>
          <t>https://mobileaudiophile.com/dacs/dongle/fiio-ja11-review-peq-on-budget/</t>
        </is>
      </c>
      <c r="AQ70" s="133" t="inlineStr">
        <is>
          <t>Objectif atteint</t>
        </is>
      </c>
      <c r="AR70" s="129" t="inlineStr">
        <is>
          <t>Head-Fi reviews: 1; Review éditoriale: 3</t>
        </is>
      </c>
    </row>
    <row r="71" ht="54" customHeight="1">
      <c r="A71" s="117" t="inlineStr">
        <is>
          <t>Shanling</t>
        </is>
      </c>
      <c r="B71" s="117" t="inlineStr">
        <is>
          <t>H2</t>
        </is>
      </c>
      <c r="C71" s="117" t="inlineStr">
        <is>
          <t>Portable Amp/DAC (Headfonics)</t>
        </is>
      </c>
      <c r="D71" s="117" t="inlineStr">
        <is>
          <t>Doux/lisse.</t>
        </is>
      </c>
      <c r="E71" s="117" t="inlineStr">
        <is>
          <t>Image 3d, profondeur, propreté/contrôle</t>
        </is>
      </c>
      <c r="F71" s="117" t="inlineStr">
        <is>
          <t>Bluetooth ancien et application perfectible</t>
        </is>
      </c>
      <c r="G71" s="118" t="n">
        <v>9</v>
      </c>
      <c r="H71" s="119" t="n">
        <v>8.800000000000001</v>
      </c>
      <c r="I71" s="119" t="n">
        <v>8.699999999999999</v>
      </c>
      <c r="J71" s="119" t="n">
        <v>8.699999999999999</v>
      </c>
      <c r="K71" s="119" t="n">
        <v>8.800000000000001</v>
      </c>
      <c r="L71" s="119" t="n">
        <v>8.9</v>
      </c>
      <c r="M71" s="119" t="n">
        <v>8.9</v>
      </c>
      <c r="N71" s="119" t="n">
        <v>9</v>
      </c>
      <c r="O71" s="119" t="n">
        <v>9.300000000000001</v>
      </c>
      <c r="P71" s="119" t="n">
        <v>8.199999999999999</v>
      </c>
      <c r="Q71" s="158">
        <f>IF(COUNT(G71:P71)=10,ROUND((G71*'Pondérations'!$B$5+H71*'Pondérations'!$B$6+I71*'Pondérations'!$B$7+J71*'Pondérations'!$B$8+K71*'Pondérations'!$B$9+L71*'Pondérations'!$B$10+M71*'Pondérations'!$B$11+N71*'Pondérations'!$B$12+O71*'Pondérations'!$B$13+P71*'Pondérations'!$B$14)/'Pondérations'!$B$16,3),"")</f>
        <v/>
      </c>
      <c r="R71" s="159">
        <f>IF(Q71="","",1+COUNTIF($Q$7:$Q$178,"&gt;"&amp;Q71)+COUNTIF($Q$7:Q71,Q71)-1)</f>
        <v/>
      </c>
      <c r="S71" s="122" t="n"/>
      <c r="T71" s="117" t="n"/>
      <c r="U71" s="117" t="n"/>
      <c r="V71" s="123" t="inlineStr">
        <is>
          <t>Élevée</t>
        </is>
      </c>
      <c r="W71" s="117" t="inlineStr">
        <is>
          <t>Headfonics import</t>
        </is>
      </c>
      <c r="X71" s="118" t="n">
        <v>8.1</v>
      </c>
      <c r="Y71" s="123" t="inlineStr">
        <is>
          <t>Reader</t>
        </is>
      </c>
      <c r="Z71" s="124" t="n">
        <v>45509</v>
      </c>
      <c r="AA71" s="125" t="n">
        <v>3</v>
      </c>
      <c r="AB71" s="126" t="inlineStr">
        <is>
          <t>https://headfonics.com/?s=Shanling+H2</t>
        </is>
      </c>
      <c r="AC71" s="117" t="inlineStr">
        <is>
          <t>CS43198 portable DAC/headphone amp</t>
        </is>
      </c>
      <c r="AD71" s="123" t="inlineStr">
        <is>
          <t>Ajout Headfonics</t>
        </is>
      </c>
      <c r="AE71" s="125" t="n">
        <v>50</v>
      </c>
      <c r="AF71" s="138" t="n">
        <v>149</v>
      </c>
      <c r="AG71" s="122" t="inlineStr">
        <is>
          <t>Portable compact et très fonctionnel, avec une restitution douce et suffisamment de puissance pour beaucoup de casques.</t>
        </is>
      </c>
      <c r="AH71" s="117" t="inlineStr">
        <is>
          <t>Doux/lisse.</t>
        </is>
      </c>
      <c r="AI71" s="117" t="inlineStr">
        <is>
          <t>Bonne polyvalence plus que démonstration technique.</t>
        </is>
      </c>
      <c r="AJ71" s="117" t="inlineStr">
        <is>
          <t>Bluetooth ancien et application perfectible.</t>
        </is>
      </c>
      <c r="AK71" s="117" t="inlineStr">
        <is>
          <t>https://headfonics.com/shanling-h2-review/</t>
        </is>
      </c>
      <c r="AL71" s="125" t="n">
        <v>3</v>
      </c>
      <c r="AM71" s="123" t="inlineStr">
        <is>
          <t>Élevée — 3+ sources, domaines variés</t>
        </is>
      </c>
      <c r="AN71" s="117" t="inlineStr">
        <is>
          <t>https://www.headfonia.com/shanling-h2-review/</t>
        </is>
      </c>
      <c r="AO71" s="128" t="inlineStr">
        <is>
          <t>https://www.head-fi.org/threads/introducing-shanling-h2-budget-portable-dac-amp-with-built-in-player.970935/</t>
        </is>
      </c>
      <c r="AP71" s="117" t="n"/>
      <c r="AQ71" s="123" t="inlineStr">
        <is>
          <t>Objectif atteint</t>
        </is>
      </c>
      <c r="AR71" s="117" t="inlineStr">
        <is>
          <t>Head-Fi forum: 1; Review éditoriale: 2</t>
        </is>
      </c>
    </row>
    <row r="72" ht="54" customHeight="1">
      <c r="A72" s="129" t="inlineStr">
        <is>
          <t>LETSHUOER</t>
        </is>
      </c>
      <c r="B72" s="129" t="inlineStr">
        <is>
          <t>DT03</t>
        </is>
      </c>
      <c r="C72" s="129" t="inlineStr">
        <is>
          <t>Portable Amp/DAC (Headfonics)</t>
        </is>
      </c>
      <c r="D72" s="129" t="inlineStr">
        <is>
          <t>Lean, assez clair.</t>
        </is>
      </c>
      <c r="E72" s="129" t="inlineStr">
        <is>
          <t>Dynamique, layering, profondeur</t>
        </is>
      </c>
      <c r="F72" s="129" t="inlineStr">
        <is>
          <t>Médium trop mince selon le test</t>
        </is>
      </c>
      <c r="G72" s="130" t="n">
        <v>8.9</v>
      </c>
      <c r="H72" s="131" t="n">
        <v>8.699999999999999</v>
      </c>
      <c r="I72" s="131" t="n">
        <v>8.6</v>
      </c>
      <c r="J72" s="131" t="n">
        <v>8.5</v>
      </c>
      <c r="K72" s="131" t="n">
        <v>8.800000000000001</v>
      </c>
      <c r="L72" s="131" t="n">
        <v>8.6</v>
      </c>
      <c r="M72" s="131" t="n">
        <v>7.8</v>
      </c>
      <c r="N72" s="131" t="n">
        <v>9.1</v>
      </c>
      <c r="O72" s="131" t="n">
        <v>9.5</v>
      </c>
      <c r="P72" s="131" t="n">
        <v>8</v>
      </c>
      <c r="Q72" s="158">
        <f>IF(COUNT(G72:P72)=10,ROUND((G72*'Pondérations'!$B$5+H72*'Pondérations'!$B$6+I72*'Pondérations'!$B$7+J72*'Pondérations'!$B$8+K72*'Pondérations'!$B$9+L72*'Pondérations'!$B$10+M72*'Pondérations'!$B$11+N72*'Pondérations'!$B$12+O72*'Pondérations'!$B$13+P72*'Pondérations'!$B$14)/'Pondérations'!$B$16,3),"")</f>
        <v/>
      </c>
      <c r="R72" s="159">
        <f>IF(Q72="","",1+COUNTIF($Q$7:$Q$178,"&gt;"&amp;Q72)+COUNTIF($Q$7:Q72,Q72)-1)</f>
        <v/>
      </c>
      <c r="S72" s="132" t="n"/>
      <c r="T72" s="129" t="n"/>
      <c r="U72" s="129" t="n"/>
      <c r="V72" s="133" t="inlineStr">
        <is>
          <t>Élevée</t>
        </is>
      </c>
      <c r="W72" s="129" t="inlineStr">
        <is>
          <t>Headfonics import</t>
        </is>
      </c>
      <c r="X72" s="130" t="n">
        <v>7.8</v>
      </c>
      <c r="Y72" s="133" t="inlineStr">
        <is>
          <t>Reader</t>
        </is>
      </c>
      <c r="Z72" s="134" t="n">
        <v>45495</v>
      </c>
      <c r="AA72" s="135" t="n">
        <v>3</v>
      </c>
      <c r="AB72" s="139" t="inlineStr">
        <is>
          <t>https://headfonics.com/?s=LETSHUOER+DT03</t>
        </is>
      </c>
      <c r="AC72" s="129" t="inlineStr">
        <is>
          <t>Portable dongle DAC/amp</t>
        </is>
      </c>
      <c r="AD72" s="133" t="inlineStr">
        <is>
          <t>Ajout Headfonics</t>
        </is>
      </c>
      <c r="AE72" s="135" t="n">
        <v>52</v>
      </c>
      <c r="AF72" s="136" t="n">
        <v>87</v>
      </c>
      <c r="AG72" s="132" t="inlineStr">
        <is>
          <t>Dongle polyvalent mais au médium maigre; l’association avec les IEM devient déterminante.</t>
        </is>
      </c>
      <c r="AH72" s="129" t="inlineStr">
        <is>
          <t>Lean, assez clair.</t>
        </is>
      </c>
      <c r="AI72" s="129" t="inlineStr">
        <is>
          <t>Correct en technique, mais dynamique et matière moyennes.</t>
        </is>
      </c>
      <c r="AJ72" s="129" t="inlineStr">
        <is>
          <t>Médium trop mince selon le test.</t>
        </is>
      </c>
      <c r="AK72" s="129" t="inlineStr">
        <is>
          <t>https://headfonics.com/letshuoer-dt03-review/</t>
        </is>
      </c>
      <c r="AL72" s="135" t="n">
        <v>4</v>
      </c>
      <c r="AM72" s="133" t="inlineStr">
        <is>
          <t>Élevée — 3+ sources, domaines variés</t>
        </is>
      </c>
      <c r="AN72" s="129" t="inlineStr">
        <is>
          <t>https://www.head-fi.org/showcase/letshuoer-dt03.27289/reviews</t>
        </is>
      </c>
      <c r="AO72" s="137" t="inlineStr">
        <is>
          <t>https://mobileaudiophile.com/dacs/dongle/letshuoer-dt03-dongle-review-unsuspecting-power-can/</t>
        </is>
      </c>
      <c r="AP72" s="129" t="inlineStr">
        <is>
          <t>https://ichos-reviews.com/letshuoer-dt03-review/</t>
        </is>
      </c>
      <c r="AQ72" s="133" t="inlineStr">
        <is>
          <t>Objectif atteint</t>
        </is>
      </c>
      <c r="AR72" s="129" t="inlineStr">
        <is>
          <t>Head-Fi reviews: 1; Review éditoriale: 3</t>
        </is>
      </c>
    </row>
    <row r="73" ht="54" customHeight="1">
      <c r="A73" s="117" t="inlineStr">
        <is>
          <t>Kiwi Ears</t>
        </is>
      </c>
      <c r="B73" s="117" t="inlineStr">
        <is>
          <t>Allegro</t>
        </is>
      </c>
      <c r="C73" s="117" t="inlineStr">
        <is>
          <t>Portable Amp/DAC (Headfonics)</t>
        </is>
      </c>
      <c r="D73" s="117" t="inlineStr">
        <is>
          <t>Bas chaleureux, haut brillant/sibilant.</t>
        </is>
      </c>
      <c r="E73" s="117" t="inlineStr">
        <is>
          <t>Image 3d, layering, propreté/contrôle</t>
        </is>
      </c>
      <c r="F73" s="117" t="inlineStr">
        <is>
          <t>Synergie délicate</t>
        </is>
      </c>
      <c r="G73" s="118" t="n">
        <v>9.1</v>
      </c>
      <c r="H73" s="119" t="n">
        <v>8.199999999999999</v>
      </c>
      <c r="I73" s="119" t="n">
        <v>8.800000000000001</v>
      </c>
      <c r="J73" s="119" t="n">
        <v>8.800000000000001</v>
      </c>
      <c r="K73" s="119" t="n">
        <v>8.9</v>
      </c>
      <c r="L73" s="119" t="n">
        <v>9</v>
      </c>
      <c r="M73" s="119" t="n">
        <v>8.9</v>
      </c>
      <c r="N73" s="119" t="n">
        <v>7.8</v>
      </c>
      <c r="O73" s="119" t="n">
        <v>9.5</v>
      </c>
      <c r="P73" s="119" t="n">
        <v>8.5</v>
      </c>
      <c r="Q73" s="158">
        <f>IF(COUNT(G73:P73)=10,ROUND((G73*'Pondérations'!$B$5+H73*'Pondérations'!$B$6+I73*'Pondérations'!$B$7+J73*'Pondérations'!$B$8+K73*'Pondérations'!$B$9+L73*'Pondérations'!$B$10+M73*'Pondérations'!$B$11+N73*'Pondérations'!$B$12+O73*'Pondérations'!$B$13+P73*'Pondérations'!$B$14)/'Pondérations'!$B$16,3),"")</f>
        <v/>
      </c>
      <c r="R73" s="159">
        <f>IF(Q73="","",1+COUNTIF($Q$7:$Q$178,"&gt;"&amp;Q73)+COUNTIF($Q$7:Q73,Q73)-1)</f>
        <v/>
      </c>
      <c r="S73" s="122" t="n"/>
      <c r="T73" s="117" t="n"/>
      <c r="U73" s="117" t="n"/>
      <c r="V73" s="123" t="inlineStr">
        <is>
          <t>Élevée</t>
        </is>
      </c>
      <c r="W73" s="117" t="inlineStr">
        <is>
          <t>Headfonics import</t>
        </is>
      </c>
      <c r="X73" s="118" t="n">
        <v>7.7</v>
      </c>
      <c r="Y73" s="123" t="inlineStr">
        <is>
          <t>Reader</t>
        </is>
      </c>
      <c r="Z73" s="124" t="n">
        <v>45476</v>
      </c>
      <c r="AA73" s="125" t="n">
        <v>3</v>
      </c>
      <c r="AB73" s="126" t="inlineStr">
        <is>
          <t>https://headfonics.com/?s=Kiwi+Ears+Allegro</t>
        </is>
      </c>
      <c r="AC73" s="117" t="inlineStr">
        <is>
          <t>Portable dongle DAC/amp</t>
        </is>
      </c>
      <c r="AD73" s="123" t="inlineStr">
        <is>
          <t>Ajout Headfonics</t>
        </is>
      </c>
      <c r="AE73" s="125" t="n">
        <v>53</v>
      </c>
      <c r="AF73" s="138" t="n">
        <v>53</v>
      </c>
      <c r="AG73" s="122" t="inlineStr">
        <is>
          <t>Dongle original et bien construit, mais à la signature contrastée entre chaleur du bas et aigu potentiellement agressif.</t>
        </is>
      </c>
      <c r="AH73" s="117" t="inlineStr">
        <is>
          <t>Bas chaleureux, haut brillant/sibilant.</t>
        </is>
      </c>
      <c r="AI73" s="117" t="inlineStr">
        <is>
          <t>Bonne polyvalence d’I/O, scène correcte.</t>
        </is>
      </c>
      <c r="AJ73" s="117" t="inlineStr">
        <is>
          <t>Synergie délicate; sibilance possible.</t>
        </is>
      </c>
      <c r="AK73" s="117" t="inlineStr">
        <is>
          <t>https://headfonics.com/kiwi-ears-allegro-review/</t>
        </is>
      </c>
      <c r="AL73" s="125" t="n">
        <v>4</v>
      </c>
      <c r="AM73" s="123" t="inlineStr">
        <is>
          <t>Élevée — 3+ sources, domaines variés</t>
        </is>
      </c>
      <c r="AN73" s="117" t="inlineStr">
        <is>
          <t>https://www.head-fi.org/showcase/kiwi-ears-allegro.27061/reviews</t>
        </is>
      </c>
      <c r="AO73" s="128" t="inlineStr">
        <is>
          <t>https://www.pragmaticaudio.com/reviews/2024/11/kiwi-ears-allegro/</t>
        </is>
      </c>
      <c r="AP73" s="117" t="inlineStr">
        <is>
          <t>https://www.audiodiscourse.com/2024/03/kiwi-ears-allegro-portable-dac-review.html</t>
        </is>
      </c>
      <c r="AQ73" s="123" t="inlineStr">
        <is>
          <t>Objectif atteint</t>
        </is>
      </c>
      <c r="AR73" s="117" t="inlineStr">
        <is>
          <t>Head-Fi reviews: 1; Review éditoriale: 3</t>
        </is>
      </c>
    </row>
    <row r="74" ht="54" customHeight="1">
      <c r="A74" s="129" t="inlineStr">
        <is>
          <t>Hidizs</t>
        </is>
      </c>
      <c r="B74" s="129" t="inlineStr">
        <is>
          <t>S8 Pro Robin</t>
        </is>
      </c>
      <c r="C74" s="129" t="inlineStr">
        <is>
          <t>Portable Amp/DAC (Headfonics)</t>
        </is>
      </c>
      <c r="D74" s="129" t="inlineStr">
        <is>
          <t>Douce, chaude, légèrement en V</t>
        </is>
      </c>
      <c r="E74" s="129" t="inlineStr">
        <is>
          <t>Profondeur, matière/timbres, image 3d</t>
        </is>
      </c>
      <c r="F74" s="129" t="inlineStr">
        <is>
          <t>Moins détaillé, fond moins silencieux avec IEM sensibles et puissance seulement moyenne</t>
        </is>
      </c>
      <c r="G74" s="130" t="n">
        <v>8.9</v>
      </c>
      <c r="H74" s="131" t="n">
        <v>8</v>
      </c>
      <c r="I74" s="131" t="n">
        <v>9.199999999999999</v>
      </c>
      <c r="J74" s="131" t="n">
        <v>8.9</v>
      </c>
      <c r="K74" s="131" t="n">
        <v>8.9</v>
      </c>
      <c r="L74" s="131" t="n">
        <v>9.300000000000001</v>
      </c>
      <c r="M74" s="131" t="n">
        <v>8.9</v>
      </c>
      <c r="N74" s="131" t="n">
        <v>8.9</v>
      </c>
      <c r="O74" s="131" t="n">
        <v>8</v>
      </c>
      <c r="P74" s="131" t="n">
        <v>8.6</v>
      </c>
      <c r="Q74" s="158">
        <f>IF(COUNT(G74:P74)=10,ROUND((G74*'Pondérations'!$B$5+H74*'Pondérations'!$B$6+I74*'Pondérations'!$B$7+J74*'Pondérations'!$B$8+K74*'Pondérations'!$B$9+L74*'Pondérations'!$B$10+M74*'Pondérations'!$B$11+N74*'Pondérations'!$B$12+O74*'Pondérations'!$B$13+P74*'Pondérations'!$B$14)/'Pondérations'!$B$16,3),"")</f>
        <v/>
      </c>
      <c r="R74" s="159">
        <f>IF(Q74="","",1+COUNTIF($Q$7:$Q$178,"&gt;"&amp;Q74)+COUNTIF($Q$7:Q74,Q74)-1)</f>
        <v/>
      </c>
      <c r="S74" s="132" t="n"/>
      <c r="T74" s="129" t="n"/>
      <c r="U74" s="129" t="n"/>
      <c r="V74" s="133" t="inlineStr">
        <is>
          <t>Élevée</t>
        </is>
      </c>
      <c r="W74" s="129" t="inlineStr">
        <is>
          <t>Headfonics import</t>
        </is>
      </c>
      <c r="X74" s="130" t="n">
        <v>8</v>
      </c>
      <c r="Y74" s="133" t="inlineStr">
        <is>
          <t>Reader</t>
        </is>
      </c>
      <c r="Z74" s="134" t="n">
        <v>45471</v>
      </c>
      <c r="AA74" s="135" t="n">
        <v>3</v>
      </c>
      <c r="AB74" s="139" t="inlineStr">
        <is>
          <t>https://headfonics.com/?s=Hidizs+S8+Pro+Robin</t>
        </is>
      </c>
      <c r="AC74" s="129" t="inlineStr">
        <is>
          <t>Portable dongle DAC/amp</t>
        </is>
      </c>
      <c r="AD74" s="133" t="inlineStr">
        <is>
          <t>Ajout Headfonics</t>
        </is>
      </c>
      <c r="AE74" s="135" t="n">
        <v>54</v>
      </c>
      <c r="AF74" s="127" t="n">
        <v>69.52</v>
      </c>
      <c r="AG74" s="132" t="inlineStr">
        <is>
          <t>Le S8 Pro Robin privilégie une écoute douce et chaleureuse avec plusieurs filtres. Il offre un grave convenablement autoritaire mais sacrifie une partie du microdétail.</t>
        </is>
      </c>
      <c r="AH74" s="129" t="inlineStr">
        <is>
          <t>Douce, chaude, légèrement en V</t>
        </is>
      </c>
      <c r="AI74" s="129" t="inlineStr">
        <is>
          <t>Bonne profondeur et poids des notes, surtout en 4,4 mm; séparation et placement plus modestes que les modèles Hidizs supérieurs.</t>
        </is>
      </c>
      <c r="AJ74" s="129" t="inlineStr">
        <is>
          <t>Moins détaillé, fond moins silencieux avec IEM sensibles et puissance seulement moyenne.</t>
        </is>
      </c>
      <c r="AK74" s="129" t="inlineStr">
        <is>
          <t>https://headfonics.com/hidizs-s8-pro-robin-review/</t>
        </is>
      </c>
      <c r="AL74" s="135" t="n">
        <v>4</v>
      </c>
      <c r="AM74" s="133" t="inlineStr">
        <is>
          <t>Élevée — 3+ sources, domaines variés</t>
        </is>
      </c>
      <c r="AN74" s="129" t="inlineStr">
        <is>
          <t>https://www.head-fi.org/showcase/hidizs-s8-pro-robin.27188/reviews</t>
        </is>
      </c>
      <c r="AO74" s="137" t="inlineStr">
        <is>
          <t>https://www.techradar.com/audio/hi-fi/hidizs-s8-pro-robin-review</t>
        </is>
      </c>
      <c r="AP74" s="129" t="inlineStr">
        <is>
          <t>https://www.headfonia.com/hidizs-s8-pro-robin-review/</t>
        </is>
      </c>
      <c r="AQ74" s="133" t="inlineStr">
        <is>
          <t>Objectif atteint</t>
        </is>
      </c>
      <c r="AR74" s="129" t="inlineStr">
        <is>
          <t>Head-Fi reviews: 1; Review éditoriale: 3</t>
        </is>
      </c>
    </row>
    <row r="75" ht="54" customHeight="1">
      <c r="A75" s="117" t="inlineStr">
        <is>
          <t>iFi audio</t>
        </is>
      </c>
      <c r="B75" s="117" t="inlineStr">
        <is>
          <t>GO bar Kensei</t>
        </is>
      </c>
      <c r="C75" s="117" t="inlineStr">
        <is>
          <t>Portable Amp/DAC (Headfonics)</t>
        </is>
      </c>
      <c r="D75" s="117" t="inlineStr">
        <is>
          <t>Neutre-naturel, modulable via filtres/K2HD.</t>
        </is>
      </c>
      <c r="E75" s="117" t="inlineStr">
        <is>
          <t>Microdétail, matière/timbres, dynamique</t>
        </is>
      </c>
      <c r="F75" s="117" t="inlineStr">
        <is>
          <t>Chauffe et peut vider rapidement la batterie du téléphone</t>
        </is>
      </c>
      <c r="G75" s="118" t="n">
        <v>9.1</v>
      </c>
      <c r="H75" s="119" t="n">
        <v>9.1</v>
      </c>
      <c r="I75" s="119" t="n">
        <v>8.699999999999999</v>
      </c>
      <c r="J75" s="119" t="n">
        <v>8.699999999999999</v>
      </c>
      <c r="K75" s="119" t="n">
        <v>8.800000000000001</v>
      </c>
      <c r="L75" s="119" t="n">
        <v>9.1</v>
      </c>
      <c r="M75" s="119" t="n">
        <v>9</v>
      </c>
      <c r="N75" s="119" t="n">
        <v>8.699999999999999</v>
      </c>
      <c r="O75" s="119" t="n">
        <v>9.300000000000001</v>
      </c>
      <c r="P75" s="119" t="n">
        <v>8.4</v>
      </c>
      <c r="Q75" s="158">
        <f>IF(COUNT(G75:P75)=10,ROUND((G75*'Pondérations'!$B$5+H75*'Pondérations'!$B$6+I75*'Pondérations'!$B$7+J75*'Pondérations'!$B$8+K75*'Pondérations'!$B$9+L75*'Pondérations'!$B$10+M75*'Pondérations'!$B$11+N75*'Pondérations'!$B$12+O75*'Pondérations'!$B$13+P75*'Pondérations'!$B$14)/'Pondérations'!$B$16,3),"")</f>
        <v/>
      </c>
      <c r="R75" s="159">
        <f>IF(Q75="","",1+COUNTIF($Q$7:$Q$178,"&gt;"&amp;Q75)+COUNTIF($Q$7:Q75,Q75)-1)</f>
        <v/>
      </c>
      <c r="S75" s="122" t="n"/>
      <c r="T75" s="117" t="n"/>
      <c r="U75" s="117" t="n"/>
      <c r="V75" s="123" t="inlineStr">
        <is>
          <t>Élevée</t>
        </is>
      </c>
      <c r="W75" s="117" t="inlineStr">
        <is>
          <t>Headfonics import</t>
        </is>
      </c>
      <c r="X75" s="118" t="n">
        <v>8.1</v>
      </c>
      <c r="Y75" s="123" t="inlineStr">
        <is>
          <t>Reader</t>
        </is>
      </c>
      <c r="Z75" s="124" t="n">
        <v>45465</v>
      </c>
      <c r="AA75" s="125" t="n">
        <v>3</v>
      </c>
      <c r="AB75" s="126" t="inlineStr">
        <is>
          <t>https://headfonics.com/?s=iFi+audio+GO+bar+Kensei</t>
        </is>
      </c>
      <c r="AC75" s="117" t="inlineStr">
        <is>
          <t>Portable dongle DAC/amp</t>
        </is>
      </c>
      <c r="AD75" s="123" t="inlineStr">
        <is>
          <t>Ajout Headfonics</t>
        </is>
      </c>
      <c r="AE75" s="125" t="n">
        <v>55</v>
      </c>
      <c r="AF75" s="127" t="n">
        <v>449</v>
      </c>
      <c r="AG75" s="122" t="inlineStr">
        <is>
          <t>Dongle premium très abouti, jugé excellent en qualité sonore et riche en options de réglage.</t>
        </is>
      </c>
      <c r="AH75" s="117" t="inlineStr">
        <is>
          <t>Neutre-naturel, modulable via filtres/K2HD.</t>
        </is>
      </c>
      <c r="AI75" s="117" t="inlineStr">
        <is>
          <t>Très bonne définition et bonne réserve de puissance.</t>
        </is>
      </c>
      <c r="AJ75" s="117" t="inlineStr">
        <is>
          <t>Chauffe et peut vider rapidement la batterie du téléphone.</t>
        </is>
      </c>
      <c r="AK75" s="117" t="inlineStr">
        <is>
          <t>https://headfonics.com/ifi-audio-go-bar-kensei-review/</t>
        </is>
      </c>
      <c r="AL75" s="125" t="n">
        <v>4</v>
      </c>
      <c r="AM75" s="123" t="inlineStr">
        <is>
          <t>Élevée — 3+ sources, domaines variés</t>
        </is>
      </c>
      <c r="AN75" s="117" t="inlineStr">
        <is>
          <t>https://www.head-fi.org/showcase/ifi-audio-go-bar-kensei.27123/reviews</t>
        </is>
      </c>
      <c r="AO75" s="128" t="inlineStr">
        <is>
          <t>https://www.headfonia.com/ifi-audio-go-bar-kensei-review/</t>
        </is>
      </c>
      <c r="AP75" s="117" t="inlineStr">
        <is>
          <t>https://www.techradar.com/audio/hi-fi/ifi-go-bar-kensei-review</t>
        </is>
      </c>
      <c r="AQ75" s="123" t="inlineStr">
        <is>
          <t>Objectif atteint</t>
        </is>
      </c>
      <c r="AR75" s="117" t="inlineStr">
        <is>
          <t>Head-Fi reviews: 1; Review éditoriale: 3</t>
        </is>
      </c>
    </row>
    <row r="76" ht="54" customHeight="1">
      <c r="A76" s="129" t="inlineStr">
        <is>
          <t>ONIX</t>
        </is>
      </c>
      <c r="B76" s="129" t="inlineStr">
        <is>
          <t>Mystic XP1</t>
        </is>
      </c>
      <c r="C76" s="129" t="inlineStr">
        <is>
          <t>Portable Amp/DAC (Headfonics)</t>
        </is>
      </c>
      <c r="D76" s="129" t="inlineStr">
        <is>
          <t>Doux, dense, grave charnu.</t>
        </is>
      </c>
      <c r="E76" s="129" t="inlineStr">
        <is>
          <t>Puissance, profondeur, matière/timbres</t>
        </is>
      </c>
      <c r="F76" s="129" t="inlineStr">
        <is>
          <t>Impédance de sortie élevée peu idéale pour certains IEM</t>
        </is>
      </c>
      <c r="G76" s="130" t="n">
        <v>8.800000000000001</v>
      </c>
      <c r="H76" s="131" t="n">
        <v>8.699999999999999</v>
      </c>
      <c r="I76" s="131" t="n">
        <v>9.1</v>
      </c>
      <c r="J76" s="131" t="n">
        <v>8.800000000000001</v>
      </c>
      <c r="K76" s="131" t="n">
        <v>8.9</v>
      </c>
      <c r="L76" s="131" t="n">
        <v>9.300000000000001</v>
      </c>
      <c r="M76" s="131" t="n">
        <v>8.9</v>
      </c>
      <c r="N76" s="131" t="n">
        <v>9.300000000000001</v>
      </c>
      <c r="O76" s="131" t="n">
        <v>6.5</v>
      </c>
      <c r="P76" s="131" t="n">
        <v>8.4</v>
      </c>
      <c r="Q76" s="158">
        <f>IF(COUNT(G76:P76)=10,ROUND((G76*'Pondérations'!$B$5+H76*'Pondérations'!$B$6+I76*'Pondérations'!$B$7+J76*'Pondérations'!$B$8+K76*'Pondérations'!$B$9+L76*'Pondérations'!$B$10+M76*'Pondérations'!$B$11+N76*'Pondérations'!$B$12+O76*'Pondérations'!$B$13+P76*'Pondérations'!$B$14)/'Pondérations'!$B$16,3),"")</f>
        <v/>
      </c>
      <c r="R76" s="159">
        <f>IF(Q76="","",1+COUNTIF($Q$7:$Q$178,"&gt;"&amp;Q76)+COUNTIF($Q$7:Q76,Q76)-1)</f>
        <v/>
      </c>
      <c r="S76" s="132" t="n"/>
      <c r="T76" s="129" t="n"/>
      <c r="U76" s="129" t="n"/>
      <c r="V76" s="133" t="inlineStr">
        <is>
          <t>Élevée</t>
        </is>
      </c>
      <c r="W76" s="129" t="inlineStr">
        <is>
          <t>Headfonics import</t>
        </is>
      </c>
      <c r="X76" s="130" t="n">
        <v>8.699999999999999</v>
      </c>
      <c r="Y76" s="133" t="inlineStr">
        <is>
          <t>Reader</t>
        </is>
      </c>
      <c r="Z76" s="134" t="n">
        <v>45439</v>
      </c>
      <c r="AA76" s="135" t="n">
        <v>3</v>
      </c>
      <c r="AB76" s="139" t="inlineStr">
        <is>
          <t>https://headfonics.com/?s=ONIX+Mystic+XP1</t>
        </is>
      </c>
      <c r="AC76" s="129" t="inlineStr">
        <is>
          <t>Portable amplifier/DAC</t>
        </is>
      </c>
      <c r="AD76" s="133" t="inlineStr">
        <is>
          <t>Ajout Headfonics</t>
        </is>
      </c>
      <c r="AE76" s="135" t="n">
        <v>56</v>
      </c>
      <c r="AF76" s="136" t="n">
        <v>1317</v>
      </c>
      <c r="AG76" s="132" t="inlineStr">
        <is>
          <t>Solution transportable très puissante au rendu lisse, avec un grave dense et une profondeur particulièrement addictive.</t>
        </is>
      </c>
      <c r="AH76" s="129" t="inlineStr">
        <is>
          <t>Doux, dense, grave charnu.</t>
        </is>
      </c>
      <c r="AI76" s="129" t="inlineStr">
        <is>
          <t>Très bonne profondeur et forte réserve dynamique.</t>
        </is>
      </c>
      <c r="AJ76" s="129" t="inlineStr">
        <is>
          <t>Impédance de sortie élevée peu idéale pour certains IEM; gros format.</t>
        </is>
      </c>
      <c r="AK76" s="129" t="inlineStr">
        <is>
          <t>https://headfonics.com/onix-mystic-xp1-review/</t>
        </is>
      </c>
      <c r="AL76" s="135" t="n">
        <v>3</v>
      </c>
      <c r="AM76" s="133" t="inlineStr">
        <is>
          <t>Élevée — 3+ sources, domaines variés</t>
        </is>
      </c>
      <c r="AN76" s="129" t="inlineStr">
        <is>
          <t>https://www.head-fi.org/showcase/onix-mystic-xp1-%E2%80%93-high-end-portable-dac-amp.27530/reviews</t>
        </is>
      </c>
      <c r="AO76" s="137" t="inlineStr">
        <is>
          <t>https://www.head-fi.org/threads/introducing-onix-mystic-xp1-%E2%80%93-high-end-portable-dac-amp.970241/</t>
        </is>
      </c>
      <c r="AP76" s="129" t="n"/>
      <c r="AQ76" s="133" t="inlineStr">
        <is>
          <t>Objectif atteint</t>
        </is>
      </c>
      <c r="AR76" s="129" t="inlineStr">
        <is>
          <t>Head-Fi forum: 1; Head-Fi reviews: 1; Review éditoriale: 1</t>
        </is>
      </c>
    </row>
    <row r="77" ht="54" customHeight="1">
      <c r="A77" s="117" t="inlineStr">
        <is>
          <t>Shanling</t>
        </is>
      </c>
      <c r="B77" s="117" t="inlineStr">
        <is>
          <t>UA4</t>
        </is>
      </c>
      <c r="C77" s="117" t="inlineStr">
        <is>
          <t>Portable Amp/DAC (Headfonics)</t>
        </is>
      </c>
      <c r="D77" s="117" t="inlineStr">
        <is>
          <t>Neutre/propre.</t>
        </is>
      </c>
      <c r="E77" s="117" t="inlineStr">
        <is>
          <t>Image 3d, profondeur, propreté/contrôle</t>
        </is>
      </c>
      <c r="F77" s="117" t="inlineStr">
        <is>
          <t>Application Eddict encore perfectible</t>
        </is>
      </c>
      <c r="G77" s="118" t="n">
        <v>8.9</v>
      </c>
      <c r="H77" s="119" t="n">
        <v>8.699999999999999</v>
      </c>
      <c r="I77" s="119" t="n">
        <v>8.6</v>
      </c>
      <c r="J77" s="119" t="n">
        <v>8.6</v>
      </c>
      <c r="K77" s="119" t="n">
        <v>8.699999999999999</v>
      </c>
      <c r="L77" s="119" t="n">
        <v>8.800000000000001</v>
      </c>
      <c r="M77" s="119" t="n">
        <v>8.800000000000001</v>
      </c>
      <c r="N77" s="119" t="n">
        <v>7.5</v>
      </c>
      <c r="O77" s="119" t="n">
        <v>9.5</v>
      </c>
      <c r="P77" s="119" t="n">
        <v>8.1</v>
      </c>
      <c r="Q77" s="158">
        <f>IF(COUNT(G77:P77)=10,ROUND((G77*'Pondérations'!$B$5+H77*'Pondérations'!$B$6+I77*'Pondérations'!$B$7+J77*'Pondérations'!$B$8+K77*'Pondérations'!$B$9+L77*'Pondérations'!$B$10+M77*'Pondérations'!$B$11+N77*'Pondérations'!$B$12+O77*'Pondérations'!$B$13+P77*'Pondérations'!$B$14)/'Pondérations'!$B$16,3),"")</f>
        <v/>
      </c>
      <c r="R77" s="159">
        <f>IF(Q77="","",1+COUNTIF($Q$7:$Q$178,"&gt;"&amp;Q77)+COUNTIF($Q$7:Q77,Q77)-1)</f>
        <v/>
      </c>
      <c r="S77" s="122" t="n"/>
      <c r="T77" s="117" t="n"/>
      <c r="U77" s="117" t="n"/>
      <c r="V77" s="123" t="inlineStr">
        <is>
          <t>Élevée</t>
        </is>
      </c>
      <c r="W77" s="117" t="inlineStr">
        <is>
          <t>Headfonics import</t>
        </is>
      </c>
      <c r="X77" s="118" t="n">
        <v>7.5</v>
      </c>
      <c r="Y77" s="123" t="inlineStr">
        <is>
          <t>Reader</t>
        </is>
      </c>
      <c r="Z77" s="124" t="n">
        <v>45425</v>
      </c>
      <c r="AA77" s="125" t="n">
        <v>3</v>
      </c>
      <c r="AB77" s="126" t="inlineStr">
        <is>
          <t>https://headfonics.com/?s=Shanling+UA4</t>
        </is>
      </c>
      <c r="AC77" s="117" t="inlineStr">
        <is>
          <t>Portable dongle DAC/amp</t>
        </is>
      </c>
      <c r="AD77" s="123" t="inlineStr">
        <is>
          <t>Ajout Headfonics</t>
        </is>
      </c>
      <c r="AE77" s="125" t="n">
        <v>57</v>
      </c>
      <c r="AF77" s="127" t="n">
        <v>99</v>
      </c>
      <c r="AG77" s="122" t="inlineStr">
        <is>
          <t>Dongle propre, peu énergivore et convaincant en spatialisation pour son prix.</t>
        </is>
      </c>
      <c r="AH77" s="117" t="inlineStr">
        <is>
          <t>Neutre/propre.</t>
        </is>
      </c>
      <c r="AI77" s="117" t="inlineStr">
        <is>
          <t>Bonne scène et bonne lisibilité globale.</t>
        </is>
      </c>
      <c r="AJ77" s="117" t="inlineStr">
        <is>
          <t>Application Eddict encore perfectible.</t>
        </is>
      </c>
      <c r="AK77" s="117" t="inlineStr">
        <is>
          <t>https://headfonics.com/shanling-ua4-review/</t>
        </is>
      </c>
      <c r="AL77" s="125" t="n">
        <v>3</v>
      </c>
      <c r="AM77" s="123" t="inlineStr">
        <is>
          <t>Élevée — 3+ sources, domaines variés</t>
        </is>
      </c>
      <c r="AN77" s="117" t="inlineStr">
        <is>
          <t>https://www.headfonia.com/shanling-ua4-review/</t>
        </is>
      </c>
      <c r="AO77" s="128" t="inlineStr">
        <is>
          <t>https://www.reddit.com/r/headphones/comments/1bbvgpf</t>
        </is>
      </c>
      <c r="AP77" s="117" t="n"/>
      <c r="AQ77" s="123" t="inlineStr">
        <is>
          <t>Objectif atteint</t>
        </is>
      </c>
      <c r="AR77" s="117" t="inlineStr">
        <is>
          <t>Communauté Reddit: 1; Review éditoriale: 2</t>
        </is>
      </c>
    </row>
    <row r="78" ht="54" customHeight="1">
      <c r="A78" s="129" t="inlineStr">
        <is>
          <t>FiiO</t>
        </is>
      </c>
      <c r="B78" s="129" t="inlineStr">
        <is>
          <t>KA11</t>
        </is>
      </c>
      <c r="C78" s="129" t="inlineStr">
        <is>
          <t>Portable Amp/DAC (Headfonics)</t>
        </is>
      </c>
      <c r="D78" s="129" t="inlineStr">
        <is>
          <t>Légèrement chaud/coloré.</t>
        </is>
      </c>
      <c r="E78" s="129" t="inlineStr">
        <is>
          <t>Matière/timbres, image 3d, profondeur</t>
        </is>
      </c>
      <c r="F78" s="129" t="inlineStr">
        <is>
          <t>Coloration peu adaptée aux amateurs de stricte neutralité</t>
        </is>
      </c>
      <c r="G78" s="130" t="n">
        <v>8.9</v>
      </c>
      <c r="H78" s="131" t="n">
        <v>8.699999999999999</v>
      </c>
      <c r="I78" s="131" t="n">
        <v>8.800000000000001</v>
      </c>
      <c r="J78" s="131" t="n">
        <v>8.800000000000001</v>
      </c>
      <c r="K78" s="131" t="n">
        <v>8.800000000000001</v>
      </c>
      <c r="L78" s="131" t="n">
        <v>9.199999999999999</v>
      </c>
      <c r="M78" s="131" t="n">
        <v>8.9</v>
      </c>
      <c r="N78" s="131" t="n">
        <v>8.9</v>
      </c>
      <c r="O78" s="131" t="n">
        <v>9.5</v>
      </c>
      <c r="P78" s="131" t="n">
        <v>8.300000000000001</v>
      </c>
      <c r="Q78" s="158">
        <f>IF(COUNT(G78:P78)=10,ROUND((G78*'Pondérations'!$B$5+H78*'Pondérations'!$B$6+I78*'Pondérations'!$B$7+J78*'Pondérations'!$B$8+K78*'Pondérations'!$B$9+L78*'Pondérations'!$B$10+M78*'Pondérations'!$B$11+N78*'Pondérations'!$B$12+O78*'Pondérations'!$B$13+P78*'Pondérations'!$B$14)/'Pondérations'!$B$16,3),"")</f>
        <v/>
      </c>
      <c r="R78" s="159">
        <f>IF(Q78="","",1+COUNTIF($Q$7:$Q$178,"&gt;"&amp;Q78)+COUNTIF($Q$7:Q78,Q78)-1)</f>
        <v/>
      </c>
      <c r="S78" s="132" t="n"/>
      <c r="T78" s="129" t="n"/>
      <c r="U78" s="129" t="n"/>
      <c r="V78" s="133" t="inlineStr">
        <is>
          <t>Élevée</t>
        </is>
      </c>
      <c r="W78" s="129" t="inlineStr">
        <is>
          <t>Headfonics import</t>
        </is>
      </c>
      <c r="X78" s="130" t="n"/>
      <c r="Y78" s="133" t="inlineStr">
        <is>
          <t>Reader (non relevé)</t>
        </is>
      </c>
      <c r="Z78" s="134" t="n">
        <v>45418</v>
      </c>
      <c r="AA78" s="135" t="n">
        <v>3</v>
      </c>
      <c r="AB78" s="139" t="inlineStr">
        <is>
          <t>https://headfonics.com/?s=FiiO+KA11</t>
        </is>
      </c>
      <c r="AC78" s="129" t="inlineStr">
        <is>
          <t>Portable dongle DAC/amp</t>
        </is>
      </c>
      <c r="AD78" s="133" t="inlineStr">
        <is>
          <t>Ajout Headfonics</t>
        </is>
      </c>
      <c r="AE78" s="135" t="n">
        <v>58</v>
      </c>
      <c r="AF78" s="136" t="n">
        <v>26</v>
      </c>
      <c r="AG78" s="132" t="inlineStr">
        <is>
          <t>Très petit dongle puissant et légèrement chaleureux, agréable pour un usage nomade simple.</t>
        </is>
      </c>
      <c r="AH78" s="129" t="inlineStr">
        <is>
          <t>Légèrement chaud/coloré.</t>
        </is>
      </c>
      <c r="AI78" s="129" t="inlineStr">
        <is>
          <t>Bonne énergie pour le format.</t>
        </is>
      </c>
      <c r="AJ78" s="129" t="inlineStr">
        <is>
          <t>Coloration peu adaptée aux amateurs de stricte neutralité.</t>
        </is>
      </c>
      <c r="AK78" s="129" t="inlineStr">
        <is>
          <t>https://headfonics.com/fiio-ka11-review/</t>
        </is>
      </c>
      <c r="AL78" s="135" t="n">
        <v>4</v>
      </c>
      <c r="AM78" s="133" t="inlineStr">
        <is>
          <t>Élevée — 3+ sources, domaines variés</t>
        </is>
      </c>
      <c r="AN78" s="129" t="inlineStr">
        <is>
          <t>https://www.head-fi.org/showcase/fiio-ka11.27035/reviews</t>
        </is>
      </c>
      <c r="AO78" s="137" t="inlineStr">
        <is>
          <t>https://www.headfonia.com/fiio-ka11-review/</t>
        </is>
      </c>
      <c r="AP78" s="129" t="inlineStr">
        <is>
          <t>https://www.androidcentral.com/accessories/audio/fiio-ka11-review</t>
        </is>
      </c>
      <c r="AQ78" s="133" t="inlineStr">
        <is>
          <t>Objectif atteint</t>
        </is>
      </c>
      <c r="AR78" s="129" t="inlineStr">
        <is>
          <t>Head-Fi reviews: 1; Review éditoriale: 3</t>
        </is>
      </c>
    </row>
    <row r="79" ht="54" customHeight="1">
      <c r="A79" s="117" t="inlineStr">
        <is>
          <t>FiiO</t>
        </is>
      </c>
      <c r="B79" s="117" t="inlineStr">
        <is>
          <t>KA17</t>
        </is>
      </c>
      <c r="C79" s="117" t="inlineStr">
        <is>
          <t>Portable Amp/DAC (Headfonics)</t>
        </is>
      </c>
      <c r="D79" s="117" t="inlineStr">
        <is>
          <t>Plutôt neutre/énergique.</t>
        </is>
      </c>
      <c r="E79" s="117" t="inlineStr">
        <is>
          <t>Propreté/contrôle, image 3d, profondeur</t>
        </is>
      </c>
      <c r="F79" s="117" t="inlineStr">
        <is>
          <t>Chauffe, châssis massif et arêtes vives</t>
        </is>
      </c>
      <c r="G79" s="118" t="n">
        <v>9.1</v>
      </c>
      <c r="H79" s="119" t="n">
        <v>8.800000000000001</v>
      </c>
      <c r="I79" s="119" t="n">
        <v>8.699999999999999</v>
      </c>
      <c r="J79" s="119" t="n">
        <v>8.699999999999999</v>
      </c>
      <c r="K79" s="119" t="n">
        <v>8.800000000000001</v>
      </c>
      <c r="L79" s="119" t="n">
        <v>8.800000000000001</v>
      </c>
      <c r="M79" s="119" t="n">
        <v>8.9</v>
      </c>
      <c r="N79" s="119" t="n">
        <v>8.699999999999999</v>
      </c>
      <c r="O79" s="119" t="n">
        <v>9.300000000000001</v>
      </c>
      <c r="P79" s="119" t="n">
        <v>8.199999999999999</v>
      </c>
      <c r="Q79" s="158">
        <f>IF(COUNT(G79:P79)=10,ROUND((G79*'Pondérations'!$B$5+H79*'Pondérations'!$B$6+I79*'Pondérations'!$B$7+J79*'Pondérations'!$B$8+K79*'Pondérations'!$B$9+L79*'Pondérations'!$B$10+M79*'Pondérations'!$B$11+N79*'Pondérations'!$B$12+O79*'Pondérations'!$B$13+P79*'Pondérations'!$B$14)/'Pondérations'!$B$16,3),"")</f>
        <v/>
      </c>
      <c r="R79" s="159">
        <f>IF(Q79="","",1+COUNTIF($Q$7:$Q$178,"&gt;"&amp;Q79)+COUNTIF($Q$7:Q79,Q79)-1)</f>
        <v/>
      </c>
      <c r="S79" s="122" t="n"/>
      <c r="T79" s="117" t="n"/>
      <c r="U79" s="117" t="n"/>
      <c r="V79" s="123" t="inlineStr">
        <is>
          <t>Élevée</t>
        </is>
      </c>
      <c r="W79" s="117" t="inlineStr">
        <is>
          <t>Headfonics import</t>
        </is>
      </c>
      <c r="X79" s="118" t="n"/>
      <c r="Y79" s="123" t="inlineStr">
        <is>
          <t>Reader (non relevé)</t>
        </is>
      </c>
      <c r="Z79" s="124" t="n">
        <v>45409</v>
      </c>
      <c r="AA79" s="125" t="n">
        <v>3</v>
      </c>
      <c r="AB79" s="126" t="inlineStr">
        <is>
          <t>https://headfonics.com/?s=FiiO+KA17</t>
        </is>
      </c>
      <c r="AC79" s="117" t="inlineStr">
        <is>
          <t>Portable dongle DAC/amp</t>
        </is>
      </c>
      <c r="AD79" s="123" t="inlineStr">
        <is>
          <t>Ajout Headfonics</t>
        </is>
      </c>
      <c r="AE79" s="125" t="n">
        <v>59</v>
      </c>
      <c r="AF79" s="127" t="n">
        <v>159</v>
      </c>
      <c r="AG79" s="122" t="inlineStr">
        <is>
          <t>Flagship dongle très polyvalent, puissant et doté d’une scène convaincante.</t>
        </is>
      </c>
      <c r="AH79" s="117" t="inlineStr">
        <is>
          <t>Plutôt neutre/énergique.</t>
        </is>
      </c>
      <c r="AI79" s="117" t="inlineStr">
        <is>
          <t>Bonne spatialisation et forte puissance.</t>
        </is>
      </c>
      <c r="AJ79" s="117" t="inlineStr">
        <is>
          <t>Chauffe, châssis massif et arêtes vives.</t>
        </is>
      </c>
      <c r="AK79" s="117" t="inlineStr">
        <is>
          <t>https://headfonics.com/fiio-ka17-review/</t>
        </is>
      </c>
      <c r="AL79" s="125" t="n">
        <v>4</v>
      </c>
      <c r="AM79" s="123" t="inlineStr">
        <is>
          <t>Élevée — 3+ sources, domaines variés</t>
        </is>
      </c>
      <c r="AN79" s="117" t="inlineStr">
        <is>
          <t>https://www.head-fi.org/showcase/fiio-ka17.26982/reviews</t>
        </is>
      </c>
      <c r="AO79" s="128" t="inlineStr">
        <is>
          <t>https://www.headfonia.com/fiio-ka17-review/</t>
        </is>
      </c>
      <c r="AP79" s="117" t="inlineStr">
        <is>
          <t>https://primeaudio.org/fiio-ka17-review/</t>
        </is>
      </c>
      <c r="AQ79" s="123" t="inlineStr">
        <is>
          <t>Objectif atteint</t>
        </is>
      </c>
      <c r="AR79" s="117" t="inlineStr">
        <is>
          <t>Head-Fi reviews: 1; Review éditoriale: 3</t>
        </is>
      </c>
    </row>
    <row r="80" ht="54" customHeight="1">
      <c r="A80" s="129" t="inlineStr">
        <is>
          <t>Colorfly</t>
        </is>
      </c>
      <c r="B80" s="129" t="inlineStr">
        <is>
          <t>CDA-M2</t>
        </is>
      </c>
      <c r="C80" s="129" t="inlineStr">
        <is>
          <t>Portable Amp/DAC (Headfonics)</t>
        </is>
      </c>
      <c r="D80" s="129" t="inlineStr">
        <is>
          <t>Neutre/clean.</t>
        </is>
      </c>
      <c r="E80" s="129" t="inlineStr">
        <is>
          <t>Propreté/contrôle, microdétail, dynamique</t>
        </is>
      </c>
      <c r="F80" s="129" t="inlineStr">
        <is>
          <t>Chauffe rapidement</t>
        </is>
      </c>
      <c r="G80" s="130" t="n">
        <v>9</v>
      </c>
      <c r="H80" s="131" t="n">
        <v>8.800000000000001</v>
      </c>
      <c r="I80" s="131" t="n">
        <v>8.6</v>
      </c>
      <c r="J80" s="131" t="n">
        <v>8.5</v>
      </c>
      <c r="K80" s="131" t="n">
        <v>8.699999999999999</v>
      </c>
      <c r="L80" s="131" t="n">
        <v>8.699999999999999</v>
      </c>
      <c r="M80" s="131" t="n">
        <v>8.9</v>
      </c>
      <c r="N80" s="131" t="n">
        <v>9.1</v>
      </c>
      <c r="O80" s="131" t="n">
        <v>9.300000000000001</v>
      </c>
      <c r="P80" s="131" t="n">
        <v>8</v>
      </c>
      <c r="Q80" s="158">
        <f>IF(COUNT(G80:P80)=10,ROUND((G80*'Pondérations'!$B$5+H80*'Pondérations'!$B$6+I80*'Pondérations'!$B$7+J80*'Pondérations'!$B$8+K80*'Pondérations'!$B$9+L80*'Pondérations'!$B$10+M80*'Pondérations'!$B$11+N80*'Pondérations'!$B$12+O80*'Pondérations'!$B$13+P80*'Pondérations'!$B$14)/'Pondérations'!$B$16,3),"")</f>
        <v/>
      </c>
      <c r="R80" s="159">
        <f>IF(Q80="","",1+COUNTIF($Q$7:$Q$178,"&gt;"&amp;Q80)+COUNTIF($Q$7:Q80,Q80)-1)</f>
        <v/>
      </c>
      <c r="S80" s="132" t="n"/>
      <c r="T80" s="129" t="n"/>
      <c r="U80" s="129" t="n"/>
      <c r="V80" s="133" t="inlineStr">
        <is>
          <t>Élevée</t>
        </is>
      </c>
      <c r="W80" s="129" t="inlineStr">
        <is>
          <t>Headfonics import</t>
        </is>
      </c>
      <c r="X80" s="130" t="n">
        <v>8</v>
      </c>
      <c r="Y80" s="133" t="inlineStr">
        <is>
          <t>Reader</t>
        </is>
      </c>
      <c r="Z80" s="134" t="n">
        <v>45408</v>
      </c>
      <c r="AA80" s="135" t="n">
        <v>3</v>
      </c>
      <c r="AB80" s="139" t="inlineStr">
        <is>
          <t>https://headfonics.com/?s=Colorfly+CDA-M2</t>
        </is>
      </c>
      <c r="AC80" s="129" t="inlineStr">
        <is>
          <t>Portable dongle DAC/amp</t>
        </is>
      </c>
      <c r="AD80" s="133" t="inlineStr">
        <is>
          <t>Ajout Headfonics</t>
        </is>
      </c>
      <c r="AE80" s="135" t="n">
        <v>60</v>
      </c>
      <c r="AF80" s="136" t="n">
        <v>140</v>
      </c>
      <c r="AG80" s="132" t="inlineStr">
        <is>
          <t>Dongle premium neutre et propre, avec beaucoup de contrôle et de fonctions.</t>
        </is>
      </c>
      <c r="AH80" s="129" t="inlineStr">
        <is>
          <t>Neutre/clean.</t>
        </is>
      </c>
      <c r="AI80" s="129" t="inlineStr">
        <is>
          <t>Bonne clarté et polyvalence; restitution plutôt droite.</t>
        </is>
      </c>
      <c r="AJ80" s="129" t="inlineStr">
        <is>
          <t>Chauffe rapidement; accessoires limités.</t>
        </is>
      </c>
      <c r="AK80" s="129" t="inlineStr">
        <is>
          <t>https://headfonics.com/colorfly-cda-m2-review/</t>
        </is>
      </c>
      <c r="AL80" s="135" t="n">
        <v>4</v>
      </c>
      <c r="AM80" s="133" t="inlineStr">
        <is>
          <t>Élevée — 3+ sources, domaines variés</t>
        </is>
      </c>
      <c r="AN80" s="129" t="inlineStr">
        <is>
          <t>https://www.headphonesty.com/2024/08/colorfly-cda-m2-review/</t>
        </is>
      </c>
      <c r="AO80" s="137" t="inlineStr">
        <is>
          <t>https://primeaudio.org/colorfly-cda-m2-review/</t>
        </is>
      </c>
      <c r="AP80" s="129" t="inlineStr">
        <is>
          <t>https://moonstarreviews.net/colorfly-cda-m2-review/</t>
        </is>
      </c>
      <c r="AQ80" s="133" t="inlineStr">
        <is>
          <t>Objectif atteint</t>
        </is>
      </c>
      <c r="AR80" s="129" t="inlineStr">
        <is>
          <t>Review éditoriale: 4</t>
        </is>
      </c>
    </row>
    <row r="81" ht="54" customHeight="1">
      <c r="A81" s="117" t="inlineStr">
        <is>
          <t>ddHiFi</t>
        </is>
      </c>
      <c r="B81" s="117" t="inlineStr">
        <is>
          <t>TC44Pro E2</t>
        </is>
      </c>
      <c r="C81" s="117" t="inlineStr">
        <is>
          <t>Portable Amp/DAC (Headfonics)</t>
        </is>
      </c>
      <c r="D81" s="117" t="inlineStr">
        <is>
          <t>Neutre, légèrement charnu.</t>
        </is>
      </c>
      <c r="E81" s="117" t="inlineStr">
        <is>
          <t>Propreté/contrôle, microdétail, matière/timbres</t>
        </is>
      </c>
      <c r="F81" s="117" t="inlineStr">
        <is>
          <t>Grand pour un dongle</t>
        </is>
      </c>
      <c r="G81" s="118" t="n">
        <v>9.4</v>
      </c>
      <c r="H81" s="119" t="n">
        <v>9</v>
      </c>
      <c r="I81" s="119" t="n">
        <v>8.800000000000001</v>
      </c>
      <c r="J81" s="119" t="n">
        <v>8.699999999999999</v>
      </c>
      <c r="K81" s="119" t="n">
        <v>8.9</v>
      </c>
      <c r="L81" s="119" t="n">
        <v>9.1</v>
      </c>
      <c r="M81" s="119" t="n">
        <v>9</v>
      </c>
      <c r="N81" s="119" t="n">
        <v>8.4</v>
      </c>
      <c r="O81" s="119" t="n">
        <v>9.5</v>
      </c>
      <c r="P81" s="119" t="n">
        <v>8.5</v>
      </c>
      <c r="Q81" s="158">
        <f>IF(COUNT(G81:P81)=10,ROUND((G81*'Pondérations'!$B$5+H81*'Pondérations'!$B$6+I81*'Pondérations'!$B$7+J81*'Pondérations'!$B$8+K81*'Pondérations'!$B$9+L81*'Pondérations'!$B$10+M81*'Pondérations'!$B$11+N81*'Pondérations'!$B$12+O81*'Pondérations'!$B$13+P81*'Pondérations'!$B$14)/'Pondérations'!$B$16,3),"")</f>
        <v/>
      </c>
      <c r="R81" s="159">
        <f>IF(Q81="","",1+COUNTIF($Q$7:$Q$178,"&gt;"&amp;Q81)+COUNTIF($Q$7:Q81,Q81)-1)</f>
        <v/>
      </c>
      <c r="S81" s="122" t="n"/>
      <c r="T81" s="117" t="n"/>
      <c r="U81" s="117" t="n"/>
      <c r="V81" s="123" t="inlineStr">
        <is>
          <t>Élevée</t>
        </is>
      </c>
      <c r="W81" s="117" t="inlineStr">
        <is>
          <t>Headfonics import</t>
        </is>
      </c>
      <c r="X81" s="118" t="n">
        <v>8</v>
      </c>
      <c r="Y81" s="123" t="inlineStr">
        <is>
          <t>Reader</t>
        </is>
      </c>
      <c r="Z81" s="124" t="n">
        <v>45394</v>
      </c>
      <c r="AA81" s="125" t="n">
        <v>4</v>
      </c>
      <c r="AB81" s="126" t="inlineStr">
        <is>
          <t>https://headfonics.com/?s=ddHiFi+TC44Pro+E2</t>
        </is>
      </c>
      <c r="AC81" s="117" t="inlineStr">
        <is>
          <t>Portable dongle DAC/amp</t>
        </is>
      </c>
      <c r="AD81" s="123" t="inlineStr">
        <is>
          <t>Ajout Headfonics</t>
        </is>
      </c>
      <c r="AE81" s="125" t="n">
        <v>61</v>
      </c>
      <c r="AF81" s="127" t="n">
        <v>79</v>
      </c>
      <c r="AG81" s="122" t="inlineStr">
        <is>
          <t>Dongle neutre avec très bonne résolution, tout en conservant du poids et de la texture dans les notes.</t>
        </is>
      </c>
      <c r="AH81" s="117" t="inlineStr">
        <is>
          <t>Neutre, légèrement charnu.</t>
        </is>
      </c>
      <c r="AI81" s="117" t="inlineStr">
        <is>
          <t>Bonne résolution et bonne densité.</t>
        </is>
      </c>
      <c r="AJ81" s="117" t="inlineStr">
        <is>
          <t>Grand pour un dongle; peu de fonctions pour le prix.</t>
        </is>
      </c>
      <c r="AK81" s="117" t="inlineStr">
        <is>
          <t>https://headfonics.com/ddhifi-tc44pro-e2-review/</t>
        </is>
      </c>
      <c r="AL81" s="125" t="n">
        <v>4</v>
      </c>
      <c r="AM81" s="123" t="inlineStr">
        <is>
          <t>Élevée — 3+ sources, domaines variés</t>
        </is>
      </c>
      <c r="AN81" s="117" t="inlineStr">
        <is>
          <t>https://www.head-fi.org/showcase/ddhifi-tc44pro-e2.27259/reviews</t>
        </is>
      </c>
      <c r="AO81" s="128" t="inlineStr">
        <is>
          <t>https://www.headfonia.com/ddhifi-tc44pro-e2-review/</t>
        </is>
      </c>
      <c r="AP81" s="117" t="inlineStr">
        <is>
          <t>https://audio46.com/blogs/headphones/ddhifi-tc44pro-e2-review</t>
        </is>
      </c>
      <c r="AQ81" s="123" t="inlineStr">
        <is>
          <t>Objectif atteint</t>
        </is>
      </c>
      <c r="AR81" s="117" t="inlineStr">
        <is>
          <t>Head-Fi reviews: 1; Review éditoriale: 3</t>
        </is>
      </c>
    </row>
    <row r="82" ht="54" customHeight="1">
      <c r="A82" s="129" t="inlineStr">
        <is>
          <t>Hidizs</t>
        </is>
      </c>
      <c r="B82" s="129" t="inlineStr">
        <is>
          <t>SD2</t>
        </is>
      </c>
      <c r="C82" s="129" t="inlineStr">
        <is>
          <t>Portable Amp/DAC (Headfonics)</t>
        </is>
      </c>
      <c r="D82" s="129" t="inlineStr">
        <is>
          <t>Plutôt neutre.</t>
        </is>
      </c>
      <c r="E82" s="129" t="inlineStr">
        <is>
          <t>Image 3d, profondeur, matière/timbres</t>
        </is>
      </c>
      <c r="F82" s="129" t="inlineStr">
        <is>
          <t>Se raye facilement</t>
        </is>
      </c>
      <c r="G82" s="130" t="n">
        <v>8.9</v>
      </c>
      <c r="H82" s="131" t="n">
        <v>8.699999999999999</v>
      </c>
      <c r="I82" s="131" t="n">
        <v>8.9</v>
      </c>
      <c r="J82" s="131" t="n">
        <v>8.9</v>
      </c>
      <c r="K82" s="131" t="n">
        <v>8.9</v>
      </c>
      <c r="L82" s="131" t="n">
        <v>9.1</v>
      </c>
      <c r="M82" s="131" t="n">
        <v>8.9</v>
      </c>
      <c r="N82" s="131" t="n">
        <v>8.1</v>
      </c>
      <c r="O82" s="131" t="n">
        <v>9.5</v>
      </c>
      <c r="P82" s="131" t="n">
        <v>8.5</v>
      </c>
      <c r="Q82" s="158">
        <f>IF(COUNT(G82:P82)=10,ROUND((G82*'Pondérations'!$B$5+H82*'Pondérations'!$B$6+I82*'Pondérations'!$B$7+J82*'Pondérations'!$B$8+K82*'Pondérations'!$B$9+L82*'Pondérations'!$B$10+M82*'Pondérations'!$B$11+N82*'Pondérations'!$B$12+O82*'Pondérations'!$B$13+P82*'Pondérations'!$B$14)/'Pondérations'!$B$16,3),"")</f>
        <v/>
      </c>
      <c r="R82" s="159">
        <f>IF(Q82="","",1+COUNTIF($Q$7:$Q$178,"&gt;"&amp;Q82)+COUNTIF($Q$7:Q82,Q82)-1)</f>
        <v/>
      </c>
      <c r="S82" s="132" t="n"/>
      <c r="T82" s="129" t="n"/>
      <c r="U82" s="129" t="n"/>
      <c r="V82" s="133" t="inlineStr">
        <is>
          <t>Élevée</t>
        </is>
      </c>
      <c r="W82" s="129" t="inlineStr">
        <is>
          <t>Headfonics import</t>
        </is>
      </c>
      <c r="X82" s="130" t="n">
        <v>7.8</v>
      </c>
      <c r="Y82" s="133" t="inlineStr">
        <is>
          <t>Reader</t>
        </is>
      </c>
      <c r="Z82" s="134" t="n">
        <v>45359</v>
      </c>
      <c r="AA82" s="135" t="n">
        <v>4</v>
      </c>
      <c r="AB82" s="139" t="inlineStr">
        <is>
          <t>https://headfonics.com/?s=Hidizs+SD2</t>
        </is>
      </c>
      <c r="AC82" s="129" t="inlineStr">
        <is>
          <t>Portable dongle DAC/amp</t>
        </is>
      </c>
      <c r="AD82" s="133" t="inlineStr">
        <is>
          <t>Ajout Headfonics</t>
        </is>
      </c>
      <c r="AE82" s="135" t="n">
        <v>62</v>
      </c>
      <c r="AF82" s="136" t="n">
        <v>44</v>
      </c>
      <c r="AG82" s="132" t="inlineStr">
        <is>
          <t>Petit dongle universel surtout réussi par sa portabilité et sa capacité à ouvrir la scène des IEM.</t>
        </is>
      </c>
      <c r="AH82" s="129" t="inlineStr">
        <is>
          <t>Plutôt neutre.</t>
        </is>
      </c>
      <c r="AI82" s="129" t="inlineStr">
        <is>
          <t>Améliore sensiblement l’ouverture avec des IEM.</t>
        </is>
      </c>
      <c r="AJ82" s="129" t="inlineStr">
        <is>
          <t>Se raye facilement; design particulier.</t>
        </is>
      </c>
      <c r="AK82" s="129" t="inlineStr">
        <is>
          <t>https://headfonics.com/hidizs-sd2-review/</t>
        </is>
      </c>
      <c r="AL82" s="135" t="n">
        <v>3</v>
      </c>
      <c r="AM82" s="133" t="inlineStr">
        <is>
          <t>Élevée — 3+ sources, domaines variés</t>
        </is>
      </c>
      <c r="AN82" s="129" t="inlineStr">
        <is>
          <t>https://www.head-fi.org/showcase/hidizs-sd2.27003/reviews</t>
        </is>
      </c>
      <c r="AO82" s="137" t="inlineStr">
        <is>
          <t>https://mobileaudiophile.com/dacs/dongle/hidizs-sd2-review-enjoy-the-versatility/</t>
        </is>
      </c>
      <c r="AP82" s="129" t="n"/>
      <c r="AQ82" s="133" t="inlineStr">
        <is>
          <t>Objectif atteint</t>
        </is>
      </c>
      <c r="AR82" s="129" t="inlineStr">
        <is>
          <t>Head-Fi reviews: 1; Review éditoriale: 2</t>
        </is>
      </c>
    </row>
    <row r="83" ht="54" customHeight="1">
      <c r="A83" s="117" t="inlineStr">
        <is>
          <t>Colorfly</t>
        </is>
      </c>
      <c r="B83" s="117" t="inlineStr">
        <is>
          <t>CDA-M1P</t>
        </is>
      </c>
      <c r="C83" s="117" t="inlineStr">
        <is>
          <t>Portable Amp/DAC (Headfonics)</t>
        </is>
      </c>
      <c r="D83" s="117" t="inlineStr">
        <is>
          <t>Neutre/transparent.</t>
        </is>
      </c>
      <c r="E83" s="117" t="inlineStr">
        <is>
          <t>Layering, image 3d, profondeur</t>
        </is>
      </c>
      <c r="F83" s="117" t="inlineStr">
        <is>
          <t>Chauffe beaucoup et reste lourd pour un dongle</t>
        </is>
      </c>
      <c r="G83" s="118" t="n">
        <v>9.1</v>
      </c>
      <c r="H83" s="119" t="n">
        <v>8.9</v>
      </c>
      <c r="I83" s="119" t="n">
        <v>9</v>
      </c>
      <c r="J83" s="119" t="n">
        <v>9</v>
      </c>
      <c r="K83" s="119" t="n">
        <v>9.199999999999999</v>
      </c>
      <c r="L83" s="119" t="n">
        <v>9.199999999999999</v>
      </c>
      <c r="M83" s="119" t="n">
        <v>9</v>
      </c>
      <c r="N83" s="119" t="n">
        <v>8.9</v>
      </c>
      <c r="O83" s="119" t="n">
        <v>9.300000000000001</v>
      </c>
      <c r="P83" s="119" t="n">
        <v>8.699999999999999</v>
      </c>
      <c r="Q83" s="158">
        <f>IF(COUNT(G83:P83)=10,ROUND((G83*'Pondérations'!$B$5+H83*'Pondérations'!$B$6+I83*'Pondérations'!$B$7+J83*'Pondérations'!$B$8+K83*'Pondérations'!$B$9+L83*'Pondérations'!$B$10+M83*'Pondérations'!$B$11+N83*'Pondérations'!$B$12+O83*'Pondérations'!$B$13+P83*'Pondérations'!$B$14)/'Pondérations'!$B$16,3),"")</f>
        <v/>
      </c>
      <c r="R83" s="159">
        <f>IF(Q83="","",1+COUNTIF($Q$7:$Q$178,"&gt;"&amp;Q83)+COUNTIF($Q$7:Q83,Q83)-1)</f>
        <v/>
      </c>
      <c r="S83" s="122" t="n"/>
      <c r="T83" s="117" t="n"/>
      <c r="U83" s="117" t="n"/>
      <c r="V83" s="123" t="inlineStr">
        <is>
          <t>Élevée</t>
        </is>
      </c>
      <c r="W83" s="117" t="inlineStr">
        <is>
          <t>Headfonics import</t>
        </is>
      </c>
      <c r="X83" s="118" t="n">
        <v>8.199999999999999</v>
      </c>
      <c r="Y83" s="123" t="inlineStr">
        <is>
          <t>Reader</t>
        </is>
      </c>
      <c r="Z83" s="124" t="n">
        <v>45350</v>
      </c>
      <c r="AA83" s="125" t="n">
        <v>4</v>
      </c>
      <c r="AB83" s="126" t="inlineStr">
        <is>
          <t>https://headfonics.com/?s=Colorfly+CDA-M1P</t>
        </is>
      </c>
      <c r="AC83" s="117" t="inlineStr">
        <is>
          <t>Portable dongle DAC/amp</t>
        </is>
      </c>
      <c r="AD83" s="123" t="inlineStr">
        <is>
          <t>Ajout Headfonics</t>
        </is>
      </c>
      <c r="AE83" s="125" t="n">
        <v>63</v>
      </c>
      <c r="AF83" s="138" t="n">
        <v>69</v>
      </c>
      <c r="AG83" s="122" t="inlineStr">
        <is>
          <t>Dongle très neutre et sans coloration, avec bonne clarté du grave et des médiums.</t>
        </is>
      </c>
      <c r="AH83" s="117" t="inlineStr">
        <is>
          <t>Neutre/transparent.</t>
        </is>
      </c>
      <c r="AI83" s="117" t="inlineStr">
        <is>
          <t>Bonne scène avec IEM et bonne séparation.</t>
        </is>
      </c>
      <c r="AJ83" s="117" t="inlineStr">
        <is>
          <t>Chauffe beaucoup et reste lourd pour un dongle.</t>
        </is>
      </c>
      <c r="AK83" s="117" t="inlineStr">
        <is>
          <t>https://headfonics.com/colorfly-cda-m1p-review/</t>
        </is>
      </c>
      <c r="AL83" s="125" t="n">
        <v>4</v>
      </c>
      <c r="AM83" s="123" t="inlineStr">
        <is>
          <t>Élevée — 3+ sources, domaines variés</t>
        </is>
      </c>
      <c r="AN83" s="117" t="inlineStr">
        <is>
          <t>https://www.head-fi.org/showcase/colorfly-cda-m1p-portable-hifi-dsd512-usb-ak4493seq-dac-amplifier.27007/reviews</t>
        </is>
      </c>
      <c r="AO83" s="128" t="inlineStr">
        <is>
          <t>https://www.audioreviews.org/colorfly-cda-m1p-review-dw/</t>
        </is>
      </c>
      <c r="AP83" s="117" t="inlineStr">
        <is>
          <t>https://androidbrick.com/colorfly-cda-m1p-review/</t>
        </is>
      </c>
      <c r="AQ83" s="123" t="inlineStr">
        <is>
          <t>Objectif atteint</t>
        </is>
      </c>
      <c r="AR83" s="117" t="inlineStr">
        <is>
          <t>Head-Fi reviews: 1; Review éditoriale: 3</t>
        </is>
      </c>
    </row>
    <row r="84" ht="54" customHeight="1">
      <c r="A84" s="129" t="inlineStr">
        <is>
          <t>FiiO</t>
        </is>
      </c>
      <c r="B84" s="129" t="inlineStr">
        <is>
          <t>Q15</t>
        </is>
      </c>
      <c r="C84" s="129" t="inlineStr">
        <is>
          <t>Portable Amp/DAC (Headfonics)</t>
        </is>
      </c>
      <c r="D84" s="129" t="inlineStr">
        <is>
          <t>Neutre/technique, polyvalent.</t>
        </is>
      </c>
      <c r="E84" s="129" t="inlineStr">
        <is>
          <t>Propreté/contrôle, dynamique, microdétail</t>
        </is>
      </c>
      <c r="F84" s="129" t="inlineStr">
        <is>
          <t>Assez volumineux pour un usage empilé avec téléphone</t>
        </is>
      </c>
      <c r="G84" s="130" t="n">
        <v>9.199999999999999</v>
      </c>
      <c r="H84" s="131" t="n">
        <v>8.9</v>
      </c>
      <c r="I84" s="131" t="n">
        <v>8.699999999999999</v>
      </c>
      <c r="J84" s="131" t="n">
        <v>8.699999999999999</v>
      </c>
      <c r="K84" s="131" t="n">
        <v>8.800000000000001</v>
      </c>
      <c r="L84" s="131" t="n">
        <v>8.800000000000001</v>
      </c>
      <c r="M84" s="131" t="n">
        <v>9</v>
      </c>
      <c r="N84" s="131" t="n">
        <v>8.699999999999999</v>
      </c>
      <c r="O84" s="131" t="n">
        <v>8</v>
      </c>
      <c r="P84" s="131" t="n">
        <v>8.300000000000001</v>
      </c>
      <c r="Q84" s="158">
        <f>IF(COUNT(G84:P84)=10,ROUND((G84*'Pondérations'!$B$5+H84*'Pondérations'!$B$6+I84*'Pondérations'!$B$7+J84*'Pondérations'!$B$8+K84*'Pondérations'!$B$9+L84*'Pondérations'!$B$10+M84*'Pondérations'!$B$11+N84*'Pondérations'!$B$12+O84*'Pondérations'!$B$13+P84*'Pondérations'!$B$14)/'Pondérations'!$B$16,3),"")</f>
        <v/>
      </c>
      <c r="R84" s="159">
        <f>IF(Q84="","",1+COUNTIF($Q$7:$Q$178,"&gt;"&amp;Q84)+COUNTIF($Q$7:Q84,Q84)-1)</f>
        <v/>
      </c>
      <c r="S84" s="132" t="n"/>
      <c r="T84" s="129" t="n"/>
      <c r="U84" s="129" t="n"/>
      <c r="V84" s="133" t="inlineStr">
        <is>
          <t>Élevée</t>
        </is>
      </c>
      <c r="W84" s="129" t="inlineStr">
        <is>
          <t>Headfonics import</t>
        </is>
      </c>
      <c r="X84" s="130" t="n"/>
      <c r="Y84" s="133" t="inlineStr">
        <is>
          <t>Reader (non relevé)</t>
        </is>
      </c>
      <c r="Z84" s="134" t="n">
        <v>45339</v>
      </c>
      <c r="AA84" s="135" t="n">
        <v>4</v>
      </c>
      <c r="AB84" s="139" t="inlineStr">
        <is>
          <t>https://headfonics.com/?s=FiiO+Q15</t>
        </is>
      </c>
      <c r="AC84" s="129" t="inlineStr">
        <is>
          <t>Portable DAC/amp</t>
        </is>
      </c>
      <c r="AD84" s="133" t="inlineStr">
        <is>
          <t>Ajout Headfonics</t>
        </is>
      </c>
      <c r="AE84" s="135" t="n">
        <v>64</v>
      </c>
      <c r="AF84" s="136" t="n">
        <v>351</v>
      </c>
      <c r="AG84" s="132" t="inlineStr">
        <is>
          <t>Portable très complet, bien construit et silencieux, avec une résolution solide et assez de puissance pour beaucoup de casques.</t>
        </is>
      </c>
      <c r="AH84" s="129" t="inlineStr">
        <is>
          <t>Neutre/technique, polyvalent.</t>
        </is>
      </c>
      <c r="AI84" s="129" t="inlineStr">
        <is>
          <t>Bonne résolution, très bon contrôle du bruit et dynamique robuste.</t>
        </is>
      </c>
      <c r="AJ84" s="129" t="inlineStr">
        <is>
          <t>Assez volumineux pour un usage empilé avec téléphone.</t>
        </is>
      </c>
      <c r="AK84" s="129" t="inlineStr">
        <is>
          <t>https://headfonics.com/fiio-q15-review/</t>
        </is>
      </c>
      <c r="AL84" s="135" t="n">
        <v>4</v>
      </c>
      <c r="AM84" s="133" t="inlineStr">
        <is>
          <t>Élevée — 3+ sources, domaines variés</t>
        </is>
      </c>
      <c r="AN84" s="129" t="inlineStr">
        <is>
          <t>https://www.head-fi.org/showcase/fiio-q15.26846/reviews</t>
        </is>
      </c>
      <c r="AO84" s="137" t="inlineStr">
        <is>
          <t>https://www.headfonia.com/fiio-q15-review/</t>
        </is>
      </c>
      <c r="AP84" s="129" t="inlineStr">
        <is>
          <t>https://www.androidcentral.com/accessories/audio/fiio-q15-review</t>
        </is>
      </c>
      <c r="AQ84" s="133" t="inlineStr">
        <is>
          <t>Objectif atteint</t>
        </is>
      </c>
      <c r="AR84" s="129" t="inlineStr">
        <is>
          <t>Head-Fi reviews: 1; Review éditoriale: 3</t>
        </is>
      </c>
    </row>
    <row r="85" ht="54" customHeight="1">
      <c r="A85" s="117" t="inlineStr">
        <is>
          <t>iFi audio</t>
        </is>
      </c>
      <c r="B85" s="117" t="inlineStr">
        <is>
          <t>iDSD Diablo 2</t>
        </is>
      </c>
      <c r="C85" s="117" t="inlineStr">
        <is>
          <t>Portable Amp/DAC (Headfonics)</t>
        </is>
      </c>
      <c r="D85" s="117" t="inlineStr">
        <is>
          <t>Énergique, plutôt neutre-vif.</t>
        </is>
      </c>
      <c r="E85" s="117" t="inlineStr">
        <is>
          <t>Image 3d, propreté/contrôle, microdétail</t>
        </is>
      </c>
      <c r="F85" s="117" t="inlineStr">
        <is>
          <t>Peu pocket-friendly</t>
        </is>
      </c>
      <c r="G85" s="118" t="n">
        <v>9.1</v>
      </c>
      <c r="H85" s="119" t="n">
        <v>8.9</v>
      </c>
      <c r="I85" s="119" t="n">
        <v>8.699999999999999</v>
      </c>
      <c r="J85" s="119" t="n">
        <v>8.800000000000001</v>
      </c>
      <c r="K85" s="119" t="n">
        <v>8.800000000000001</v>
      </c>
      <c r="L85" s="119" t="n">
        <v>9</v>
      </c>
      <c r="M85" s="119" t="n">
        <v>8.9</v>
      </c>
      <c r="N85" s="119" t="n">
        <v>8.9</v>
      </c>
      <c r="O85" s="119" t="n">
        <v>8</v>
      </c>
      <c r="P85" s="119" t="n">
        <v>8.300000000000001</v>
      </c>
      <c r="Q85" s="158">
        <f>IF(COUNT(G85:P85)=10,ROUND((G85*'Pondérations'!$B$5+H85*'Pondérations'!$B$6+I85*'Pondérations'!$B$7+J85*'Pondérations'!$B$8+K85*'Pondérations'!$B$9+L85*'Pondérations'!$B$10+M85*'Pondérations'!$B$11+N85*'Pondérations'!$B$12+O85*'Pondérations'!$B$13+P85*'Pondérations'!$B$14)/'Pondérations'!$B$16,3),"")</f>
        <v/>
      </c>
      <c r="R85" s="159">
        <f>IF(Q85="","",1+COUNTIF($Q$7:$Q$178,"&gt;"&amp;Q85)+COUNTIF($Q$7:Q85,Q85)-1)</f>
        <v/>
      </c>
      <c r="S85" s="122" t="n"/>
      <c r="T85" s="117" t="n"/>
      <c r="U85" s="117" t="n"/>
      <c r="V85" s="123" t="inlineStr">
        <is>
          <t>Élevée</t>
        </is>
      </c>
      <c r="W85" s="117" t="inlineStr">
        <is>
          <t>Headfonics import</t>
        </is>
      </c>
      <c r="X85" s="118" t="n">
        <v>8.800000000000001</v>
      </c>
      <c r="Y85" s="123" t="inlineStr">
        <is>
          <t>Reader</t>
        </is>
      </c>
      <c r="Z85" s="124" t="n">
        <v>45318</v>
      </c>
      <c r="AA85" s="125" t="n">
        <v>4</v>
      </c>
      <c r="AB85" s="126" t="inlineStr">
        <is>
          <t>https://headfonics.com/?s=iFi+audio+iDSD+Diablo+2</t>
        </is>
      </c>
      <c r="AC85" s="117" t="inlineStr">
        <is>
          <t>Transportable/portable DAC/amp</t>
        </is>
      </c>
      <c r="AD85" s="123" t="inlineStr">
        <is>
          <t>Ajout Headfonics</t>
        </is>
      </c>
      <c r="AE85" s="125" t="n">
        <v>65</v>
      </c>
      <c r="AF85" s="138" t="n">
        <v>1141</v>
      </c>
      <c r="AG85" s="122" t="inlineStr">
        <is>
          <t>Évolution nette du Diablo original, plus détaillée, énergique et très polyvalente.</t>
        </is>
      </c>
      <c r="AH85" s="117" t="inlineStr">
        <is>
          <t>Énergique, plutôt neutre-vif.</t>
        </is>
      </c>
      <c r="AI85" s="117" t="inlineStr">
        <is>
          <t>Très bonne production de détail, faible bruit de fond et forte puissance.</t>
        </is>
      </c>
      <c r="AJ85" s="117" t="inlineStr">
        <is>
          <t>Peu pocket-friendly; déséquilibre de canal à très faible volume.</t>
        </is>
      </c>
      <c r="AK85" s="117" t="inlineStr">
        <is>
          <t>https://headfonics.com/ifi-audio-idsd-diablo-2-review/</t>
        </is>
      </c>
      <c r="AL85" s="125" t="n">
        <v>4</v>
      </c>
      <c r="AM85" s="123" t="inlineStr">
        <is>
          <t>Élevée — 3+ sources, domaines variés</t>
        </is>
      </c>
      <c r="AN85" s="117" t="inlineStr">
        <is>
          <t>https://www.head-fi.org/showcase/ifi-audio-idsd-diablo-2.26962/reviews</t>
        </is>
      </c>
      <c r="AO85" s="128" t="inlineStr">
        <is>
          <t>https://www.techradar.com/audio/hi-fi/ifi-idsd-diablo-2-review-the-red-dacs-more-devilishly-good-second-time-around</t>
        </is>
      </c>
      <c r="AP85" s="117" t="inlineStr">
        <is>
          <t>https://audio46.com/blogs/headphones/ifi-diablo-2-review</t>
        </is>
      </c>
      <c r="AQ85" s="123" t="inlineStr">
        <is>
          <t>Objectif atteint</t>
        </is>
      </c>
      <c r="AR85" s="117" t="inlineStr">
        <is>
          <t>Head-Fi reviews: 1; Review éditoriale: 3</t>
        </is>
      </c>
    </row>
    <row r="86" ht="54" customHeight="1">
      <c r="A86" s="129" t="inlineStr">
        <is>
          <t>ddHiFi</t>
        </is>
      </c>
      <c r="B86" s="129" t="inlineStr">
        <is>
          <t>TC35Pro Eye2 &amp; Mountain2</t>
        </is>
      </c>
      <c r="C86" s="129" t="inlineStr">
        <is>
          <t>Portable Amp/DAC (Headfonics)</t>
        </is>
      </c>
      <c r="D86" s="129" t="inlineStr">
        <is>
          <t>Fraîche, énergique</t>
        </is>
      </c>
      <c r="E86" s="129" t="inlineStr">
        <is>
          <t>Puissance, dynamique, propreté/contrôle</t>
        </is>
      </c>
      <c r="F86" s="129" t="inlineStr">
        <is>
          <t>Peu de fonctions</t>
        </is>
      </c>
      <c r="G86" s="130" t="n">
        <v>9.199999999999999</v>
      </c>
      <c r="H86" s="131" t="n">
        <v>8.9</v>
      </c>
      <c r="I86" s="131" t="n">
        <v>8.6</v>
      </c>
      <c r="J86" s="131" t="n">
        <v>8.5</v>
      </c>
      <c r="K86" s="131" t="n">
        <v>8.800000000000001</v>
      </c>
      <c r="L86" s="131" t="n">
        <v>8.6</v>
      </c>
      <c r="M86" s="131" t="n">
        <v>9.1</v>
      </c>
      <c r="N86" s="131" t="n">
        <v>7.5</v>
      </c>
      <c r="O86" s="131" t="n">
        <v>9.5</v>
      </c>
      <c r="P86" s="131" t="n">
        <v>8.1</v>
      </c>
      <c r="Q86" s="158">
        <f>IF(COUNT(G86:P86)=10,ROUND((G86*'Pondérations'!$B$5+H86*'Pondérations'!$B$6+I86*'Pondérations'!$B$7+J86*'Pondérations'!$B$8+K86*'Pondérations'!$B$9+L86*'Pondérations'!$B$10+M86*'Pondérations'!$B$11+N86*'Pondérations'!$B$12+O86*'Pondérations'!$B$13+P86*'Pondérations'!$B$14)/'Pondérations'!$B$16,3),"")</f>
        <v/>
      </c>
      <c r="R86" s="159">
        <f>IF(Q86="","",1+COUNTIF($Q$7:$Q$178,"&gt;"&amp;Q86)+COUNTIF($Q$7:Q86,Q86)-1)</f>
        <v/>
      </c>
      <c r="S86" s="132" t="n"/>
      <c r="T86" s="129" t="n"/>
      <c r="U86" s="129" t="n"/>
      <c r="V86" s="133" t="inlineStr">
        <is>
          <t>Élevée</t>
        </is>
      </c>
      <c r="W86" s="129" t="inlineStr">
        <is>
          <t>Headfonics import</t>
        </is>
      </c>
      <c r="X86" s="130" t="n">
        <v>7.9</v>
      </c>
      <c r="Y86" s="133" t="inlineStr">
        <is>
          <t>Reader</t>
        </is>
      </c>
      <c r="Z86" s="134" t="n">
        <v>45294</v>
      </c>
      <c r="AA86" s="135" t="n">
        <v>4</v>
      </c>
      <c r="AB86" s="139" t="inlineStr">
        <is>
          <t>https://headfonics.com/?s=ddHiFi+TC35Pro+Eye2+%26+Mountain2</t>
        </is>
      </c>
      <c r="AC86" s="129" t="inlineStr">
        <is>
          <t>Portable USB DAC adapters</t>
        </is>
      </c>
      <c r="AD86" s="133" t="inlineStr">
        <is>
          <t>Ajout Headfonics</t>
        </is>
      </c>
      <c r="AE86" s="135" t="n">
        <v>66</v>
      </c>
      <c r="AF86" s="136" t="n">
        <v>62</v>
      </c>
      <c r="AG86" s="132" t="inlineStr">
        <is>
          <t>Deux dongles équilibrés, assez résolvants, à la tonalité plutôt fraîche et énergique; adaptés surtout aux IEM milieu de gamme.</t>
        </is>
      </c>
      <c r="AH86" s="129" t="inlineStr">
        <is>
          <t>Fraîche, énergique</t>
        </is>
      </c>
      <c r="AI86" s="129" t="inlineStr">
        <is>
          <t>Bonne résolution et séparation générale, sans puissance ni scène exceptionnelles</t>
        </is>
      </c>
      <c r="AJ86" s="129" t="inlineStr">
        <is>
          <t>Peu de fonctions; puissance moyenne pour le prix</t>
        </is>
      </c>
      <c r="AK86" s="129" t="inlineStr">
        <is>
          <t>https://headfonics.com/ddhifi-tc35pro-eye2-mountain2-review/</t>
        </is>
      </c>
      <c r="AL86" s="135" t="n">
        <v>3</v>
      </c>
      <c r="AM86" s="133" t="inlineStr">
        <is>
          <t>Élevée — 3+ sources, domaines variés</t>
        </is>
      </c>
      <c r="AN86" s="129" t="inlineStr">
        <is>
          <t>https://www.headfonia.com/ddhifi-tc35pro-eye2-mountain2-review/</t>
        </is>
      </c>
      <c r="AO86" s="137" t="inlineStr">
        <is>
          <t>https://androidbrick.com/ddhifi-tc35pro-eye2-and-mountain2-review/</t>
        </is>
      </c>
      <c r="AP86" s="129" t="n"/>
      <c r="AQ86" s="133" t="inlineStr">
        <is>
          <t>Objectif atteint</t>
        </is>
      </c>
      <c r="AR86" s="129" t="inlineStr">
        <is>
          <t>Review éditoriale: 3</t>
        </is>
      </c>
    </row>
    <row r="87" ht="54" customHeight="1">
      <c r="A87" s="117" t="inlineStr">
        <is>
          <t>Shanling</t>
        </is>
      </c>
      <c r="B87" s="117" t="inlineStr">
        <is>
          <t>UA1 Plus</t>
        </is>
      </c>
      <c r="C87" s="117" t="inlineStr">
        <is>
          <t>Portable Amp/DAC (Headfonics)</t>
        </is>
      </c>
      <c r="D87" s="117" t="inlineStr">
        <is>
          <t>Neutre/propre.</t>
        </is>
      </c>
      <c r="E87" s="117" t="inlineStr">
        <is>
          <t>Propreté/contrôle, dynamique, microdétail</t>
        </is>
      </c>
      <c r="F87" s="117" t="inlineStr">
        <is>
          <t>Puissance limitée</t>
        </is>
      </c>
      <c r="G87" s="118" t="n">
        <v>9.4</v>
      </c>
      <c r="H87" s="119" t="n">
        <v>8.9</v>
      </c>
      <c r="I87" s="119" t="n">
        <v>8.6</v>
      </c>
      <c r="J87" s="119" t="n">
        <v>8.4</v>
      </c>
      <c r="K87" s="119" t="n">
        <v>8.800000000000001</v>
      </c>
      <c r="L87" s="119" t="n">
        <v>8.699999999999999</v>
      </c>
      <c r="M87" s="119" t="n">
        <v>9</v>
      </c>
      <c r="N87" s="119" t="n">
        <v>7</v>
      </c>
      <c r="O87" s="119" t="n">
        <v>9.5</v>
      </c>
      <c r="P87" s="119" t="n">
        <v>8.300000000000001</v>
      </c>
      <c r="Q87" s="158">
        <f>IF(COUNT(G87:P87)=10,ROUND((G87*'Pondérations'!$B$5+H87*'Pondérations'!$B$6+I87*'Pondérations'!$B$7+J87*'Pondérations'!$B$8+K87*'Pondérations'!$B$9+L87*'Pondérations'!$B$10+M87*'Pondérations'!$B$11+N87*'Pondérations'!$B$12+O87*'Pondérations'!$B$13+P87*'Pondérations'!$B$14)/'Pondérations'!$B$16,3),"")</f>
        <v/>
      </c>
      <c r="R87" s="159">
        <f>IF(Q87="","",1+COUNTIF($Q$7:$Q$178,"&gt;"&amp;Q87)+COUNTIF($Q$7:Q87,Q87)-1)</f>
        <v/>
      </c>
      <c r="S87" s="122" t="n"/>
      <c r="T87" s="117" t="n"/>
      <c r="U87" s="117" t="n"/>
      <c r="V87" s="123" t="inlineStr">
        <is>
          <t>Élevée</t>
        </is>
      </c>
      <c r="W87" s="117" t="inlineStr">
        <is>
          <t>Headfonics import</t>
        </is>
      </c>
      <c r="X87" s="118" t="n">
        <v>8</v>
      </c>
      <c r="Y87" s="123" t="inlineStr">
        <is>
          <t>Reader</t>
        </is>
      </c>
      <c r="Z87" s="124" t="n">
        <v>45290</v>
      </c>
      <c r="AA87" s="125" t="n">
        <v>4</v>
      </c>
      <c r="AB87" s="126" t="inlineStr">
        <is>
          <t>https://headfonics.com/?s=Shanling+UA1+Plus</t>
        </is>
      </c>
      <c r="AC87" s="117" t="inlineStr">
        <is>
          <t>Portable dongle DAC/amp</t>
        </is>
      </c>
      <c r="AD87" s="123" t="inlineStr">
        <is>
          <t>Ajout Headfonics</t>
        </is>
      </c>
      <c r="AE87" s="125" t="n">
        <v>67</v>
      </c>
      <c r="AF87" s="138" t="n">
        <v>43</v>
      </c>
      <c r="AG87" s="122" t="inlineStr">
        <is>
          <t>Petit dongle sobre et peu énergivore, avec fond sombre et qualité correcte pour IEM.</t>
        </is>
      </c>
      <c r="AH87" s="117" t="inlineStr">
        <is>
          <t>Neutre/propre.</t>
        </is>
      </c>
      <c r="AI87" s="117" t="inlineStr">
        <is>
          <t>Fond noir et fluidité correcte; spatialisation modeste.</t>
        </is>
      </c>
      <c r="AJ87" s="117" t="inlineStr">
        <is>
          <t>Puissance limitée.</t>
        </is>
      </c>
      <c r="AK87" s="117" t="inlineStr">
        <is>
          <t>https://headfonics.com/shanling-ua1-plus-review/</t>
        </is>
      </c>
      <c r="AL87" s="125" t="n">
        <v>4</v>
      </c>
      <c r="AM87" s="123" t="inlineStr">
        <is>
          <t>Élevée — 3+ sources, domaines variés</t>
        </is>
      </c>
      <c r="AN87" s="117" t="inlineStr">
        <is>
          <t>https://www.head-fi.org/showcase/shanling-ua1-plus.26636/reviews</t>
        </is>
      </c>
      <c r="AO87" s="128" t="inlineStr">
        <is>
          <t>https://androidbrick.com/shanling-ua1-plus-review/</t>
        </is>
      </c>
      <c r="AP87" s="117" t="inlineStr">
        <is>
          <t>https://ichos-reviews.com/shanling-ua1-plus-review/</t>
        </is>
      </c>
      <c r="AQ87" s="123" t="inlineStr">
        <is>
          <t>Objectif atteint</t>
        </is>
      </c>
      <c r="AR87" s="117" t="inlineStr">
        <is>
          <t>Head-Fi reviews: 1; Review éditoriale: 3</t>
        </is>
      </c>
    </row>
    <row r="88" ht="54" customHeight="1">
      <c r="A88" s="129" t="inlineStr">
        <is>
          <t>iFi audio</t>
        </is>
      </c>
      <c r="B88" s="129" t="inlineStr">
        <is>
          <t>hip-dac 3</t>
        </is>
      </c>
      <c r="C88" s="129" t="inlineStr">
        <is>
          <t>Portable Amp/DAC (Headfonics)</t>
        </is>
      </c>
      <c r="D88" s="129" t="inlineStr">
        <is>
          <t>Légèrement chaud/organique.</t>
        </is>
      </c>
      <c r="E88" s="129" t="inlineStr">
        <is>
          <t>Propreté/contrôle, microdétail, puissance</t>
        </is>
      </c>
      <c r="F88" s="129" t="inlineStr">
        <is>
          <t>Pas d’app de contrôle</t>
        </is>
      </c>
      <c r="G88" s="130" t="n">
        <v>9.4</v>
      </c>
      <c r="H88" s="131" t="n">
        <v>9.1</v>
      </c>
      <c r="I88" s="131" t="n">
        <v>8.6</v>
      </c>
      <c r="J88" s="131" t="n">
        <v>8.5</v>
      </c>
      <c r="K88" s="131" t="n">
        <v>8.800000000000001</v>
      </c>
      <c r="L88" s="131" t="n">
        <v>8.800000000000001</v>
      </c>
      <c r="M88" s="131" t="n">
        <v>9.1</v>
      </c>
      <c r="N88" s="131" t="n">
        <v>9.199999999999999</v>
      </c>
      <c r="O88" s="131" t="n">
        <v>7.2</v>
      </c>
      <c r="P88" s="131" t="n">
        <v>8.199999999999999</v>
      </c>
      <c r="Q88" s="158">
        <f>IF(COUNT(G88:P88)=10,ROUND((G88*'Pondérations'!$B$5+H88*'Pondérations'!$B$6+I88*'Pondérations'!$B$7+J88*'Pondérations'!$B$8+K88*'Pondérations'!$B$9+L88*'Pondérations'!$B$10+M88*'Pondérations'!$B$11+N88*'Pondérations'!$B$12+O88*'Pondérations'!$B$13+P88*'Pondérations'!$B$14)/'Pondérations'!$B$16,3),"")</f>
        <v/>
      </c>
      <c r="R88" s="159">
        <f>IF(Q88="","",1+COUNTIF($Q$7:$Q$178,"&gt;"&amp;Q88)+COUNTIF($Q$7:Q88,Q88)-1)</f>
        <v/>
      </c>
      <c r="S88" s="132" t="n"/>
      <c r="T88" s="129" t="n"/>
      <c r="U88" s="129" t="n"/>
      <c r="V88" s="133" t="inlineStr">
        <is>
          <t>Élevée</t>
        </is>
      </c>
      <c r="W88" s="129" t="inlineStr">
        <is>
          <t>Headfonics import</t>
        </is>
      </c>
      <c r="X88" s="130" t="n">
        <v>8.1</v>
      </c>
      <c r="Y88" s="133" t="inlineStr">
        <is>
          <t>Reader</t>
        </is>
      </c>
      <c r="Z88" s="134" t="n">
        <v>45271</v>
      </c>
      <c r="AA88" s="135" t="n">
        <v>4</v>
      </c>
      <c r="AB88" s="139" t="inlineStr">
        <is>
          <t>https://headfonics.com/?s=iFi+audio+hip-dac+3</t>
        </is>
      </c>
      <c r="AC88" s="129" t="inlineStr">
        <is>
          <t>Battery portable DAC/amp</t>
        </is>
      </c>
      <c r="AD88" s="133" t="inlineStr">
        <is>
          <t>Ajout Headfonics</t>
        </is>
      </c>
      <c r="AE88" s="135" t="n">
        <v>68</v>
      </c>
      <c r="AF88" s="127" t="n">
        <v>199</v>
      </c>
      <c r="AG88" s="132" t="inlineStr">
        <is>
          <t>Version la plus aboutie du hip-dac, avec fond sombre, puissance correcte et meilleure gestion des IEM grâce à IEMatch.</t>
        </is>
      </c>
      <c r="AH88" s="129" t="inlineStr">
        <is>
          <t>Légèrement chaud/organique.</t>
        </is>
      </c>
      <c r="AI88" s="129" t="inlineStr">
        <is>
          <t>Bonne dynamique et bruit très bas.</t>
        </is>
      </c>
      <c r="AJ88" s="129" t="inlineStr">
        <is>
          <t>Pas d’app de contrôle; format toujours plus gros qu’un dongle.</t>
        </is>
      </c>
      <c r="AK88" s="129" t="inlineStr">
        <is>
          <t>https://headfonics.com/ifi-audio-hip-dac-3-review/</t>
        </is>
      </c>
      <c r="AL88" s="135" t="n">
        <v>4</v>
      </c>
      <c r="AM88" s="133" t="inlineStr">
        <is>
          <t>Élevée — 3+ sources, domaines variés</t>
        </is>
      </c>
      <c r="AN88" s="129" t="inlineStr">
        <is>
          <t>https://www.head-fi.org/showcase/ifi-audio-hip-dac-3.26837/reviews</t>
        </is>
      </c>
      <c r="AO88" s="137" t="inlineStr">
        <is>
          <t>https://www.whathifi.com/reviews/ifi-hip-dac-3</t>
        </is>
      </c>
      <c r="AP88" s="129" t="inlineStr">
        <is>
          <t>https://www.headphonesty.com/2024/02/ifi-hip-dac-3-review/</t>
        </is>
      </c>
      <c r="AQ88" s="133" t="inlineStr">
        <is>
          <t>Objectif atteint</t>
        </is>
      </c>
      <c r="AR88" s="129" t="inlineStr">
        <is>
          <t>Head-Fi reviews: 1; Review éditoriale: 3</t>
        </is>
      </c>
    </row>
    <row r="89" ht="54" customHeight="1">
      <c r="A89" s="117" t="inlineStr">
        <is>
          <t>Hidizs</t>
        </is>
      </c>
      <c r="B89" s="117" t="inlineStr">
        <is>
          <t>S9 Pro Plus Martha</t>
        </is>
      </c>
      <c r="C89" s="117" t="inlineStr">
        <is>
          <t>Portable Amp/DAC (Headfonics)</t>
        </is>
      </c>
      <c r="D89" s="117" t="inlineStr">
        <is>
          <t>Plutôt neutre, modulable par filtres.</t>
        </is>
      </c>
      <c r="E89" s="117" t="inlineStr">
        <is>
          <t>Propreté/contrôle, microdétail, image 3d</t>
        </is>
      </c>
      <c r="F89" s="117" t="inlineStr">
        <is>
          <t>Puissance réduite</t>
        </is>
      </c>
      <c r="G89" s="118" t="n">
        <v>9.1</v>
      </c>
      <c r="H89" s="119" t="n">
        <v>8.199999999999999</v>
      </c>
      <c r="I89" s="119" t="n">
        <v>8.699999999999999</v>
      </c>
      <c r="J89" s="119" t="n">
        <v>8.699999999999999</v>
      </c>
      <c r="K89" s="119" t="n">
        <v>8.699999999999999</v>
      </c>
      <c r="L89" s="119" t="n">
        <v>9</v>
      </c>
      <c r="M89" s="119" t="n">
        <v>8.9</v>
      </c>
      <c r="N89" s="119" t="n">
        <v>8.699999999999999</v>
      </c>
      <c r="O89" s="119" t="n">
        <v>9.6</v>
      </c>
      <c r="P89" s="119" t="n">
        <v>8.300000000000001</v>
      </c>
      <c r="Q89" s="158">
        <f>IF(COUNT(G89:P89)=10,ROUND((G89*'Pondérations'!$B$5+H89*'Pondérations'!$B$6+I89*'Pondérations'!$B$7+J89*'Pondérations'!$B$8+K89*'Pondérations'!$B$9+L89*'Pondérations'!$B$10+M89*'Pondérations'!$B$11+N89*'Pondérations'!$B$12+O89*'Pondérations'!$B$13+P89*'Pondérations'!$B$14)/'Pondérations'!$B$16,3),"")</f>
        <v/>
      </c>
      <c r="R89" s="159">
        <f>IF(Q89="","",1+COUNTIF($Q$7:$Q$178,"&gt;"&amp;Q89)+COUNTIF($Q$7:Q89,Q89)-1)</f>
        <v/>
      </c>
      <c r="S89" s="122" t="n"/>
      <c r="T89" s="117" t="n"/>
      <c r="U89" s="117" t="n"/>
      <c r="V89" s="123" t="inlineStr">
        <is>
          <t>Élevée</t>
        </is>
      </c>
      <c r="W89" s="117" t="inlineStr">
        <is>
          <t>Headfonics import</t>
        </is>
      </c>
      <c r="X89" s="118" t="n">
        <v>8.1</v>
      </c>
      <c r="Y89" s="123" t="inlineStr">
        <is>
          <t>Reader</t>
        </is>
      </c>
      <c r="Z89" s="124" t="n">
        <v>45264</v>
      </c>
      <c r="AA89" s="125" t="n">
        <v>4</v>
      </c>
      <c r="AB89" s="126" t="inlineStr">
        <is>
          <t>https://headfonics.com/?s=Hidizs+S9+Pro+Plus+Martha</t>
        </is>
      </c>
      <c r="AC89" s="117" t="inlineStr">
        <is>
          <t>Portable dongle DAC/amp</t>
        </is>
      </c>
      <c r="AD89" s="123" t="inlineStr">
        <is>
          <t>Ajout Headfonics</t>
        </is>
      </c>
      <c r="AE89" s="125" t="n">
        <v>69</v>
      </c>
      <c r="AF89" s="127" t="n">
        <v>85</v>
      </c>
      <c r="AG89" s="122" t="inlineStr">
        <is>
          <t>Dongle très compact et bon rapport qualité/prix, avec filtres intéressants et volume intégré.</t>
        </is>
      </c>
      <c r="AH89" s="117" t="inlineStr">
        <is>
          <t>Plutôt neutre, modulable par filtres.</t>
        </is>
      </c>
      <c r="AI89" s="117" t="inlineStr">
        <is>
          <t>Bonne performance générale mais moins de puissance que le S9 Pro.</t>
        </is>
      </c>
      <c r="AJ89" s="117" t="inlineStr">
        <is>
          <t>Puissance réduite; pas de câble iOS inclus.</t>
        </is>
      </c>
      <c r="AK89" s="117" t="inlineStr">
        <is>
          <t>https://headfonics.com/hidizs-s9-pro-plus-martha-review/</t>
        </is>
      </c>
      <c r="AL89" s="125" t="n">
        <v>4</v>
      </c>
      <c r="AM89" s="123" t="inlineStr">
        <is>
          <t>Élevée — 3+ sources, domaines variés</t>
        </is>
      </c>
      <c r="AN89" s="117" t="inlineStr">
        <is>
          <t>https://www.head-fi.org/showcase/hidizs-s9-pro-plus-martha.26811/reviews</t>
        </is>
      </c>
      <c r="AO89" s="128" t="inlineStr">
        <is>
          <t>https://www.headphonesty.com/2023/12/review-hidizs-s9-pro-plus-martha/</t>
        </is>
      </c>
      <c r="AP89" s="117" t="inlineStr">
        <is>
          <t>https://mobileaudiophile.com/dacs/hidizs-s9-pro-plus-martha-review/</t>
        </is>
      </c>
      <c r="AQ89" s="123" t="inlineStr">
        <is>
          <t>Objectif atteint</t>
        </is>
      </c>
      <c r="AR89" s="117" t="inlineStr">
        <is>
          <t>Head-Fi reviews: 1; Review éditoriale: 3</t>
        </is>
      </c>
    </row>
    <row r="90" ht="54" customHeight="1">
      <c r="A90" s="129" t="inlineStr">
        <is>
          <t>xDuoo</t>
        </is>
      </c>
      <c r="B90" s="129" t="inlineStr">
        <is>
          <t>XD05 Pro</t>
        </is>
      </c>
      <c r="C90" s="129" t="inlineStr">
        <is>
          <t>Portable Amp/DAC (Headfonics)</t>
        </is>
      </c>
      <c r="D90" s="129" t="inlineStr">
        <is>
          <t>Variable selon modules; stock plutôt neutre/technique.</t>
        </is>
      </c>
      <c r="E90" s="129" t="inlineStr">
        <is>
          <t>Puissance, dynamique, profondeur</t>
        </is>
      </c>
      <c r="F90" s="129" t="inlineStr">
        <is>
          <t>Gros et lourd</t>
        </is>
      </c>
      <c r="G90" s="130" t="n">
        <v>9</v>
      </c>
      <c r="H90" s="131" t="n">
        <v>8.699999999999999</v>
      </c>
      <c r="I90" s="131" t="n">
        <v>8.699999999999999</v>
      </c>
      <c r="J90" s="131" t="n">
        <v>8.6</v>
      </c>
      <c r="K90" s="131" t="n">
        <v>8.699999999999999</v>
      </c>
      <c r="L90" s="131" t="n">
        <v>8.9</v>
      </c>
      <c r="M90" s="131" t="n">
        <v>9</v>
      </c>
      <c r="N90" s="131" t="n">
        <v>9.300000000000001</v>
      </c>
      <c r="O90" s="131" t="n">
        <v>6.5</v>
      </c>
      <c r="P90" s="131" t="n">
        <v>8.1</v>
      </c>
      <c r="Q90" s="158">
        <f>IF(COUNT(G90:P90)=10,ROUND((G90*'Pondérations'!$B$5+H90*'Pondérations'!$B$6+I90*'Pondérations'!$B$7+J90*'Pondérations'!$B$8+K90*'Pondérations'!$B$9+L90*'Pondérations'!$B$10+M90*'Pondérations'!$B$11+N90*'Pondérations'!$B$12+O90*'Pondérations'!$B$13+P90*'Pondérations'!$B$14)/'Pondérations'!$B$16,3),"")</f>
        <v/>
      </c>
      <c r="R90" s="159">
        <f>IF(Q90="","",1+COUNTIF($Q$7:$Q$178,"&gt;"&amp;Q90)+COUNTIF($Q$7:Q90,Q90)-1)</f>
        <v/>
      </c>
      <c r="S90" s="132" t="n"/>
      <c r="T90" s="129" t="n"/>
      <c r="U90" s="129" t="n"/>
      <c r="V90" s="133" t="inlineStr">
        <is>
          <t>Élevée</t>
        </is>
      </c>
      <c r="W90" s="129" t="inlineStr">
        <is>
          <t>Headfonics import</t>
        </is>
      </c>
      <c r="X90" s="130" t="n">
        <v>8.699999999999999</v>
      </c>
      <c r="Y90" s="133" t="inlineStr">
        <is>
          <t>Reader</t>
        </is>
      </c>
      <c r="Z90" s="134" t="n">
        <v>45250</v>
      </c>
      <c r="AA90" s="135" t="n">
        <v>4</v>
      </c>
      <c r="AB90" s="139" t="inlineStr">
        <is>
          <t>https://headfonics.com/?s=xDuoo+XD05+Pro</t>
        </is>
      </c>
      <c r="AC90" s="129" t="inlineStr">
        <is>
          <t>Modular transportable DAC/amp</t>
        </is>
      </c>
      <c r="AD90" s="133" t="inlineStr">
        <is>
          <t>Ajout Headfonics</t>
        </is>
      </c>
      <c r="AE90" s="135" t="n">
        <v>70</v>
      </c>
      <c r="AF90" s="127" t="n">
        <v>749</v>
      </c>
      <c r="AG90" s="132" t="inlineStr">
        <is>
          <t>Transportable très puissant et modulaire, dont DAC, ampli et op-amps peuvent modifier fortement le résultat.</t>
        </is>
      </c>
      <c r="AH90" s="129" t="inlineStr">
        <is>
          <t>Variable selon modules; stock plutôt neutre/technique.</t>
        </is>
      </c>
      <c r="AI90" s="129" t="inlineStr">
        <is>
          <t>Excellent potentiel dynamique et grande adaptabilité.</t>
        </is>
      </c>
      <c r="AJ90" s="129" t="inlineStr">
        <is>
          <t>Gros et lourd; stock pas idéal avec IEM sensibles.</t>
        </is>
      </c>
      <c r="AK90" s="129" t="inlineStr">
        <is>
          <t>https://headfonics.com/xduoo-xd05-pro-review/</t>
        </is>
      </c>
      <c r="AL90" s="135" t="n">
        <v>4</v>
      </c>
      <c r="AM90" s="133" t="inlineStr">
        <is>
          <t>Élevée — 3+ sources, domaines variés</t>
        </is>
      </c>
      <c r="AN90" s="129" t="inlineStr">
        <is>
          <t>https://www.headphonesty.com/2024/03/xduoo-xd05-pro-review/</t>
        </is>
      </c>
      <c r="AO90" s="137" t="inlineStr">
        <is>
          <t>https://soundnews.net/reviews/sources/dacs/xduoo-xd05-pro-review-badassery-on-the-go/</t>
        </is>
      </c>
      <c r="AP90" s="129" t="inlineStr">
        <is>
          <t>https://www.youtube.com/watch?v=nznizrQYqyA</t>
        </is>
      </c>
      <c r="AQ90" s="133" t="inlineStr">
        <is>
          <t>Objectif atteint</t>
        </is>
      </c>
      <c r="AR90" s="129" t="inlineStr">
        <is>
          <t>Review éditoriale: 3; Vidéo review: 1</t>
        </is>
      </c>
    </row>
    <row r="91" ht="54" customHeight="1">
      <c r="A91" s="117" t="inlineStr">
        <is>
          <t>FiiO</t>
        </is>
      </c>
      <c r="B91" s="117" t="inlineStr">
        <is>
          <t>KA13</t>
        </is>
      </c>
      <c r="C91" s="117" t="inlineStr">
        <is>
          <t>Portable Amp/DAC (Headfonics)</t>
        </is>
      </c>
      <c r="D91" s="117" t="inlineStr">
        <is>
          <t>Plutôt neutre/énergique.</t>
        </is>
      </c>
      <c r="E91" s="117" t="inlineStr">
        <is>
          <t>Matière/timbres, profondeur, image 3d</t>
        </is>
      </c>
      <c r="F91" s="117" t="inlineStr">
        <is>
          <t>Mode desktop gourmand en batterie</t>
        </is>
      </c>
      <c r="G91" s="118" t="n">
        <v>8.800000000000001</v>
      </c>
      <c r="H91" s="119" t="n">
        <v>8.699999999999999</v>
      </c>
      <c r="I91" s="119" t="n">
        <v>8.699999999999999</v>
      </c>
      <c r="J91" s="119" t="n">
        <v>8.6</v>
      </c>
      <c r="K91" s="119" t="n">
        <v>8.699999999999999</v>
      </c>
      <c r="L91" s="119" t="n">
        <v>9</v>
      </c>
      <c r="M91" s="119" t="n">
        <v>8.800000000000001</v>
      </c>
      <c r="N91" s="119" t="n">
        <v>8.699999999999999</v>
      </c>
      <c r="O91" s="119" t="n">
        <v>9.5</v>
      </c>
      <c r="P91" s="119" t="n">
        <v>8.1</v>
      </c>
      <c r="Q91" s="158">
        <f>IF(COUNT(G91:P91)=10,ROUND((G91*'Pondérations'!$B$5+H91*'Pondérations'!$B$6+I91*'Pondérations'!$B$7+J91*'Pondérations'!$B$8+K91*'Pondérations'!$B$9+L91*'Pondérations'!$B$10+M91*'Pondérations'!$B$11+N91*'Pondérations'!$B$12+O91*'Pondérations'!$B$13+P91*'Pondérations'!$B$14)/'Pondérations'!$B$16,3),"")</f>
        <v/>
      </c>
      <c r="R91" s="159">
        <f>IF(Q91="","",1+COUNTIF($Q$7:$Q$178,"&gt;"&amp;Q91)+COUNTIF($Q$7:Q91,Q91)-1)</f>
        <v/>
      </c>
      <c r="S91" s="122" t="n"/>
      <c r="T91" s="117" t="n"/>
      <c r="U91" s="117" t="n"/>
      <c r="V91" s="123" t="inlineStr">
        <is>
          <t>Élevée</t>
        </is>
      </c>
      <c r="W91" s="117" t="inlineStr">
        <is>
          <t>Headfonics import</t>
        </is>
      </c>
      <c r="X91" s="118" t="n"/>
      <c r="Y91" s="123" t="inlineStr">
        <is>
          <t>Reader (non relevé)</t>
        </is>
      </c>
      <c r="Z91" s="124" t="n">
        <v>45234</v>
      </c>
      <c r="AA91" s="125" t="n">
        <v>4</v>
      </c>
      <c r="AB91" s="126" t="inlineStr">
        <is>
          <t>https://headfonics.com/?s=FiiO+KA13</t>
        </is>
      </c>
      <c r="AC91" s="117" t="inlineStr">
        <is>
          <t>Portable dongle DAC/amp</t>
        </is>
      </c>
      <c r="AD91" s="123" t="inlineStr">
        <is>
          <t>Ajout Headfonics</t>
        </is>
      </c>
      <c r="AE91" s="125" t="n">
        <v>71</v>
      </c>
      <c r="AF91" s="138" t="n">
        <v>79</v>
      </c>
      <c r="AG91" s="122" t="inlineStr">
        <is>
          <t>Dongle budget surtout remarquable par une puissance très élevée pour le prix.</t>
        </is>
      </c>
      <c r="AH91" s="117" t="inlineStr">
        <is>
          <t>Plutôt neutre/énergique.</t>
        </is>
      </c>
      <c r="AI91" s="117" t="inlineStr">
        <is>
          <t>Bonne dynamique grâce à la réserve de puissance, plus fonctionnel que raffiné.</t>
        </is>
      </c>
      <c r="AJ91" s="117" t="inlineStr">
        <is>
          <t>Mode desktop gourmand en batterie; application limitée.</t>
        </is>
      </c>
      <c r="AK91" s="117" t="inlineStr">
        <is>
          <t>https://headfonics.com/fiio-ka13-review/</t>
        </is>
      </c>
      <c r="AL91" s="125" t="n">
        <v>4</v>
      </c>
      <c r="AM91" s="123" t="inlineStr">
        <is>
          <t>Élevée — 3+ sources, domaines variés</t>
        </is>
      </c>
      <c r="AN91" s="117" t="inlineStr">
        <is>
          <t>https://www.head-fi.org/showcase/fiio-ka13.26751/reviews</t>
        </is>
      </c>
      <c r="AO91" s="128" t="inlineStr">
        <is>
          <t>https://www.headfonia.com/fiio-ka13-review/</t>
        </is>
      </c>
      <c r="AP91" s="117" t="inlineStr">
        <is>
          <t>https://www.androidcentral.com/accessories/audio/fiio-ka13-review</t>
        </is>
      </c>
      <c r="AQ91" s="123" t="inlineStr">
        <is>
          <t>Objectif atteint</t>
        </is>
      </c>
      <c r="AR91" s="117" t="inlineStr">
        <is>
          <t>Head-Fi reviews: 1; Review éditoriale: 3</t>
        </is>
      </c>
    </row>
    <row r="92" ht="54" customHeight="1">
      <c r="A92" s="129" t="inlineStr">
        <is>
          <t>Audirect</t>
        </is>
      </c>
      <c r="B92" s="129" t="inlineStr">
        <is>
          <t>Beam 4</t>
        </is>
      </c>
      <c r="C92" s="129" t="inlineStr">
        <is>
          <t>Portable Amp/DAC (Headfonics)</t>
        </is>
      </c>
      <c r="D92" s="129" t="inlineStr">
        <is>
          <t>Plus brillant que neutre, assez clinique.</t>
        </is>
      </c>
      <c r="E92" s="129" t="inlineStr">
        <is>
          <t>Profondeur, propreté/contrôle, image 3d</t>
        </is>
      </c>
      <c r="F92" s="129" t="inlineStr">
        <is>
          <t>Peut être trop lumineux selon le casque/IEM</t>
        </is>
      </c>
      <c r="G92" s="130" t="n">
        <v>9</v>
      </c>
      <c r="H92" s="131" t="n">
        <v>8.800000000000001</v>
      </c>
      <c r="I92" s="131" t="n">
        <v>8.699999999999999</v>
      </c>
      <c r="J92" s="131" t="n">
        <v>8.6</v>
      </c>
      <c r="K92" s="131" t="n">
        <v>8.699999999999999</v>
      </c>
      <c r="L92" s="131" t="n">
        <v>8.6</v>
      </c>
      <c r="M92" s="131" t="n">
        <v>8.9</v>
      </c>
      <c r="N92" s="131" t="n">
        <v>8.1</v>
      </c>
      <c r="O92" s="131" t="n">
        <v>8</v>
      </c>
      <c r="P92" s="131" t="n">
        <v>8.1</v>
      </c>
      <c r="Q92" s="158">
        <f>IF(COUNT(G92:P92)=10,ROUND((G92*'Pondérations'!$B$5+H92*'Pondérations'!$B$6+I92*'Pondérations'!$B$7+J92*'Pondérations'!$B$8+K92*'Pondérations'!$B$9+L92*'Pondérations'!$B$10+M92*'Pondérations'!$B$11+N92*'Pondérations'!$B$12+O92*'Pondérations'!$B$13+P92*'Pondérations'!$B$14)/'Pondérations'!$B$16,3),"")</f>
        <v/>
      </c>
      <c r="R92" s="159">
        <f>IF(Q92="","",1+COUNTIF($Q$7:$Q$178,"&gt;"&amp;Q92)+COUNTIF($Q$7:Q92,Q92)-1)</f>
        <v/>
      </c>
      <c r="S92" s="132" t="n"/>
      <c r="T92" s="129" t="n"/>
      <c r="U92" s="129" t="n"/>
      <c r="V92" s="133" t="inlineStr">
        <is>
          <t>Élevée</t>
        </is>
      </c>
      <c r="W92" s="129" t="inlineStr">
        <is>
          <t>Headfonics import</t>
        </is>
      </c>
      <c r="X92" s="130" t="n">
        <v>8</v>
      </c>
      <c r="Y92" s="133" t="inlineStr">
        <is>
          <t>Reader</t>
        </is>
      </c>
      <c r="Z92" s="134" t="n">
        <v>45231</v>
      </c>
      <c r="AA92" s="135" t="n">
        <v>4</v>
      </c>
      <c r="AB92" s="139" t="inlineStr">
        <is>
          <t>https://headfonics.com/?s=Audirect+Beam+4</t>
        </is>
      </c>
      <c r="AC92" s="129" t="inlineStr">
        <is>
          <t>Portable DAC/amp</t>
        </is>
      </c>
      <c r="AD92" s="133" t="inlineStr">
        <is>
          <t>Ajout Headfonics</t>
        </is>
      </c>
      <c r="AE92" s="135" t="n">
        <v>72</v>
      </c>
      <c r="AF92" s="136" t="n">
        <v>211</v>
      </c>
      <c r="AG92" s="132" t="inlineStr">
        <is>
          <t>DAC/amp portable très bien construit au rendu franchement clair et engageant.</t>
        </is>
      </c>
      <c r="AH92" s="129" t="inlineStr">
        <is>
          <t>Plus brillant que neutre, assez clinique.</t>
        </is>
      </c>
      <c r="AI92" s="129" t="inlineStr">
        <is>
          <t>Bonne précision et attaque.</t>
        </is>
      </c>
      <c r="AJ92" s="129" t="inlineStr">
        <is>
          <t>Peut être trop lumineux selon le casque/IEM.</t>
        </is>
      </c>
      <c r="AK92" s="129" t="inlineStr">
        <is>
          <t>https://headfonics.com/audirect-beam-4-review/</t>
        </is>
      </c>
      <c r="AL92" s="135" t="n">
        <v>3</v>
      </c>
      <c r="AM92" s="133" t="inlineStr">
        <is>
          <t>Élevée — 3+ sources, domaines variés</t>
        </is>
      </c>
      <c r="AN92" s="129" t="inlineStr">
        <is>
          <t>https://www.headphonesty.com/2023/07/review-audirect-beam-4/</t>
        </is>
      </c>
      <c r="AO92" s="137" t="inlineStr">
        <is>
          <t>https://www.head-fi.org/threads/reviews-impressions-rants-and-more-from-darmanastartes.963101/page-4</t>
        </is>
      </c>
      <c r="AP92" s="129" t="n"/>
      <c r="AQ92" s="133" t="inlineStr">
        <is>
          <t>Objectif atteint</t>
        </is>
      </c>
      <c r="AR92" s="129" t="inlineStr">
        <is>
          <t>Head-Fi forum: 1; Review éditoriale: 2</t>
        </is>
      </c>
    </row>
    <row r="93" ht="54" customHeight="1">
      <c r="A93" s="117" t="inlineStr">
        <is>
          <t>ddHiFi</t>
        </is>
      </c>
      <c r="B93" s="117" t="inlineStr">
        <is>
          <t>TC44Pro</t>
        </is>
      </c>
      <c r="C93" s="117" t="inlineStr">
        <is>
          <t>Portable Amp/DAC (Headfonics)</t>
        </is>
      </c>
      <c r="D93" s="117" t="inlineStr">
        <is>
          <t>Cool/clair, énergique.</t>
        </is>
      </c>
      <c r="E93" s="117" t="inlineStr">
        <is>
          <t>Dynamique, propreté/contrôle, image 3d</t>
        </is>
      </c>
      <c r="F93" s="117" t="inlineStr">
        <is>
          <t>Peu de fonctions</t>
        </is>
      </c>
      <c r="G93" s="118" t="n">
        <v>9</v>
      </c>
      <c r="H93" s="119" t="n">
        <v>8.800000000000001</v>
      </c>
      <c r="I93" s="119" t="n">
        <v>8.6</v>
      </c>
      <c r="J93" s="119" t="n">
        <v>8.6</v>
      </c>
      <c r="K93" s="119" t="n">
        <v>8.699999999999999</v>
      </c>
      <c r="L93" s="119" t="n">
        <v>8.800000000000001</v>
      </c>
      <c r="M93" s="119" t="n">
        <v>9</v>
      </c>
      <c r="N93" s="119" t="n">
        <v>8.800000000000001</v>
      </c>
      <c r="O93" s="119" t="n">
        <v>9.5</v>
      </c>
      <c r="P93" s="119" t="n">
        <v>8.1</v>
      </c>
      <c r="Q93" s="158">
        <f>IF(COUNT(G93:P93)=10,ROUND((G93*'Pondérations'!$B$5+H93*'Pondérations'!$B$6+I93*'Pondérations'!$B$7+J93*'Pondérations'!$B$8+K93*'Pondérations'!$B$9+L93*'Pondérations'!$B$10+M93*'Pondérations'!$B$11+N93*'Pondérations'!$B$12+O93*'Pondérations'!$B$13+P93*'Pondérations'!$B$14)/'Pondérations'!$B$16,3),"")</f>
        <v/>
      </c>
      <c r="R93" s="159">
        <f>IF(Q93="","",1+COUNTIF($Q$7:$Q$178,"&gt;"&amp;Q93)+COUNTIF($Q$7:Q93,Q93)-1)</f>
        <v/>
      </c>
      <c r="S93" s="122" t="n"/>
      <c r="T93" s="117" t="n"/>
      <c r="U93" s="117" t="n"/>
      <c r="V93" s="123" t="inlineStr">
        <is>
          <t>Élevée</t>
        </is>
      </c>
      <c r="W93" s="117" t="inlineStr">
        <is>
          <t>Headfonics import</t>
        </is>
      </c>
      <c r="X93" s="118" t="n">
        <v>8.199999999999999</v>
      </c>
      <c r="Y93" s="123" t="inlineStr">
        <is>
          <t>Reader</t>
        </is>
      </c>
      <c r="Z93" s="124" t="n">
        <v>45229</v>
      </c>
      <c r="AA93" s="125" t="n">
        <v>4</v>
      </c>
      <c r="AB93" s="126" t="inlineStr">
        <is>
          <t>https://headfonics.com/?s=ddHiFi+TC44Pro</t>
        </is>
      </c>
      <c r="AC93" s="117" t="inlineStr">
        <is>
          <t>Portable dongle DAC/amp</t>
        </is>
      </c>
      <c r="AD93" s="123" t="inlineStr">
        <is>
          <t>Ajout Headfonics</t>
        </is>
      </c>
      <c r="AE93" s="125" t="n">
        <v>73</v>
      </c>
      <c r="AF93" s="138" t="n">
        <v>70</v>
      </c>
      <c r="AG93" s="122" t="inlineStr">
        <is>
          <t>Dongle équilibré, résolvant et assez puissant, avec une tonalité fraîche et légèrement énergique.</t>
        </is>
      </c>
      <c r="AH93" s="117" t="inlineStr">
        <is>
          <t>Cool/clair, énergique.</t>
        </is>
      </c>
      <c r="AI93" s="117" t="inlineStr">
        <is>
          <t>Bonne résolution et contrôle avec IEM.</t>
        </is>
      </c>
      <c r="AJ93" s="117" t="inlineStr">
        <is>
          <t>Peu de fonctions; uniquement sortie symétrique.</t>
        </is>
      </c>
      <c r="AK93" s="117" t="inlineStr">
        <is>
          <t>https://headfonics.com/ddhifi-tc44pro-review/</t>
        </is>
      </c>
      <c r="AL93" s="125" t="n">
        <v>3</v>
      </c>
      <c r="AM93" s="123" t="inlineStr">
        <is>
          <t>Élevée — 3+ sources, domaines variés</t>
        </is>
      </c>
      <c r="AN93" s="117" t="inlineStr">
        <is>
          <t>https://www.head-fi.org/showcase/ddhifi-tc44pro.26664/reviews</t>
        </is>
      </c>
      <c r="AO93" s="128" t="inlineStr">
        <is>
          <t>https://www.headfonia.com/ddhifi-tc44pro-review/</t>
        </is>
      </c>
      <c r="AP93" s="117" t="inlineStr">
        <is>
          <t>https://www.ddhifi.com/en/review/6588/</t>
        </is>
      </c>
      <c r="AQ93" s="123" t="inlineStr">
        <is>
          <t>Objectif atteint</t>
        </is>
      </c>
      <c r="AR93" s="117" t="inlineStr">
        <is>
          <t>Head-Fi reviews: 1; Review éditoriale: 2</t>
        </is>
      </c>
    </row>
    <row r="94" ht="54" customHeight="1">
      <c r="A94" s="129" t="inlineStr">
        <is>
          <t>Moondrop</t>
        </is>
      </c>
      <c r="B94" s="129" t="inlineStr">
        <is>
          <t>Dawn Pro</t>
        </is>
      </c>
      <c r="C94" s="129" t="inlineStr">
        <is>
          <t>Portable Amp/DAC (Headfonics)</t>
        </is>
      </c>
      <c r="D94" s="129" t="inlineStr">
        <is>
          <t>Neutre/propre.</t>
        </is>
      </c>
      <c r="E94" s="129" t="inlineStr">
        <is>
          <t>Propreté/contrôle, microdétail, dynamique</t>
        </is>
      </c>
      <c r="F94" s="129" t="inlineStr">
        <is>
          <t>Pas de gain physique</t>
        </is>
      </c>
      <c r="G94" s="130" t="n">
        <v>9.4</v>
      </c>
      <c r="H94" s="131" t="n">
        <v>9.1</v>
      </c>
      <c r="I94" s="131" t="n">
        <v>8.699999999999999</v>
      </c>
      <c r="J94" s="131" t="n">
        <v>8.6</v>
      </c>
      <c r="K94" s="131" t="n">
        <v>8.9</v>
      </c>
      <c r="L94" s="131" t="n">
        <v>8.699999999999999</v>
      </c>
      <c r="M94" s="131" t="n">
        <v>9.1</v>
      </c>
      <c r="N94" s="131" t="n">
        <v>9.1</v>
      </c>
      <c r="O94" s="131" t="n">
        <v>9.5</v>
      </c>
      <c r="P94" s="131" t="n">
        <v>8.300000000000001</v>
      </c>
      <c r="Q94" s="158">
        <f>IF(COUNT(G94:P94)=10,ROUND((G94*'Pondérations'!$B$5+H94*'Pondérations'!$B$6+I94*'Pondérations'!$B$7+J94*'Pondérations'!$B$8+K94*'Pondérations'!$B$9+L94*'Pondérations'!$B$10+M94*'Pondérations'!$B$11+N94*'Pondérations'!$B$12+O94*'Pondérations'!$B$13+P94*'Pondérations'!$B$14)/'Pondérations'!$B$16,3),"")</f>
        <v/>
      </c>
      <c r="R94" s="159">
        <f>IF(Q94="","",1+COUNTIF($Q$7:$Q$178,"&gt;"&amp;Q94)+COUNTIF($Q$7:Q94,Q94)-1)</f>
        <v/>
      </c>
      <c r="S94" s="132" t="n"/>
      <c r="T94" s="129" t="n"/>
      <c r="U94" s="129" t="n"/>
      <c r="V94" s="133" t="inlineStr">
        <is>
          <t>Élevée</t>
        </is>
      </c>
      <c r="W94" s="129" t="inlineStr">
        <is>
          <t>Headfonics import</t>
        </is>
      </c>
      <c r="X94" s="130" t="n">
        <v>7.7</v>
      </c>
      <c r="Y94" s="133" t="inlineStr">
        <is>
          <t>Reader</t>
        </is>
      </c>
      <c r="Z94" s="134" t="n">
        <v>45219</v>
      </c>
      <c r="AA94" s="135" t="n">
        <v>4</v>
      </c>
      <c r="AB94" s="139" t="inlineStr">
        <is>
          <t>https://headfonics.com/?s=Moondrop+Dawn+Pro</t>
        </is>
      </c>
      <c r="AC94" s="129" t="inlineStr">
        <is>
          <t>Portable dongle DAC/amp</t>
        </is>
      </c>
      <c r="AD94" s="133" t="inlineStr">
        <is>
          <t>Ajout Headfonics</t>
        </is>
      </c>
      <c r="AE94" s="135" t="n">
        <v>74</v>
      </c>
      <c r="AF94" s="136" t="n">
        <v>44</v>
      </c>
      <c r="AG94" s="132" t="inlineStr">
        <is>
          <t>Petit dongle très convaincant pour le prix, améliorant nettement clarté et ouverture par rapport à la sortie d’un téléphone.</t>
        </is>
      </c>
      <c r="AH94" s="129" t="inlineStr">
        <is>
          <t>Neutre/propre.</t>
        </is>
      </c>
      <c r="AI94" s="129" t="inlineStr">
        <is>
          <t>Bonne clarté et scène plus ouverte que le smartphone seul.</t>
        </is>
      </c>
      <c r="AJ94" s="129" t="inlineStr">
        <is>
          <t>Pas de gain physique; puissance surtout adaptée aux IEM.</t>
        </is>
      </c>
      <c r="AK94" s="129" t="inlineStr">
        <is>
          <t>https://headfonics.com/moondrop-dawn-pro-review/</t>
        </is>
      </c>
      <c r="AL94" s="135" t="n">
        <v>4</v>
      </c>
      <c r="AM94" s="133" t="inlineStr">
        <is>
          <t>Élevée — 3+ sources, domaines variés</t>
        </is>
      </c>
      <c r="AN94" s="129" t="inlineStr">
        <is>
          <t>https://www.head-fi.org/showcase/moondrop-dawn-pro.26937/reviews</t>
        </is>
      </c>
      <c r="AO94" s="137" t="inlineStr">
        <is>
          <t>https://androidbrick.com/moondrop-dawn-pro-review/</t>
        </is>
      </c>
      <c r="AP94" s="129" t="inlineStr">
        <is>
          <t>https://sonicmantra.org/product-review/moondrop-dawn-pro-review-arifgraphy/</t>
        </is>
      </c>
      <c r="AQ94" s="133" t="inlineStr">
        <is>
          <t>Objectif atteint</t>
        </is>
      </c>
      <c r="AR94" s="129" t="inlineStr">
        <is>
          <t>Head-Fi reviews: 1; Review éditoriale: 3</t>
        </is>
      </c>
    </row>
    <row r="95" ht="54" customHeight="1">
      <c r="A95" s="117" t="inlineStr">
        <is>
          <t>Moondrop</t>
        </is>
      </c>
      <c r="B95" s="117" t="inlineStr">
        <is>
          <t>MoonRiver 2: Ti</t>
        </is>
      </c>
      <c r="C95" s="117" t="inlineStr">
        <is>
          <t>Portable Amp/DAC (Headfonics)</t>
        </is>
      </c>
      <c r="D95" s="117" t="inlineStr">
        <is>
          <t>Neutre, propre.</t>
        </is>
      </c>
      <c r="E95" s="117" t="inlineStr">
        <is>
          <t>Propreté/contrôle, microdétail, dynamique</t>
        </is>
      </c>
      <c r="F95" s="117" t="inlineStr">
        <is>
          <t>Chauffe et consomme sensiblement la batterie de la source</t>
        </is>
      </c>
      <c r="G95" s="118" t="n">
        <v>9.699999999999999</v>
      </c>
      <c r="H95" s="119" t="n">
        <v>9.1</v>
      </c>
      <c r="I95" s="119" t="n">
        <v>8.699999999999999</v>
      </c>
      <c r="J95" s="119" t="n">
        <v>8.6</v>
      </c>
      <c r="K95" s="119" t="n">
        <v>9</v>
      </c>
      <c r="L95" s="119" t="n">
        <v>8.6</v>
      </c>
      <c r="M95" s="119" t="n">
        <v>9.1</v>
      </c>
      <c r="N95" s="119" t="n">
        <v>8.699999999999999</v>
      </c>
      <c r="O95" s="119" t="n">
        <v>7.8</v>
      </c>
      <c r="P95" s="119" t="n">
        <v>8.4</v>
      </c>
      <c r="Q95" s="158">
        <f>IF(COUNT(G95:P95)=10,ROUND((G95*'Pondérations'!$B$5+H95*'Pondérations'!$B$6+I95*'Pondérations'!$B$7+J95*'Pondérations'!$B$8+K95*'Pondérations'!$B$9+L95*'Pondérations'!$B$10+M95*'Pondérations'!$B$11+N95*'Pondérations'!$B$12+O95*'Pondérations'!$B$13+P95*'Pondérations'!$B$14)/'Pondérations'!$B$16,3),"")</f>
        <v/>
      </c>
      <c r="R95" s="159">
        <f>IF(Q95="","",1+COUNTIF($Q$7:$Q$178,"&gt;"&amp;Q95)+COUNTIF($Q$7:Q95,Q95)-1)</f>
        <v/>
      </c>
      <c r="S95" s="122" t="n"/>
      <c r="T95" s="117" t="n"/>
      <c r="U95" s="117" t="n"/>
      <c r="V95" s="123" t="inlineStr">
        <is>
          <t>Élevée</t>
        </is>
      </c>
      <c r="W95" s="117" t="inlineStr">
        <is>
          <t>Headfonics import</t>
        </is>
      </c>
      <c r="X95" s="118" t="n"/>
      <c r="Y95" s="123" t="inlineStr">
        <is>
          <t>Reader (non relevé)</t>
        </is>
      </c>
      <c r="Z95" s="124" t="n">
        <v>45163</v>
      </c>
      <c r="AA95" s="125" t="n">
        <v>4</v>
      </c>
      <c r="AB95" s="126" t="inlineStr">
        <is>
          <t>https://headfonics.com/?s=Moondrop+MoonRiver+2%3A+Ti</t>
        </is>
      </c>
      <c r="AC95" s="117" t="inlineStr">
        <is>
          <t>Portable dongle DAC/amp</t>
        </is>
      </c>
      <c r="AD95" s="123" t="inlineStr">
        <is>
          <t>Ajout Headfonics</t>
        </is>
      </c>
      <c r="AE95" s="125" t="n">
        <v>77</v>
      </c>
      <c r="AF95" s="138" t="n">
        <v>167</v>
      </c>
      <c r="AG95" s="122" t="inlineStr">
        <is>
          <t>Version plus puissante et mieux équipée du MoonRiver 2, avec fond noir et bonne capacité d’entraînement.</t>
        </is>
      </c>
      <c r="AH95" s="117" t="inlineStr">
        <is>
          <t>Neutre, propre.</t>
        </is>
      </c>
      <c r="AI95" s="117" t="inlineStr">
        <is>
          <t>Fond silencieux et bonne dynamique.</t>
        </is>
      </c>
      <c r="AJ95" s="117" t="inlineStr">
        <is>
          <t>Chauffe et consomme sensiblement la batterie de la source.</t>
        </is>
      </c>
      <c r="AK95" s="117" t="inlineStr">
        <is>
          <t>https://headfonics.com/moondrop-moonriver-2-ti-review/</t>
        </is>
      </c>
      <c r="AL95" s="125" t="n">
        <v>4</v>
      </c>
      <c r="AM95" s="123" t="inlineStr">
        <is>
          <t>Élevée — 3+ sources, domaines variés</t>
        </is>
      </c>
      <c r="AN95" s="117" t="inlineStr">
        <is>
          <t>https://www.head-fi.org/showcase/moondrop-moonriver-2-ti.26642/reviews</t>
        </is>
      </c>
      <c r="AO95" s="128" t="inlineStr">
        <is>
          <t>https://primeaudio.org/moondrop-moonriver-2-ti-review/</t>
        </is>
      </c>
      <c r="AP95" s="117" t="inlineStr">
        <is>
          <t>https://moonstarreviews.net/moondrop-moonriver-2-ti-review/</t>
        </is>
      </c>
      <c r="AQ95" s="123" t="inlineStr">
        <is>
          <t>Objectif atteint</t>
        </is>
      </c>
      <c r="AR95" s="117" t="inlineStr">
        <is>
          <t>Head-Fi reviews: 1; Review éditoriale: 3</t>
        </is>
      </c>
    </row>
    <row r="96" ht="54" customHeight="1">
      <c r="A96" s="129" t="inlineStr">
        <is>
          <t>HiBy</t>
        </is>
      </c>
      <c r="B96" s="129" t="inlineStr">
        <is>
          <t>FC6</t>
        </is>
      </c>
      <c r="C96" s="129" t="inlineStr">
        <is>
          <t>Portable Amp/DAC (Headfonics)</t>
        </is>
      </c>
      <c r="D96" s="129" t="inlineStr">
        <is>
          <t>Chaud/naturel, médiums riches.</t>
        </is>
      </c>
      <c r="E96" s="129" t="inlineStr">
        <is>
          <t>Puissance, matière/timbres, dynamique</t>
        </is>
      </c>
      <c r="F96" s="129" t="inlineStr">
        <is>
          <t>Pas de sortie symétrique</t>
        </is>
      </c>
      <c r="G96" s="130" t="n">
        <v>9</v>
      </c>
      <c r="H96" s="131" t="n">
        <v>8.699999999999999</v>
      </c>
      <c r="I96" s="131" t="n">
        <v>8.800000000000001</v>
      </c>
      <c r="J96" s="131" t="n">
        <v>8.699999999999999</v>
      </c>
      <c r="K96" s="131" t="n">
        <v>8.9</v>
      </c>
      <c r="L96" s="131" t="n">
        <v>9.199999999999999</v>
      </c>
      <c r="M96" s="131" t="n">
        <v>9</v>
      </c>
      <c r="N96" s="131" t="n">
        <v>9.300000000000001</v>
      </c>
      <c r="O96" s="131" t="n">
        <v>8</v>
      </c>
      <c r="P96" s="131" t="n">
        <v>8.300000000000001</v>
      </c>
      <c r="Q96" s="158">
        <f>IF(COUNT(G96:P96)=10,ROUND((G96*'Pondérations'!$B$5+H96*'Pondérations'!$B$6+I96*'Pondérations'!$B$7+J96*'Pondérations'!$B$8+K96*'Pondérations'!$B$9+L96*'Pondérations'!$B$10+M96*'Pondérations'!$B$11+N96*'Pondérations'!$B$12+O96*'Pondérations'!$B$13+P96*'Pondérations'!$B$14)/'Pondérations'!$B$16,3),"")</f>
        <v/>
      </c>
      <c r="R96" s="159">
        <f>IF(Q96="","",1+COUNTIF($Q$7:$Q$178,"&gt;"&amp;Q96)+COUNTIF($Q$7:Q96,Q96)-1)</f>
        <v/>
      </c>
      <c r="S96" s="132" t="n"/>
      <c r="T96" s="129" t="n"/>
      <c r="U96" s="129" t="n"/>
      <c r="V96" s="133" t="inlineStr">
        <is>
          <t>Élevée</t>
        </is>
      </c>
      <c r="W96" s="129" t="inlineStr">
        <is>
          <t>Headfonics import</t>
        </is>
      </c>
      <c r="X96" s="130" t="n"/>
      <c r="Y96" s="133" t="inlineStr">
        <is>
          <t>Reader (non relevé)</t>
        </is>
      </c>
      <c r="Z96" s="134" t="n">
        <v>45124</v>
      </c>
      <c r="AA96" s="135" t="n">
        <v>4</v>
      </c>
      <c r="AB96" s="139" t="inlineStr">
        <is>
          <t>https://headfonics.com/?s=HiBy+FC6</t>
        </is>
      </c>
      <c r="AC96" s="129" t="inlineStr">
        <is>
          <t>Portable dongle DAC/amp</t>
        </is>
      </c>
      <c r="AD96" s="133" t="inlineStr">
        <is>
          <t>Ajout Headfonics</t>
        </is>
      </c>
      <c r="AE96" s="135" t="n">
        <v>79</v>
      </c>
      <c r="AF96" s="136" t="n">
        <v>263</v>
      </c>
      <c r="AG96" s="132" t="inlineStr">
        <is>
          <t>R2R compact, dense et naturel, avec médiums pleins et aigu détendu; les modes NOS/OS permettent d’ajuster le rendu.</t>
        </is>
      </c>
      <c r="AH96" s="129" t="inlineStr">
        <is>
          <t>Chaud/naturel, médiums riches.</t>
        </is>
      </c>
      <c r="AI96" s="129" t="inlineStr">
        <is>
          <t>Bonne matière et densité plus que recherche de contours ultra-précis.</t>
        </is>
      </c>
      <c r="AJ96" s="129" t="inlineStr">
        <is>
          <t>Pas de sortie symétrique; bruit possible en NOS avec certains Samsung.</t>
        </is>
      </c>
      <c r="AK96" s="129" t="inlineStr">
        <is>
          <t>https://headfonics.com/hiby-fc6-review/</t>
        </is>
      </c>
      <c r="AL96" s="135" t="n">
        <v>3</v>
      </c>
      <c r="AM96" s="133" t="inlineStr">
        <is>
          <t>Élevée — 3+ sources, domaines variés</t>
        </is>
      </c>
      <c r="AN96" s="129" t="inlineStr">
        <is>
          <t>https://www.head-fi.org/showcase/hiby-fc6.26906/reviews</t>
        </is>
      </c>
      <c r="AO96" s="137" t="inlineStr">
        <is>
          <t>https://store.hiby.com/blogs/hiby-fc6-review/hiby-fc6-review-moonstarreviews</t>
        </is>
      </c>
      <c r="AP96" s="129" t="inlineStr">
        <is>
          <t>https://www.head-fi.org/threads/hiby-fc6-r2r-dongle-dac-reborn.969134/</t>
        </is>
      </c>
      <c r="AQ96" s="133" t="inlineStr">
        <is>
          <t>Objectif atteint</t>
        </is>
      </c>
      <c r="AR96" s="129" t="inlineStr">
        <is>
          <t>Head-Fi forum: 1; Head-Fi reviews: 1; Review éditoriale: 1</t>
        </is>
      </c>
    </row>
    <row r="97" ht="54" customHeight="1">
      <c r="A97" s="117" t="inlineStr">
        <is>
          <t>ddHiFi</t>
        </is>
      </c>
      <c r="B97" s="117" t="inlineStr">
        <is>
          <t>TC35C</t>
        </is>
      </c>
      <c r="C97" s="117" t="inlineStr">
        <is>
          <t>Portable Amp/DAC (Headfonics)</t>
        </is>
      </c>
      <c r="D97" s="117" t="inlineStr">
        <is>
          <t>Neutre/propre.</t>
        </is>
      </c>
      <c r="E97" s="117" t="inlineStr">
        <is>
          <t>Puissance, matière/timbres, profondeur</t>
        </is>
      </c>
      <c r="F97" s="117" t="inlineStr">
        <is>
          <t>Pas d’app/firmware</t>
        </is>
      </c>
      <c r="G97" s="118" t="n">
        <v>8.9</v>
      </c>
      <c r="H97" s="119" t="n">
        <v>8.699999999999999</v>
      </c>
      <c r="I97" s="119" t="n">
        <v>8.9</v>
      </c>
      <c r="J97" s="119" t="n">
        <v>8.800000000000001</v>
      </c>
      <c r="K97" s="119" t="n">
        <v>8.9</v>
      </c>
      <c r="L97" s="119" t="n">
        <v>9.199999999999999</v>
      </c>
      <c r="M97" s="119" t="n">
        <v>8.9</v>
      </c>
      <c r="N97" s="119" t="n">
        <v>7</v>
      </c>
      <c r="O97" s="119" t="n">
        <v>9.5</v>
      </c>
      <c r="P97" s="119" t="n">
        <v>8.4</v>
      </c>
      <c r="Q97" s="158">
        <f>IF(COUNT(G97:P97)=10,ROUND((G97*'Pondérations'!$B$5+H97*'Pondérations'!$B$6+I97*'Pondérations'!$B$7+J97*'Pondérations'!$B$8+K97*'Pondérations'!$B$9+L97*'Pondérations'!$B$10+M97*'Pondérations'!$B$11+N97*'Pondérations'!$B$12+O97*'Pondérations'!$B$13+P97*'Pondérations'!$B$14)/'Pondérations'!$B$16,3),"")</f>
        <v/>
      </c>
      <c r="R97" s="159">
        <f>IF(Q97="","",1+COUNTIF($Q$7:$Q$178,"&gt;"&amp;Q97)+COUNTIF($Q$7:Q97,Q97)-1)</f>
        <v/>
      </c>
      <c r="S97" s="122" t="n"/>
      <c r="T97" s="117" t="n"/>
      <c r="U97" s="117" t="n"/>
      <c r="V97" s="123" t="inlineStr">
        <is>
          <t>Élevée</t>
        </is>
      </c>
      <c r="W97" s="117" t="inlineStr">
        <is>
          <t>Headfonics import</t>
        </is>
      </c>
      <c r="X97" s="118" t="n">
        <v>7.9</v>
      </c>
      <c r="Y97" s="123" t="inlineStr">
        <is>
          <t>Reader</t>
        </is>
      </c>
      <c r="Z97" s="124" t="n">
        <v>45114</v>
      </c>
      <c r="AA97" s="125" t="n">
        <v>4</v>
      </c>
      <c r="AB97" s="126" t="inlineStr">
        <is>
          <t>https://headfonics.com/?s=ddHiFi+TC35C</t>
        </is>
      </c>
      <c r="AC97" s="117" t="inlineStr">
        <is>
          <t>Portable USB DAC adapter</t>
        </is>
      </c>
      <c r="AD97" s="123" t="inlineStr">
        <is>
          <t>Ajout Headfonics</t>
        </is>
      </c>
      <c r="AE97" s="125" t="n">
        <v>80</v>
      </c>
      <c r="AF97" s="138" t="n">
        <v>43</v>
      </c>
      <c r="AG97" s="122" t="inlineStr">
        <is>
          <t>Mini dongle très simple, propre et économe en batterie, particulièrement adapté aux IEM efficaces.</t>
        </is>
      </c>
      <c r="AH97" s="117" t="inlineStr">
        <is>
          <t>Neutre/propre.</t>
        </is>
      </c>
      <c r="AI97" s="117" t="inlineStr">
        <is>
          <t>Bonne propreté de sortie mais ambitions techniques modestes.</t>
        </is>
      </c>
      <c r="AJ97" s="117" t="inlineStr">
        <is>
          <t>Pas d’app/firmware; réservé aux IEM faciles.</t>
        </is>
      </c>
      <c r="AK97" s="117" t="inlineStr">
        <is>
          <t>https://headfonics.com/ddhifi-tc35c-review/</t>
        </is>
      </c>
      <c r="AL97" s="125" t="n">
        <v>3</v>
      </c>
      <c r="AM97" s="123" t="inlineStr">
        <is>
          <t>Élevée — 3+ sources, domaines variés</t>
        </is>
      </c>
      <c r="AN97" s="117" t="inlineStr">
        <is>
          <t>https://www.ddhifi.com/en/review/6605/</t>
        </is>
      </c>
      <c r="AO97" s="128" t="inlineStr">
        <is>
          <t>https://www.audiophile-heaven.com/2023/05/ddhifi-tc35c-dongle-dac-ultra-minimal-power-source.html</t>
        </is>
      </c>
      <c r="AP97" s="117" t="inlineStr">
        <is>
          <t>https://www.head-fi.org/threads/usb-c-to-3-5mm-adapters-dac-lets-find-the-best.908839/page-247</t>
        </is>
      </c>
      <c r="AQ97" s="123" t="inlineStr">
        <is>
          <t>Objectif atteint</t>
        </is>
      </c>
      <c r="AR97" s="117" t="inlineStr">
        <is>
          <t>Head-Fi forum: 1; Review éditoriale: 2</t>
        </is>
      </c>
    </row>
    <row r="98" ht="54" customHeight="1">
      <c r="A98" s="129" t="inlineStr">
        <is>
          <t>FiiO</t>
        </is>
      </c>
      <c r="B98" s="129" t="inlineStr">
        <is>
          <t>KA5</t>
        </is>
      </c>
      <c r="C98" s="129" t="inlineStr">
        <is>
          <t>Portable Amp/DAC (Headfonics)</t>
        </is>
      </c>
      <c r="D98" s="129" t="inlineStr">
        <is>
          <t>Plutôt neutre/technique.</t>
        </is>
      </c>
      <c r="E98" s="129" t="inlineStr">
        <is>
          <t>Puissance, dynamique, propreté/contrôle</t>
        </is>
      </c>
      <c r="F98" s="129" t="inlineStr">
        <is>
          <t>Chauffe si poussé</t>
        </is>
      </c>
      <c r="G98" s="130" t="n">
        <v>9</v>
      </c>
      <c r="H98" s="131" t="n">
        <v>8.699999999999999</v>
      </c>
      <c r="I98" s="131" t="n">
        <v>8.4</v>
      </c>
      <c r="J98" s="131" t="n">
        <v>8.300000000000001</v>
      </c>
      <c r="K98" s="131" t="n">
        <v>8.6</v>
      </c>
      <c r="L98" s="131" t="n">
        <v>8.699999999999999</v>
      </c>
      <c r="M98" s="131" t="n">
        <v>9</v>
      </c>
      <c r="N98" s="131" t="n">
        <v>9.300000000000001</v>
      </c>
      <c r="O98" s="131" t="n">
        <v>9.300000000000001</v>
      </c>
      <c r="P98" s="131" t="n">
        <v>7.8</v>
      </c>
      <c r="Q98" s="158">
        <f>IF(COUNT(G98:P98)=10,ROUND((G98*'Pondérations'!$B$5+H98*'Pondérations'!$B$6+I98*'Pondérations'!$B$7+J98*'Pondérations'!$B$8+K98*'Pondérations'!$B$9+L98*'Pondérations'!$B$10+M98*'Pondérations'!$B$11+N98*'Pondérations'!$B$12+O98*'Pondérations'!$B$13+P98*'Pondérations'!$B$14)/'Pondérations'!$B$16,3),"")</f>
        <v/>
      </c>
      <c r="R98" s="159">
        <f>IF(Q98="","",1+COUNTIF($Q$7:$Q$178,"&gt;"&amp;Q98)+COUNTIF($Q$7:Q98,Q98)-1)</f>
        <v/>
      </c>
      <c r="S98" s="132" t="n"/>
      <c r="T98" s="129" t="n"/>
      <c r="U98" s="129" t="n"/>
      <c r="V98" s="133" t="inlineStr">
        <is>
          <t>Élevée</t>
        </is>
      </c>
      <c r="W98" s="129" t="inlineStr">
        <is>
          <t>Headfonics import</t>
        </is>
      </c>
      <c r="X98" s="130" t="n"/>
      <c r="Y98" s="133" t="inlineStr">
        <is>
          <t>Reader (non relevé)</t>
        </is>
      </c>
      <c r="Z98" s="134" t="n">
        <v>45103</v>
      </c>
      <c r="AA98" s="135" t="n">
        <v>5</v>
      </c>
      <c r="AB98" s="139" t="inlineStr">
        <is>
          <t>https://headfonics.com/?s=FiiO+KA5</t>
        </is>
      </c>
      <c r="AC98" s="129" t="inlineStr">
        <is>
          <t>Portable dongle DAC/amp</t>
        </is>
      </c>
      <c r="AD98" s="133" t="inlineStr">
        <is>
          <t>Ajout Headfonics</t>
        </is>
      </c>
      <c r="AE98" s="135" t="n">
        <v>81</v>
      </c>
      <c r="AF98" s="136" t="n">
        <v>129</v>
      </c>
      <c r="AG98" s="132" t="inlineStr">
        <is>
          <t>Dongle riche en fonctions avec beaucoup de puissance et un équipement complet pour le prix.</t>
        </is>
      </c>
      <c r="AH98" s="129" t="inlineStr">
        <is>
          <t>Plutôt neutre/technique.</t>
        </is>
      </c>
      <c r="AI98" s="129" t="inlineStr">
        <is>
          <t>Bonne dynamique et polyvalence.</t>
        </is>
      </c>
      <c r="AJ98" s="129" t="inlineStr">
        <is>
          <t>Chauffe si poussé; ergonomie physique un peu anguleuse.</t>
        </is>
      </c>
      <c r="AK98" s="129" t="inlineStr">
        <is>
          <t>https://headfonics.com/fiio-ka5-review/</t>
        </is>
      </c>
      <c r="AL98" s="135" t="n">
        <v>4</v>
      </c>
      <c r="AM98" s="133" t="inlineStr">
        <is>
          <t>Élevée — 3+ sources, domaines variés</t>
        </is>
      </c>
      <c r="AN98" s="129" t="inlineStr">
        <is>
          <t>https://www.head-fi.org/threads/fiio-ka5-review-and-ka3-comparison.967506/</t>
        </is>
      </c>
      <c r="AO98" s="137" t="inlineStr">
        <is>
          <t>https://www.headfonia.com/fiio-ka5-review/</t>
        </is>
      </c>
      <c r="AP98" s="129" t="inlineStr">
        <is>
          <t>https://www.androidcentral.com/accessories/audio/fiio-ka5-review</t>
        </is>
      </c>
      <c r="AQ98" s="133" t="inlineStr">
        <is>
          <t>Objectif atteint</t>
        </is>
      </c>
      <c r="AR98" s="129" t="inlineStr">
        <is>
          <t>Head-Fi forum: 1; Review éditoriale: 3</t>
        </is>
      </c>
    </row>
    <row r="99" ht="54" customHeight="1">
      <c r="A99" s="117" t="inlineStr">
        <is>
          <t>FiiO</t>
        </is>
      </c>
      <c r="B99" s="117" t="inlineStr">
        <is>
          <t>Q11</t>
        </is>
      </c>
      <c r="C99" s="117" t="inlineStr">
        <is>
          <t>Portable Amp/DAC (Headfonics)</t>
        </is>
      </c>
      <c r="D99" s="117" t="inlineStr">
        <is>
          <t>Neutre-naturel.</t>
        </is>
      </c>
      <c r="E99" s="117" t="inlineStr">
        <is>
          <t>Puissance, propreté/contrôle, microdétail</t>
        </is>
      </c>
      <c r="F99" s="117" t="inlineStr">
        <is>
          <t>Moins de fonctions héritées que les anciens Q-series</t>
        </is>
      </c>
      <c r="G99" s="118" t="n">
        <v>9</v>
      </c>
      <c r="H99" s="119" t="n">
        <v>8.800000000000001</v>
      </c>
      <c r="I99" s="119" t="n">
        <v>8.6</v>
      </c>
      <c r="J99" s="119" t="n">
        <v>8.5</v>
      </c>
      <c r="K99" s="119" t="n">
        <v>8.699999999999999</v>
      </c>
      <c r="L99" s="119" t="n">
        <v>8.800000000000001</v>
      </c>
      <c r="M99" s="119" t="n">
        <v>8.9</v>
      </c>
      <c r="N99" s="119" t="n">
        <v>9.300000000000001</v>
      </c>
      <c r="O99" s="119" t="n">
        <v>8</v>
      </c>
      <c r="P99" s="119" t="n">
        <v>8</v>
      </c>
      <c r="Q99" s="158">
        <f>IF(COUNT(G99:P99)=10,ROUND((G99*'Pondérations'!$B$5+H99*'Pondérations'!$B$6+I99*'Pondérations'!$B$7+J99*'Pondérations'!$B$8+K99*'Pondérations'!$B$9+L99*'Pondérations'!$B$10+M99*'Pondérations'!$B$11+N99*'Pondérations'!$B$12+O99*'Pondérations'!$B$13+P99*'Pondérations'!$B$14)/'Pondérations'!$B$16,3),"")</f>
        <v/>
      </c>
      <c r="R99" s="159">
        <f>IF(Q99="","",1+COUNTIF($Q$7:$Q$178,"&gt;"&amp;Q99)+COUNTIF($Q$7:Q99,Q99)-1)</f>
        <v/>
      </c>
      <c r="S99" s="122" t="n"/>
      <c r="T99" s="117" t="n"/>
      <c r="U99" s="117" t="n"/>
      <c r="V99" s="123" t="inlineStr">
        <is>
          <t>Élevée</t>
        </is>
      </c>
      <c r="W99" s="117" t="inlineStr">
        <is>
          <t>Headfonics import</t>
        </is>
      </c>
      <c r="X99" s="118" t="n"/>
      <c r="Y99" s="123" t="inlineStr">
        <is>
          <t>Reader (non relevé)</t>
        </is>
      </c>
      <c r="Z99" s="124" t="n">
        <v>45073</v>
      </c>
      <c r="AA99" s="125" t="n">
        <v>5</v>
      </c>
      <c r="AB99" s="126" t="inlineStr">
        <is>
          <t>https://headfonics.com/?s=FiiO+Q11</t>
        </is>
      </c>
      <c r="AC99" s="117" t="inlineStr">
        <is>
          <t>Battery portable DAC/amp</t>
        </is>
      </c>
      <c r="AD99" s="123" t="inlineStr">
        <is>
          <t>Ajout Headfonics</t>
        </is>
      </c>
      <c r="AE99" s="125" t="n">
        <v>82</v>
      </c>
      <c r="AF99" s="138" t="n">
        <v>79</v>
      </c>
      <c r="AG99" s="122" t="inlineStr">
        <is>
          <t>Portable orienté qualité sonore, neutre et naturel, avec beaucoup de puissance et une bonne autonomie.</t>
        </is>
      </c>
      <c r="AH99" s="117" t="inlineStr">
        <is>
          <t>Neutre-naturel.</t>
        </is>
      </c>
      <c r="AI99" s="117" t="inlineStr">
        <is>
          <t>Bonne dynamique et tenue, plutôt raffiné pour le prix.</t>
        </is>
      </c>
      <c r="AJ99" s="117" t="inlineStr">
        <is>
          <t>Moins de fonctions héritées que les anciens Q-series; app limitée.</t>
        </is>
      </c>
      <c r="AK99" s="117" t="inlineStr">
        <is>
          <t>https://headfonics.com/fiio-q11-review/</t>
        </is>
      </c>
      <c r="AL99" s="125" t="n">
        <v>4</v>
      </c>
      <c r="AM99" s="123" t="inlineStr">
        <is>
          <t>Élevée — 3+ sources, domaines variés</t>
        </is>
      </c>
      <c r="AN99" s="117" t="inlineStr">
        <is>
          <t>https://www.head-fi.org/showcase/fiio-q11.26394/reviews</t>
        </is>
      </c>
      <c r="AO99" s="128" t="inlineStr">
        <is>
          <t>https://www.headfonia.com/fiio-q11-review/</t>
        </is>
      </c>
      <c r="AP99" s="117" t="inlineStr">
        <is>
          <t>https://audio46.com/blogs/headphones/fiio-q11-dac-amp-review</t>
        </is>
      </c>
      <c r="AQ99" s="123" t="inlineStr">
        <is>
          <t>Objectif atteint</t>
        </is>
      </c>
      <c r="AR99" s="117" t="inlineStr">
        <is>
          <t>Head-Fi reviews: 1; Review éditoriale: 3</t>
        </is>
      </c>
    </row>
    <row r="100" ht="54" customHeight="1">
      <c r="A100" s="129" t="inlineStr">
        <is>
          <t>iFi audio</t>
        </is>
      </c>
      <c r="B100" s="129" t="inlineStr">
        <is>
          <t>UNO</t>
        </is>
      </c>
      <c r="C100" s="129" t="inlineStr">
        <is>
          <t>Portable Amp/DAC (Headfonics)</t>
        </is>
      </c>
      <c r="D100" s="129" t="inlineStr">
        <is>
          <t>Plutôt neutre avec réglages EQ.</t>
        </is>
      </c>
      <c r="E100" s="129" t="inlineStr">
        <is>
          <t>Microdétail, propreté/contrôle, layering</t>
        </is>
      </c>
      <c r="F100" s="129" t="inlineStr">
        <is>
          <t>Sensible aux interférences EMI</t>
        </is>
      </c>
      <c r="G100" s="130" t="n">
        <v>9.300000000000001</v>
      </c>
      <c r="H100" s="131" t="n">
        <v>9.1</v>
      </c>
      <c r="I100" s="131" t="n">
        <v>8.800000000000001</v>
      </c>
      <c r="J100" s="131" t="n">
        <v>8.800000000000001</v>
      </c>
      <c r="K100" s="131" t="n">
        <v>9</v>
      </c>
      <c r="L100" s="131" t="n">
        <v>9.1</v>
      </c>
      <c r="M100" s="131" t="n">
        <v>9</v>
      </c>
      <c r="N100" s="131" t="n">
        <v>8.5</v>
      </c>
      <c r="O100" s="131" t="n">
        <v>6.5</v>
      </c>
      <c r="P100" s="131" t="n">
        <v>8.699999999999999</v>
      </c>
      <c r="Q100" s="158">
        <f>IF(COUNT(G100:P100)=10,ROUND((G100*'Pondérations'!$B$5+H100*'Pondérations'!$B$6+I100*'Pondérations'!$B$7+J100*'Pondérations'!$B$8+K100*'Pondérations'!$B$9+L100*'Pondérations'!$B$10+M100*'Pondérations'!$B$11+N100*'Pondérations'!$B$12+O100*'Pondérations'!$B$13+P100*'Pondérations'!$B$14)/'Pondérations'!$B$16,3),"")</f>
        <v/>
      </c>
      <c r="R100" s="159">
        <f>IF(Q100="","",1+COUNTIF($Q$7:$Q$178,"&gt;"&amp;Q100)+COUNTIF($Q$7:Q100,Q100)-1)</f>
        <v/>
      </c>
      <c r="S100" s="132" t="n"/>
      <c r="T100" s="129" t="n"/>
      <c r="U100" s="129" t="n"/>
      <c r="V100" s="133" t="inlineStr">
        <is>
          <t>Élevée</t>
        </is>
      </c>
      <c r="W100" s="129" t="inlineStr">
        <is>
          <t>Headfonics import</t>
        </is>
      </c>
      <c r="X100" s="130" t="n">
        <v>8.300000000000001</v>
      </c>
      <c r="Y100" s="133" t="inlineStr">
        <is>
          <t>Reader</t>
        </is>
      </c>
      <c r="Z100" s="134" t="n">
        <v>45066</v>
      </c>
      <c r="AA100" s="135" t="n">
        <v>5</v>
      </c>
      <c r="AB100" s="139" t="inlineStr">
        <is>
          <t>https://headfonics.com/?s=iFi+audio+UNO</t>
        </is>
      </c>
      <c r="AC100" s="129" t="inlineStr">
        <is>
          <t>Portable/desktop USB DAC/amp</t>
        </is>
      </c>
      <c r="AD100" s="133" t="inlineStr">
        <is>
          <t>Ajout Headfonics</t>
        </is>
      </c>
      <c r="AE100" s="135" t="n">
        <v>83</v>
      </c>
      <c r="AF100" s="136" t="n">
        <v>69</v>
      </c>
      <c r="AG100" s="132" t="inlineStr">
        <is>
          <t>Petit DAC/amp USB transportable, simple et efficace, un cran au-dessus des dongles basiques.</t>
        </is>
      </c>
      <c r="AH100" s="129" t="inlineStr">
        <is>
          <t>Plutôt neutre avec réglages EQ.</t>
        </is>
      </c>
      <c r="AI100" s="129" t="inlineStr">
        <is>
          <t>Bonne prestation générale pour l’entrée de gamme.</t>
        </is>
      </c>
      <c r="AJ100" s="129" t="inlineStr">
        <is>
          <t>Sensible aux interférences EMI; pas d’alimentation externe séparée.</t>
        </is>
      </c>
      <c r="AK100" s="129" t="inlineStr">
        <is>
          <t>https://headfonics.com/ifi-audio-uno-review/</t>
        </is>
      </c>
      <c r="AL100" s="135" t="n">
        <v>4</v>
      </c>
      <c r="AM100" s="133" t="inlineStr">
        <is>
          <t>Élevée — 3+ sources, domaines variés</t>
        </is>
      </c>
      <c r="AN100" s="129" t="inlineStr">
        <is>
          <t>https://www.head-fi.org/showcase/ifi-audio-uno.26225/reviews</t>
        </is>
      </c>
      <c r="AO100" s="137" t="inlineStr">
        <is>
          <t>https://www.headfonia.com/ifi-audio-uno-review/</t>
        </is>
      </c>
      <c r="AP100" s="129" t="inlineStr">
        <is>
          <t>https://www.techradar.com/audio/hi-fi/ifi-uno-review</t>
        </is>
      </c>
      <c r="AQ100" s="133" t="inlineStr">
        <is>
          <t>Objectif atteint</t>
        </is>
      </c>
      <c r="AR100" s="129" t="inlineStr">
        <is>
          <t>Head-Fi reviews: 1; Review éditoriale: 3</t>
        </is>
      </c>
    </row>
    <row r="101" ht="54" customHeight="1">
      <c r="A101" s="117" t="inlineStr">
        <is>
          <t>7Hz</t>
        </is>
      </c>
      <c r="B101" s="117" t="inlineStr">
        <is>
          <t>SEVENHERTZ 71</t>
        </is>
      </c>
      <c r="C101" s="117" t="inlineStr">
        <is>
          <t>Portable Amp/DAC (Headfonics)</t>
        </is>
      </c>
      <c r="D101" s="117" t="inlineStr">
        <is>
          <t>Plutôt neutre/énergique.</t>
        </is>
      </c>
      <c r="E101" s="117" t="inlineStr">
        <is>
          <t>Puissance, dynamique, propreté/contrôle</t>
        </is>
      </c>
      <c r="F101" s="117" t="inlineStr">
        <is>
          <t>Très peu de fonctions</t>
        </is>
      </c>
      <c r="G101" s="118" t="n">
        <v>9.4</v>
      </c>
      <c r="H101" s="119" t="n">
        <v>9</v>
      </c>
      <c r="I101" s="119" t="n">
        <v>8.300000000000001</v>
      </c>
      <c r="J101" s="119" t="n">
        <v>8.199999999999999</v>
      </c>
      <c r="K101" s="119" t="n">
        <v>8.699999999999999</v>
      </c>
      <c r="L101" s="119" t="n">
        <v>8.5</v>
      </c>
      <c r="M101" s="119" t="n">
        <v>9.199999999999999</v>
      </c>
      <c r="N101" s="119" t="n">
        <v>9.5</v>
      </c>
      <c r="O101" s="119" t="n">
        <v>9.5</v>
      </c>
      <c r="P101" s="119" t="n">
        <v>7.9</v>
      </c>
      <c r="Q101" s="158">
        <f>IF(COUNT(G101:P101)=10,ROUND((G101*'Pondérations'!$B$5+H101*'Pondérations'!$B$6+I101*'Pondérations'!$B$7+J101*'Pondérations'!$B$8+K101*'Pondérations'!$B$9+L101*'Pondérations'!$B$10+M101*'Pondérations'!$B$11+N101*'Pondérations'!$B$12+O101*'Pondérations'!$B$13+P101*'Pondérations'!$B$14)/'Pondérations'!$B$16,3),"")</f>
        <v/>
      </c>
      <c r="R101" s="159">
        <f>IF(Q101="","",1+COUNTIF($Q$7:$Q$178,"&gt;"&amp;Q101)+COUNTIF($Q$7:Q101,Q101)-1)</f>
        <v/>
      </c>
      <c r="S101" s="122" t="n"/>
      <c r="T101" s="117" t="n"/>
      <c r="U101" s="117" t="n"/>
      <c r="V101" s="123" t="inlineStr">
        <is>
          <t>Élevée</t>
        </is>
      </c>
      <c r="W101" s="117" t="inlineStr">
        <is>
          <t>Headfonics import</t>
        </is>
      </c>
      <c r="X101" s="118" t="n">
        <v>7.7</v>
      </c>
      <c r="Y101" s="123" t="inlineStr">
        <is>
          <t>Reader</t>
        </is>
      </c>
      <c r="Z101" s="124" t="n">
        <v>45028</v>
      </c>
      <c r="AA101" s="125" t="n">
        <v>5</v>
      </c>
      <c r="AB101" s="126" t="inlineStr">
        <is>
          <t>https://headfonics.com/?s=7Hz+SEVENHERTZ+71</t>
        </is>
      </c>
      <c r="AC101" s="117" t="inlineStr">
        <is>
          <t>Portable dongle DAC/amp</t>
        </is>
      </c>
      <c r="AD101" s="123" t="inlineStr">
        <is>
          <t>Ajout Headfonics</t>
        </is>
      </c>
      <c r="AE101" s="125" t="n">
        <v>84</v>
      </c>
      <c r="AF101" s="138" t="n">
        <v>31</v>
      </c>
      <c r="AG101" s="122" t="inlineStr">
        <is>
          <t>Dongle plug-and-play très simple avec une dynamique étonnamment bonne pour son prix.</t>
        </is>
      </c>
      <c r="AH101" s="117" t="inlineStr">
        <is>
          <t>Plutôt neutre/énergique.</t>
        </is>
      </c>
      <c r="AI101" s="117" t="inlineStr">
        <is>
          <t>Dynamique forte, technique basique mais efficace.</t>
        </is>
      </c>
      <c r="AJ101" s="117" t="inlineStr">
        <is>
          <t>Très peu de fonctions.</t>
        </is>
      </c>
      <c r="AK101" s="117" t="inlineStr">
        <is>
          <t>https://headfonics.com/7hz-sevenhertz-71-review/</t>
        </is>
      </c>
      <c r="AL101" s="125" t="n">
        <v>3</v>
      </c>
      <c r="AM101" s="123" t="inlineStr">
        <is>
          <t>Élevée — 3+ sources, domaines variés</t>
        </is>
      </c>
      <c r="AN101" s="117" t="inlineStr">
        <is>
          <t>https://www.head-fi.org/showcase/7hz-sevenhertz-71-usb-dac.26126/reviews</t>
        </is>
      </c>
      <c r="AO101" s="128" t="inlineStr">
        <is>
          <t>https://www.tnt-audio.com/headphones/sevenhertz_71_e.html</t>
        </is>
      </c>
      <c r="AP101" s="117" t="n"/>
      <c r="AQ101" s="123" t="inlineStr">
        <is>
          <t>Objectif atteint</t>
        </is>
      </c>
      <c r="AR101" s="117" t="inlineStr">
        <is>
          <t>Head-Fi reviews: 1; Review éditoriale: 2</t>
        </is>
      </c>
    </row>
    <row r="102" ht="54" customHeight="1">
      <c r="A102" s="129" t="inlineStr">
        <is>
          <t>Venture Electronics</t>
        </is>
      </c>
      <c r="B102" s="129" t="inlineStr">
        <is>
          <t>Megatron</t>
        </is>
      </c>
      <c r="C102" s="129" t="inlineStr">
        <is>
          <t>Portable Amp/DAC (Headfonics)</t>
        </is>
      </c>
      <c r="D102" s="129" t="inlineStr">
        <is>
          <t>Plutôt direct/énergique.</t>
        </is>
      </c>
      <c r="E102" s="129" t="inlineStr">
        <is>
          <t>Puissance, matière/timbres, profondeur</t>
        </is>
      </c>
      <c r="F102" s="129" t="inlineStr">
        <is>
          <t>Fond bruyant avec IEM sensibles</t>
        </is>
      </c>
      <c r="G102" s="130" t="n">
        <v>8.9</v>
      </c>
      <c r="H102" s="131" t="n">
        <v>8.6</v>
      </c>
      <c r="I102" s="131" t="n">
        <v>8.699999999999999</v>
      </c>
      <c r="J102" s="131" t="n">
        <v>8.6</v>
      </c>
      <c r="K102" s="131" t="n">
        <v>8.699999999999999</v>
      </c>
      <c r="L102" s="131" t="n">
        <v>9.1</v>
      </c>
      <c r="M102" s="131" t="n">
        <v>8.9</v>
      </c>
      <c r="N102" s="131" t="n">
        <v>9.300000000000001</v>
      </c>
      <c r="O102" s="131" t="n">
        <v>8</v>
      </c>
      <c r="P102" s="131" t="n">
        <v>8.1</v>
      </c>
      <c r="Q102" s="158">
        <f>IF(COUNT(G102:P102)=10,ROUND((G102*'Pondérations'!$B$5+H102*'Pondérations'!$B$6+I102*'Pondérations'!$B$7+J102*'Pondérations'!$B$8+K102*'Pondérations'!$B$9+L102*'Pondérations'!$B$10+M102*'Pondérations'!$B$11+N102*'Pondérations'!$B$12+O102*'Pondérations'!$B$13+P102*'Pondérations'!$B$14)/'Pondérations'!$B$16,3),"")</f>
        <v/>
      </c>
      <c r="R102" s="159">
        <f>IF(Q102="","",1+COUNTIF($Q$7:$Q$178,"&gt;"&amp;Q102)+COUNTIF($Q$7:Q102,Q102)-1)</f>
        <v/>
      </c>
      <c r="S102" s="132" t="n"/>
      <c r="T102" s="129" t="n"/>
      <c r="U102" s="129" t="n"/>
      <c r="V102" s="133" t="inlineStr">
        <is>
          <t>Élevée</t>
        </is>
      </c>
      <c r="W102" s="129" t="inlineStr">
        <is>
          <t>Headfonics import</t>
        </is>
      </c>
      <c r="X102" s="130" t="n"/>
      <c r="Y102" s="133" t="inlineStr">
        <is>
          <t>Reader (non relevé)</t>
        </is>
      </c>
      <c r="Z102" s="134" t="n">
        <v>45021</v>
      </c>
      <c r="AA102" s="135" t="n">
        <v>5</v>
      </c>
      <c r="AB102" s="139" t="inlineStr">
        <is>
          <t>https://headfonics.com/?s=Venture+Electronics+Megatron</t>
        </is>
      </c>
      <c r="AC102" s="129" t="inlineStr">
        <is>
          <t>Portable DAC/amp</t>
        </is>
      </c>
      <c r="AD102" s="133" t="inlineStr">
        <is>
          <t>Ajout Headfonics</t>
        </is>
      </c>
      <c r="AE102" s="135" t="n">
        <v>85</v>
      </c>
      <c r="AF102" s="136" t="n">
        <v>44</v>
      </c>
      <c r="AG102" s="132" t="inlineStr">
        <is>
          <t>Portable très puissant pour peu cher, surtout destiné aux casques difficiles plutôt qu’aux IEM sensibles.</t>
        </is>
      </c>
      <c r="AH102" s="129" t="inlineStr">
        <is>
          <t>Plutôt direct/énergique.</t>
        </is>
      </c>
      <c r="AI102" s="129" t="inlineStr">
        <is>
          <t>Forte dynamique et bonne réserve de puissance.</t>
        </is>
      </c>
      <c r="AJ102" s="129" t="inlineStr">
        <is>
          <t>Fond bruyant avec IEM sensibles.</t>
        </is>
      </c>
      <c r="AK102" s="129" t="inlineStr">
        <is>
          <t>https://headfonics.com/venture-electronics-megatron-review/</t>
        </is>
      </c>
      <c r="AL102" s="135" t="n">
        <v>4</v>
      </c>
      <c r="AM102" s="133" t="inlineStr">
        <is>
          <t>Élevée — 3+ sources, domaines variés</t>
        </is>
      </c>
      <c r="AN102" s="129" t="inlineStr">
        <is>
          <t>https://www.head-fi.org/showcase/venture-electronics-megatron.26010/reviews</t>
        </is>
      </c>
      <c r="AO102" s="137" t="inlineStr">
        <is>
          <t>https://www.headphonesty.com/2022/05/review-venture-electronics-megatron/</t>
        </is>
      </c>
      <c r="AP102" s="129" t="inlineStr">
        <is>
          <t>https://www.kinemosstech.com/venture-electronics-megatron-dac-amp-review/</t>
        </is>
      </c>
      <c r="AQ102" s="133" t="inlineStr">
        <is>
          <t>Objectif atteint</t>
        </is>
      </c>
      <c r="AR102" s="129" t="inlineStr">
        <is>
          <t>Head-Fi reviews: 1; Review éditoriale: 3</t>
        </is>
      </c>
    </row>
    <row r="103" ht="54" customHeight="1">
      <c r="A103" s="117" t="inlineStr">
        <is>
          <t>Shanling</t>
        </is>
      </c>
      <c r="B103" s="117" t="inlineStr">
        <is>
          <t>H7</t>
        </is>
      </c>
      <c r="C103" s="117" t="inlineStr">
        <is>
          <t>Portable Amp/DAC (Headfonics)</t>
        </is>
      </c>
      <c r="D103" s="117" t="inlineStr">
        <is>
          <t>Neutre, doux, légèrement sucré.</t>
        </is>
      </c>
      <c r="E103" s="117" t="inlineStr">
        <is>
          <t>Image 3d, profondeur, matière/timbres</t>
        </is>
      </c>
      <c r="F103" s="117" t="inlineStr">
        <is>
          <t>Application Eddict limitée</t>
        </is>
      </c>
      <c r="G103" s="118" t="n">
        <v>9.199999999999999</v>
      </c>
      <c r="H103" s="119" t="n">
        <v>9</v>
      </c>
      <c r="I103" s="119" t="n">
        <v>9</v>
      </c>
      <c r="J103" s="119" t="n">
        <v>9</v>
      </c>
      <c r="K103" s="119" t="n">
        <v>9</v>
      </c>
      <c r="L103" s="119" t="n">
        <v>9.199999999999999</v>
      </c>
      <c r="M103" s="119" t="n">
        <v>8.9</v>
      </c>
      <c r="N103" s="119" t="n">
        <v>8.1</v>
      </c>
      <c r="O103" s="119" t="n">
        <v>8</v>
      </c>
      <c r="P103" s="119" t="n">
        <v>8.9</v>
      </c>
      <c r="Q103" s="158">
        <f>IF(COUNT(G103:P103)=10,ROUND((G103*'Pondérations'!$B$5+H103*'Pondérations'!$B$6+I103*'Pondérations'!$B$7+J103*'Pondérations'!$B$8+K103*'Pondérations'!$B$9+L103*'Pondérations'!$B$10+M103*'Pondérations'!$B$11+N103*'Pondérations'!$B$12+O103*'Pondérations'!$B$13+P103*'Pondérations'!$B$14)/'Pondérations'!$B$16,3),"")</f>
        <v/>
      </c>
      <c r="R103" s="159">
        <f>IF(Q103="","",1+COUNTIF($Q$7:$Q$178,"&gt;"&amp;Q103)+COUNTIF($Q$7:Q103,Q103)-1)</f>
        <v/>
      </c>
      <c r="S103" s="122" t="n"/>
      <c r="T103" s="117" t="n"/>
      <c r="U103" s="117" t="n"/>
      <c r="V103" s="123" t="inlineStr">
        <is>
          <t>Élevée</t>
        </is>
      </c>
      <c r="W103" s="117" t="inlineStr">
        <is>
          <t>Headfonics import</t>
        </is>
      </c>
      <c r="X103" s="118" t="n">
        <v>8.699999999999999</v>
      </c>
      <c r="Y103" s="123" t="inlineStr">
        <is>
          <t>Reader</t>
        </is>
      </c>
      <c r="Z103" s="124" t="n">
        <v>45003</v>
      </c>
      <c r="AA103" s="125" t="n">
        <v>5</v>
      </c>
      <c r="AB103" s="126" t="inlineStr">
        <is>
          <t>https://headfonics.com/?s=Shanling+H7</t>
        </is>
      </c>
      <c r="AC103" s="117" t="inlineStr">
        <is>
          <t>Battery portable DAC/amp</t>
        </is>
      </c>
      <c r="AD103" s="123" t="inlineStr">
        <is>
          <t>Ajout Headfonics</t>
        </is>
      </c>
      <c r="AE103" s="125" t="n">
        <v>86</v>
      </c>
      <c r="AF103" s="138" t="n">
        <v>728</v>
      </c>
      <c r="AG103" s="122" t="inlineStr">
        <is>
          <t>Portable haut de gamme neutre mais plus doux et sucré que Mojo 2 ou Q7, avec beaucoup de détails et une bonne musicalité.</t>
        </is>
      </c>
      <c r="AH103" s="117" t="inlineStr">
        <is>
          <t>Neutre, doux, légèrement sucré.</t>
        </is>
      </c>
      <c r="AI103" s="117" t="inlineStr">
        <is>
          <t>Détaillé, équilibré et assez ample.</t>
        </is>
      </c>
      <c r="AJ103" s="117" t="inlineStr">
        <is>
          <t>Application Eddict limitée; pas de line-out 4.4 mm.</t>
        </is>
      </c>
      <c r="AK103" s="117" t="inlineStr">
        <is>
          <t>https://headfonics.com/shanling-h7-review/</t>
        </is>
      </c>
      <c r="AL103" s="125" t="n">
        <v>3</v>
      </c>
      <c r="AM103" s="123" t="inlineStr">
        <is>
          <t>Élevée — 3+ sources, domaines variés</t>
        </is>
      </c>
      <c r="AN103" s="117" t="inlineStr">
        <is>
          <t>https://www.head-fi.org/showcase/shanling-h7-portable-dac-amp-player-wired-and-wireless-connection.26278/reviews</t>
        </is>
      </c>
      <c r="AO103" s="128" t="inlineStr">
        <is>
          <t>https://www.headfonia.com/shanling-h7-review/</t>
        </is>
      </c>
      <c r="AP103" s="117" t="n"/>
      <c r="AQ103" s="123" t="inlineStr">
        <is>
          <t>Objectif atteint</t>
        </is>
      </c>
      <c r="AR103" s="117" t="inlineStr">
        <is>
          <t>Head-Fi reviews: 1; Review éditoriale: 2</t>
        </is>
      </c>
    </row>
    <row r="104" ht="54" customHeight="1">
      <c r="A104" s="129" t="inlineStr">
        <is>
          <t>iKKO</t>
        </is>
      </c>
      <c r="B104" s="129" t="inlineStr">
        <is>
          <t>Zerda ITM02</t>
        </is>
      </c>
      <c r="C104" s="129" t="inlineStr">
        <is>
          <t>Portable Amp/DAC (Headfonics)</t>
        </is>
      </c>
      <c r="D104" s="129" t="inlineStr">
        <is>
          <t>Médiums en avant, engageant.</t>
        </is>
      </c>
      <c r="E104" s="129" t="inlineStr">
        <is>
          <t>Image 3d, profondeur, matière/timbres</t>
        </is>
      </c>
      <c r="F104" s="129" t="inlineStr">
        <is>
          <t>Puissance faible et précision spatiale limitée</t>
        </is>
      </c>
      <c r="G104" s="130" t="n">
        <v>9.1</v>
      </c>
      <c r="H104" s="131" t="n">
        <v>8.9</v>
      </c>
      <c r="I104" s="131" t="n">
        <v>7.5</v>
      </c>
      <c r="J104" s="131" t="n">
        <v>7.5</v>
      </c>
      <c r="K104" s="131" t="n">
        <v>8.9</v>
      </c>
      <c r="L104" s="131" t="n">
        <v>9.1</v>
      </c>
      <c r="M104" s="131" t="n">
        <v>9</v>
      </c>
      <c r="N104" s="131" t="n">
        <v>7</v>
      </c>
      <c r="O104" s="131" t="n">
        <v>9.5</v>
      </c>
      <c r="P104" s="131" t="n">
        <v>8.6</v>
      </c>
      <c r="Q104" s="158">
        <f>IF(COUNT(G104:P104)=10,ROUND((G104*'Pondérations'!$B$5+H104*'Pondérations'!$B$6+I104*'Pondérations'!$B$7+J104*'Pondérations'!$B$8+K104*'Pondérations'!$B$9+L104*'Pondérations'!$B$10+M104*'Pondérations'!$B$11+N104*'Pondérations'!$B$12+O104*'Pondérations'!$B$13+P104*'Pondérations'!$B$14)/'Pondérations'!$B$16,3),"")</f>
        <v/>
      </c>
      <c r="R104" s="159">
        <f>IF(Q104="","",1+COUNTIF($Q$7:$Q$178,"&gt;"&amp;Q104)+COUNTIF($Q$7:Q104,Q104)-1)</f>
        <v/>
      </c>
      <c r="S104" s="132" t="n"/>
      <c r="T104" s="129" t="n"/>
      <c r="U104" s="129" t="n"/>
      <c r="V104" s="133" t="inlineStr">
        <is>
          <t>Élevée</t>
        </is>
      </c>
      <c r="W104" s="129" t="inlineStr">
        <is>
          <t>Headfonics import</t>
        </is>
      </c>
      <c r="X104" s="130" t="n">
        <v>7.3</v>
      </c>
      <c r="Y104" s="133" t="inlineStr">
        <is>
          <t>Reader</t>
        </is>
      </c>
      <c r="Z104" s="134" t="n">
        <v>44935</v>
      </c>
      <c r="AA104" s="135" t="n">
        <v>5</v>
      </c>
      <c r="AB104" s="139" t="inlineStr">
        <is>
          <t>https://headfonics.com/?s=iKKO+Zerda+ITM02</t>
        </is>
      </c>
      <c r="AC104" s="129" t="inlineStr">
        <is>
          <t>Portable dongle DAC/amp</t>
        </is>
      </c>
      <c r="AD104" s="133" t="inlineStr">
        <is>
          <t>Ajout Headfonics</t>
        </is>
      </c>
      <c r="AE104" s="135" t="n">
        <v>87</v>
      </c>
      <c r="AF104" s="136" t="n">
        <v>52</v>
      </c>
      <c r="AG104" s="132" t="inlineStr">
        <is>
          <t>Petit dongle abordable au médium engageant, mais limité en puissance et en précision d’image.</t>
        </is>
      </c>
      <c r="AH104" s="129" t="inlineStr">
        <is>
          <t>Médiums en avant, engageant.</t>
        </is>
      </c>
      <c r="AI104" s="129" t="inlineStr">
        <is>
          <t>Bonne énergie mais imagerie assez floue.</t>
        </is>
      </c>
      <c r="AJ104" s="129" t="inlineStr">
        <is>
          <t>Puissance faible et précision spatiale limitée.</t>
        </is>
      </c>
      <c r="AK104" s="129" t="inlineStr">
        <is>
          <t>https://headfonics.com/ikko-zerda-itm02-review/</t>
        </is>
      </c>
      <c r="AL104" s="135" t="n">
        <v>4</v>
      </c>
      <c r="AM104" s="133" t="inlineStr">
        <is>
          <t>Élevée — 3+ sources, domaines variés</t>
        </is>
      </c>
      <c r="AN104" s="129" t="inlineStr">
        <is>
          <t>https://majorhifi.com/ikko-zerda-itm02-review/</t>
        </is>
      </c>
      <c r="AO104" s="137" t="inlineStr">
        <is>
          <t>https://www.audioreviews.org/ikko-zerda-itm02-review-lj/</t>
        </is>
      </c>
      <c r="AP104" s="129" t="inlineStr">
        <is>
          <t>https://audiofool.reviews/2022/11/10/ikko-zerda-itm02/</t>
        </is>
      </c>
      <c r="AQ104" s="133" t="inlineStr">
        <is>
          <t>Objectif atteint</t>
        </is>
      </c>
      <c r="AR104" s="129" t="inlineStr">
        <is>
          <t>Review éditoriale: 4</t>
        </is>
      </c>
    </row>
    <row r="105" ht="54" customHeight="1">
      <c r="A105" s="117" t="inlineStr">
        <is>
          <t>Quloos</t>
        </is>
      </c>
      <c r="B105" s="117" t="inlineStr">
        <is>
          <t>QLS MC01</t>
        </is>
      </c>
      <c r="C105" s="117" t="inlineStr">
        <is>
          <t>Portable Amp/DAC (Headfonics)</t>
        </is>
      </c>
      <c r="D105" s="117" t="inlineStr">
        <is>
          <t>Doux, relax, propre.</t>
        </is>
      </c>
      <c r="E105" s="117" t="inlineStr">
        <is>
          <t>Microdétail, layering, dynamique</t>
        </is>
      </c>
      <c r="F105" s="117" t="inlineStr">
        <is>
          <t>Pas d’app ni de firmware à l’époque du test</t>
        </is>
      </c>
      <c r="G105" s="118" t="n">
        <v>9.1</v>
      </c>
      <c r="H105" s="119" t="n">
        <v>9</v>
      </c>
      <c r="I105" s="119" t="n">
        <v>8.800000000000001</v>
      </c>
      <c r="J105" s="119" t="n">
        <v>8.699999999999999</v>
      </c>
      <c r="K105" s="119" t="n">
        <v>9</v>
      </c>
      <c r="L105" s="119" t="n">
        <v>9</v>
      </c>
      <c r="M105" s="119" t="n">
        <v>9</v>
      </c>
      <c r="N105" s="119" t="n">
        <v>8.699999999999999</v>
      </c>
      <c r="O105" s="119" t="n">
        <v>9.5</v>
      </c>
      <c r="P105" s="119" t="n">
        <v>8.6</v>
      </c>
      <c r="Q105" s="158">
        <f>IF(COUNT(G105:P105)=10,ROUND((G105*'Pondérations'!$B$5+H105*'Pondérations'!$B$6+I105*'Pondérations'!$B$7+J105*'Pondérations'!$B$8+K105*'Pondérations'!$B$9+L105*'Pondérations'!$B$10+M105*'Pondérations'!$B$11+N105*'Pondérations'!$B$12+O105*'Pondérations'!$B$13+P105*'Pondérations'!$B$14)/'Pondérations'!$B$16,3),"")</f>
        <v/>
      </c>
      <c r="R105" s="159">
        <f>IF(Q105="","",1+COUNTIF($Q$7:$Q$178,"&gt;"&amp;Q105)+COUNTIF($Q$7:Q105,Q105)-1)</f>
        <v/>
      </c>
      <c r="S105" s="122" t="n"/>
      <c r="T105" s="117" t="n"/>
      <c r="U105" s="117" t="n"/>
      <c r="V105" s="123" t="inlineStr">
        <is>
          <t>Élevée</t>
        </is>
      </c>
      <c r="W105" s="117" t="inlineStr">
        <is>
          <t>Headfonics import</t>
        </is>
      </c>
      <c r="X105" s="118" t="n">
        <v>8.5</v>
      </c>
      <c r="Y105" s="123" t="inlineStr">
        <is>
          <t>Reader</t>
        </is>
      </c>
      <c r="Z105" s="124" t="n">
        <v>44921</v>
      </c>
      <c r="AA105" s="125" t="n">
        <v>5</v>
      </c>
      <c r="AB105" s="126" t="inlineStr">
        <is>
          <t>https://headfonics.com/?s=Quloos+QLS+MC01</t>
        </is>
      </c>
      <c r="AC105" s="117" t="inlineStr">
        <is>
          <t>Portable dongle DAC/amp</t>
        </is>
      </c>
      <c r="AD105" s="123" t="inlineStr">
        <is>
          <t>Ajout Headfonics</t>
        </is>
      </c>
      <c r="AE105" s="125" t="n">
        <v>88</v>
      </c>
      <c r="AF105" s="138" t="n">
        <v>220</v>
      </c>
      <c r="AG105" s="122" t="inlineStr">
        <is>
          <t>Dongle détendu mais résolvant, très agréable pour qui veut de la finesse sans agressivité.</t>
        </is>
      </c>
      <c r="AH105" s="117" t="inlineStr">
        <is>
          <t>Doux, relax, propre.</t>
        </is>
      </c>
      <c r="AI105" s="117" t="inlineStr">
        <is>
          <t>Bonne résolution et présentation fluide.</t>
        </is>
      </c>
      <c r="AJ105" s="117" t="inlineStr">
        <is>
          <t>Pas d’app ni de firmware à l’époque du test; ergonomie perfectible.</t>
        </is>
      </c>
      <c r="AK105" s="117" t="inlineStr">
        <is>
          <t>https://headfonics.com/quloos-qls-mc01-review/</t>
        </is>
      </c>
      <c r="AL105" s="125" t="n">
        <v>3</v>
      </c>
      <c r="AM105" s="123" t="inlineStr">
        <is>
          <t>Élevée — 3+ sources, domaines variés</t>
        </is>
      </c>
      <c r="AN105" s="117" t="inlineStr">
        <is>
          <t>https://www.head-fi.org/showcase/quloos-qls-mc01-usb-dac-amp.26194/reviews</t>
        </is>
      </c>
      <c r="AO105" s="128" t="inlineStr">
        <is>
          <t>https://moonstarreviews.net/quloos-qls-mc01-review/</t>
        </is>
      </c>
      <c r="AP105" s="117" t="n"/>
      <c r="AQ105" s="123" t="inlineStr">
        <is>
          <t>Objectif atteint</t>
        </is>
      </c>
      <c r="AR105" s="117" t="inlineStr">
        <is>
          <t>Head-Fi reviews: 1; Review éditoriale: 2</t>
        </is>
      </c>
    </row>
    <row r="106" ht="54" customHeight="1">
      <c r="A106" s="129" t="inlineStr">
        <is>
          <t>Hidizs</t>
        </is>
      </c>
      <c r="B106" s="129" t="inlineStr">
        <is>
          <t>XO</t>
        </is>
      </c>
      <c r="C106" s="129" t="inlineStr">
        <is>
          <t>Portable Amp/DAC (Headfonics)</t>
        </is>
      </c>
      <c r="D106" s="129" t="inlineStr">
        <is>
          <t>Plutôt naturel/équilibré.</t>
        </is>
      </c>
      <c r="E106" s="129" t="inlineStr">
        <is>
          <t>Propreté/contrôle, image 3d, microdétail</t>
        </is>
      </c>
      <c r="F106" s="129" t="inlineStr">
        <is>
          <t>Peu de limites sonores majeures relevées</t>
        </is>
      </c>
      <c r="G106" s="130" t="n">
        <v>9</v>
      </c>
      <c r="H106" s="131" t="n">
        <v>8.800000000000001</v>
      </c>
      <c r="I106" s="131" t="n">
        <v>8.6</v>
      </c>
      <c r="J106" s="131" t="n">
        <v>8.6</v>
      </c>
      <c r="K106" s="131" t="n">
        <v>8.699999999999999</v>
      </c>
      <c r="L106" s="131" t="n">
        <v>8.9</v>
      </c>
      <c r="M106" s="131" t="n">
        <v>8.800000000000001</v>
      </c>
      <c r="N106" s="131" t="n">
        <v>8.6</v>
      </c>
      <c r="O106" s="131" t="n">
        <v>9.5</v>
      </c>
      <c r="P106" s="131" t="n">
        <v>8.1</v>
      </c>
      <c r="Q106" s="158">
        <f>IF(COUNT(G106:P106)=10,ROUND((G106*'Pondérations'!$B$5+H106*'Pondérations'!$B$6+I106*'Pondérations'!$B$7+J106*'Pondérations'!$B$8+K106*'Pondérations'!$B$9+L106*'Pondérations'!$B$10+M106*'Pondérations'!$B$11+N106*'Pondérations'!$B$12+O106*'Pondérations'!$B$13+P106*'Pondérations'!$B$14)/'Pondérations'!$B$16,3),"")</f>
        <v/>
      </c>
      <c r="R106" s="159">
        <f>IF(Q106="","",1+COUNTIF($Q$7:$Q$178,"&gt;"&amp;Q106)+COUNTIF($Q$7:Q106,Q106)-1)</f>
        <v/>
      </c>
      <c r="S106" s="132" t="n"/>
      <c r="T106" s="129" t="n"/>
      <c r="U106" s="129" t="n"/>
      <c r="V106" s="133" t="inlineStr">
        <is>
          <t>Élevée</t>
        </is>
      </c>
      <c r="W106" s="129" t="inlineStr">
        <is>
          <t>Headfonics import</t>
        </is>
      </c>
      <c r="X106" s="130" t="n">
        <v>8.300000000000001</v>
      </c>
      <c r="Y106" s="133" t="inlineStr">
        <is>
          <t>Reader</t>
        </is>
      </c>
      <c r="Z106" s="134" t="n">
        <v>44909</v>
      </c>
      <c r="AA106" s="135" t="n">
        <v>5</v>
      </c>
      <c r="AB106" s="139" t="inlineStr">
        <is>
          <t>https://headfonics.com/?s=Hidizs+XO</t>
        </is>
      </c>
      <c r="AC106" s="129" t="inlineStr">
        <is>
          <t>Portable dongle DAC/amp</t>
        </is>
      </c>
      <c r="AD106" s="133" t="inlineStr">
        <is>
          <t>Ajout Headfonics</t>
        </is>
      </c>
      <c r="AE106" s="135" t="n">
        <v>89</v>
      </c>
      <c r="AF106" s="127" t="n">
        <v>69.3</v>
      </c>
      <c r="AG106" s="132" t="inlineStr">
        <is>
          <t>Petit dongle accessible qui améliore clairement la qualité perçue d’un smartphone, avec un timbre jugé convaincant.</t>
        </is>
      </c>
      <c r="AH106" s="129" t="inlineStr">
        <is>
          <t>Plutôt naturel/équilibré.</t>
        </is>
      </c>
      <c r="AI106" s="129" t="inlineStr">
        <is>
          <t>Bonne amélioration générale du timbre et de la lisibilité.</t>
        </is>
      </c>
      <c r="AJ106" s="129" t="inlineStr">
        <is>
          <t>Peu de limites sonores majeures relevées; fonctions RGB anecdotiques.</t>
        </is>
      </c>
      <c r="AK106" s="129" t="inlineStr">
        <is>
          <t>https://headfonics.com/hidizs-xo-review/</t>
        </is>
      </c>
      <c r="AL106" s="135" t="n">
        <v>4</v>
      </c>
      <c r="AM106" s="133" t="inlineStr">
        <is>
          <t>Élevée — 3+ sources, domaines variés</t>
        </is>
      </c>
      <c r="AN106" s="129" t="inlineStr">
        <is>
          <t>https://www.head-fi.org/showcase/hidizs-xo.26116/reviews</t>
        </is>
      </c>
      <c r="AO106" s="137" t="inlineStr">
        <is>
          <t>https://www.headfonia.com/hidizs-xo-review/</t>
        </is>
      </c>
      <c r="AP106" s="129" t="inlineStr">
        <is>
          <t>https://www.headphonesty.com/2022/12/review-hidizs-xo/</t>
        </is>
      </c>
      <c r="AQ106" s="133" t="inlineStr">
        <is>
          <t>Objectif atteint</t>
        </is>
      </c>
      <c r="AR106" s="129" t="inlineStr">
        <is>
          <t>Head-Fi reviews: 1; Review éditoriale: 3</t>
        </is>
      </c>
    </row>
    <row r="107" ht="54" customHeight="1">
      <c r="A107" s="117" t="inlineStr">
        <is>
          <t>FiiO</t>
        </is>
      </c>
      <c r="B107" s="117" t="inlineStr">
        <is>
          <t>Q7</t>
        </is>
      </c>
      <c r="C107" s="117" t="inlineStr">
        <is>
          <t>Portable Amp/DAC (Headfonics)</t>
        </is>
      </c>
      <c r="D107" s="117" t="inlineStr">
        <is>
          <t>Énergique, légèrement adouci.</t>
        </is>
      </c>
      <c r="E107" s="117" t="inlineStr">
        <is>
          <t>Puissance, matière/timbres, dynamique</t>
        </is>
      </c>
      <c r="F107" s="117" t="inlineStr">
        <is>
          <t>Énorme pour du portable</t>
        </is>
      </c>
      <c r="G107" s="118" t="n">
        <v>8.800000000000001</v>
      </c>
      <c r="H107" s="119" t="n">
        <v>8.699999999999999</v>
      </c>
      <c r="I107" s="119" t="n">
        <v>8.6</v>
      </c>
      <c r="J107" s="119" t="n">
        <v>8.5</v>
      </c>
      <c r="K107" s="119" t="n">
        <v>8.6</v>
      </c>
      <c r="L107" s="119" t="n">
        <v>9.1</v>
      </c>
      <c r="M107" s="119" t="n">
        <v>8.9</v>
      </c>
      <c r="N107" s="119" t="n">
        <v>9.300000000000001</v>
      </c>
      <c r="O107" s="119" t="n">
        <v>6.5</v>
      </c>
      <c r="P107" s="119" t="n">
        <v>8</v>
      </c>
      <c r="Q107" s="158">
        <f>IF(COUNT(G107:P107)=10,ROUND((G107*'Pondérations'!$B$5+H107*'Pondérations'!$B$6+I107*'Pondérations'!$B$7+J107*'Pondérations'!$B$8+K107*'Pondérations'!$B$9+L107*'Pondérations'!$B$10+M107*'Pondérations'!$B$11+N107*'Pondérations'!$B$12+O107*'Pondérations'!$B$13+P107*'Pondérations'!$B$14)/'Pondérations'!$B$16,3),"")</f>
        <v/>
      </c>
      <c r="R107" s="159">
        <f>IF(Q107="","",1+COUNTIF($Q$7:$Q$178,"&gt;"&amp;Q107)+COUNTIF($Q$7:Q107,Q107)-1)</f>
        <v/>
      </c>
      <c r="S107" s="122" t="n"/>
      <c r="T107" s="117" t="n"/>
      <c r="U107" s="117" t="n"/>
      <c r="V107" s="123" t="inlineStr">
        <is>
          <t>Élevée</t>
        </is>
      </c>
      <c r="W107" s="117" t="inlineStr">
        <is>
          <t>Headfonics import</t>
        </is>
      </c>
      <c r="X107" s="118" t="n">
        <v>8.4</v>
      </c>
      <c r="Y107" s="123" t="inlineStr">
        <is>
          <t>Reader</t>
        </is>
      </c>
      <c r="Z107" s="124" t="n">
        <v>44891</v>
      </c>
      <c r="AA107" s="125" t="n">
        <v>5</v>
      </c>
      <c r="AB107" s="126" t="inlineStr">
        <is>
          <t>https://headfonics.com/?s=FiiO+Q7</t>
        </is>
      </c>
      <c r="AC107" s="117" t="inlineStr">
        <is>
          <t>High-power portable DAC/amp</t>
        </is>
      </c>
      <c r="AD107" s="123" t="inlineStr">
        <is>
          <t>Ajout Headfonics</t>
        </is>
      </c>
      <c r="AE107" s="125" t="n">
        <v>90</v>
      </c>
      <c r="AF107" s="127" t="n">
        <v>790</v>
      </c>
      <c r="AG107" s="122" t="inlineStr">
        <is>
          <t>Transportable très puissant et riche en connectique, au rendu énergique et assez doux comparé au M17.</t>
        </is>
      </c>
      <c r="AH107" s="117" t="inlineStr">
        <is>
          <t>Énergique, légèrement adouci.</t>
        </is>
      </c>
      <c r="AI107" s="117" t="inlineStr">
        <is>
          <t>Très bonne dynamique et forte réserve de puissance.</t>
        </is>
      </c>
      <c r="AJ107" s="117" t="inlineStr">
        <is>
          <t>Énorme pour du portable; impédance de sortie &gt;1 ohm.</t>
        </is>
      </c>
      <c r="AK107" s="117" t="inlineStr">
        <is>
          <t>https://headfonics.com/fiio-q7-review/</t>
        </is>
      </c>
      <c r="AL107" s="125" t="n">
        <v>4</v>
      </c>
      <c r="AM107" s="123" t="inlineStr">
        <is>
          <t>Élevée — 3+ sources, domaines variés</t>
        </is>
      </c>
      <c r="AN107" s="117" t="inlineStr">
        <is>
          <t>https://www.head-fi.org/showcase/fiio-q7.26258/reviews</t>
        </is>
      </c>
      <c r="AO107" s="128" t="inlineStr">
        <is>
          <t>https://www.headfonia.com/fiio-q7-review/</t>
        </is>
      </c>
      <c r="AP107" s="117" t="inlineStr">
        <is>
          <t>https://www.androidcentral.com/accessories/audio/fiio-q7-review</t>
        </is>
      </c>
      <c r="AQ107" s="123" t="inlineStr">
        <is>
          <t>Objectif atteint</t>
        </is>
      </c>
      <c r="AR107" s="117" t="inlineStr">
        <is>
          <t>Head-Fi reviews: 1; Review éditoriale: 3</t>
        </is>
      </c>
    </row>
    <row r="108" ht="54" customHeight="1">
      <c r="A108" s="129" t="inlineStr">
        <is>
          <t>EarMen</t>
        </is>
      </c>
      <c r="B108" s="129" t="inlineStr">
        <is>
          <t>Angel</t>
        </is>
      </c>
      <c r="C108" s="129" t="inlineStr">
        <is>
          <t>Portable Amp/DAC (Headfonics)</t>
        </is>
      </c>
      <c r="D108" s="129" t="inlineStr">
        <is>
          <t>Transparent/clair.</t>
        </is>
      </c>
      <c r="E108" s="129" t="inlineStr">
        <is>
          <t>Propreté/contrôle, microdétail, dynamique</t>
        </is>
      </c>
      <c r="F108" s="129" t="inlineStr">
        <is>
          <t>Timbre d’aigu pouvant nuire à la précision d’image</t>
        </is>
      </c>
      <c r="G108" s="130" t="n">
        <v>9.4</v>
      </c>
      <c r="H108" s="131" t="n">
        <v>9</v>
      </c>
      <c r="I108" s="131" t="n">
        <v>8.4</v>
      </c>
      <c r="J108" s="131" t="n">
        <v>8.300000000000001</v>
      </c>
      <c r="K108" s="131" t="n">
        <v>8.699999999999999</v>
      </c>
      <c r="L108" s="131" t="n">
        <v>8.5</v>
      </c>
      <c r="M108" s="131" t="n">
        <v>9</v>
      </c>
      <c r="N108" s="131" t="n">
        <v>9</v>
      </c>
      <c r="O108" s="131" t="n">
        <v>8</v>
      </c>
      <c r="P108" s="131" t="n">
        <v>8</v>
      </c>
      <c r="Q108" s="158">
        <f>IF(COUNT(G108:P108)=10,ROUND((G108*'Pondérations'!$B$5+H108*'Pondérations'!$B$6+I108*'Pondérations'!$B$7+J108*'Pondérations'!$B$8+K108*'Pondérations'!$B$9+L108*'Pondérations'!$B$10+M108*'Pondérations'!$B$11+N108*'Pondérations'!$B$12+O108*'Pondérations'!$B$13+P108*'Pondérations'!$B$14)/'Pondérations'!$B$16,3),"")</f>
        <v/>
      </c>
      <c r="R108" s="159">
        <f>IF(Q108="","",1+COUNTIF($Q$7:$Q$178,"&gt;"&amp;Q108)+COUNTIF($Q$7:Q108,Q108)-1)</f>
        <v/>
      </c>
      <c r="S108" s="132" t="n"/>
      <c r="T108" s="129" t="n"/>
      <c r="U108" s="129" t="n"/>
      <c r="V108" s="133" t="inlineStr">
        <is>
          <t>Élevée</t>
        </is>
      </c>
      <c r="W108" s="129" t="inlineStr">
        <is>
          <t>Headfonics import</t>
        </is>
      </c>
      <c r="X108" s="130" t="n">
        <v>8.800000000000001</v>
      </c>
      <c r="Y108" s="133" t="inlineStr">
        <is>
          <t>Reader</t>
        </is>
      </c>
      <c r="Z108" s="134" t="n">
        <v>44867</v>
      </c>
      <c r="AA108" s="135" t="n">
        <v>5</v>
      </c>
      <c r="AB108" s="139" t="inlineStr">
        <is>
          <t>https://headfonics.com/?s=EarMen+Angel</t>
        </is>
      </c>
      <c r="AC108" s="129" t="inlineStr">
        <is>
          <t>Battery portable DAC/amp</t>
        </is>
      </c>
      <c r="AD108" s="133" t="inlineStr">
        <is>
          <t>Ajout Headfonics</t>
        </is>
      </c>
      <c r="AE108" s="135" t="n">
        <v>91</v>
      </c>
      <c r="AF108" s="136" t="n">
        <v>702</v>
      </c>
      <c r="AG108" s="132" t="inlineStr">
        <is>
          <t>Portable très transparent et dynamique, avec une prestation proche d’un appareil desktop.</t>
        </is>
      </c>
      <c r="AH108" s="129" t="inlineStr">
        <is>
          <t>Transparent/clair.</t>
        </is>
      </c>
      <c r="AI108" s="129" t="inlineStr">
        <is>
          <t>Bonne dynamique et bonne capacité de résolution.</t>
        </is>
      </c>
      <c r="AJ108" s="129" t="inlineStr">
        <is>
          <t>Timbre d’aigu pouvant nuire à la précision d’image; lourd et volumineux.</t>
        </is>
      </c>
      <c r="AK108" s="129" t="inlineStr">
        <is>
          <t>https://headfonics.com/earmen-angel-review/</t>
        </is>
      </c>
      <c r="AL108" s="135" t="n">
        <v>4</v>
      </c>
      <c r="AM108" s="133" t="inlineStr">
        <is>
          <t>Élevée — 3+ sources, domaines variés</t>
        </is>
      </c>
      <c r="AN108" s="129" t="inlineStr">
        <is>
          <t>https://www.head-fi.org/showcase/earmen-angel.25952/reviews</t>
        </is>
      </c>
      <c r="AO108" s="137" t="inlineStr">
        <is>
          <t>https://www.headfonia.com/earmen-angel-review/</t>
        </is>
      </c>
      <c r="AP108" s="129" t="inlineStr">
        <is>
          <t>https://www.ecoustics.com/reviews/earmen-angel/</t>
        </is>
      </c>
      <c r="AQ108" s="133" t="inlineStr">
        <is>
          <t>Objectif atteint</t>
        </is>
      </c>
      <c r="AR108" s="129" t="inlineStr">
        <is>
          <t>Head-Fi reviews: 1; Review éditoriale: 3</t>
        </is>
      </c>
    </row>
    <row r="109" ht="54" customHeight="1">
      <c r="A109" s="117" t="inlineStr">
        <is>
          <t>Moondrop</t>
        </is>
      </c>
      <c r="B109" s="117" t="inlineStr">
        <is>
          <t>Dawn</t>
        </is>
      </c>
      <c r="C109" s="117" t="inlineStr">
        <is>
          <t>Portable Amp/DAC (Headfonics)</t>
        </is>
      </c>
      <c r="D109" s="117" t="inlineStr">
        <is>
          <t>Neutre/clair.</t>
        </is>
      </c>
      <c r="E109" s="117" t="inlineStr">
        <is>
          <t>Propreté/contrôle, microdétail, puissance</t>
        </is>
      </c>
      <c r="F109" s="117" t="inlineStr">
        <is>
          <t>Peu de fonctions</t>
        </is>
      </c>
      <c r="G109" s="118" t="n">
        <v>9.4</v>
      </c>
      <c r="H109" s="119" t="n">
        <v>9.1</v>
      </c>
      <c r="I109" s="119" t="n">
        <v>8.300000000000001</v>
      </c>
      <c r="J109" s="119" t="n">
        <v>8.199999999999999</v>
      </c>
      <c r="K109" s="119" t="n">
        <v>8.6</v>
      </c>
      <c r="L109" s="119" t="n">
        <v>8.5</v>
      </c>
      <c r="M109" s="119" t="n">
        <v>9.1</v>
      </c>
      <c r="N109" s="119" t="n">
        <v>9.199999999999999</v>
      </c>
      <c r="O109" s="119" t="n">
        <v>9.5</v>
      </c>
      <c r="P109" s="119" t="n">
        <v>7.9</v>
      </c>
      <c r="Q109" s="158">
        <f>IF(COUNT(G109:P109)=10,ROUND((G109*'Pondérations'!$B$5+H109*'Pondérations'!$B$6+I109*'Pondérations'!$B$7+J109*'Pondérations'!$B$8+K109*'Pondérations'!$B$9+L109*'Pondérations'!$B$10+M109*'Pondérations'!$B$11+N109*'Pondérations'!$B$12+O109*'Pondérations'!$B$13+P109*'Pondérations'!$B$14)/'Pondérations'!$B$16,3),"")</f>
        <v/>
      </c>
      <c r="R109" s="159">
        <f>IF(Q109="","",1+COUNTIF($Q$7:$Q$178,"&gt;"&amp;Q109)+COUNTIF($Q$7:Q109,Q109)-1)</f>
        <v/>
      </c>
      <c r="S109" s="122" t="n"/>
      <c r="T109" s="117" t="n"/>
      <c r="U109" s="117" t="n"/>
      <c r="V109" s="123" t="inlineStr">
        <is>
          <t>Élevée</t>
        </is>
      </c>
      <c r="W109" s="117" t="inlineStr">
        <is>
          <t>Headfonics import</t>
        </is>
      </c>
      <c r="X109" s="118" t="n">
        <v>7.5</v>
      </c>
      <c r="Y109" s="123" t="inlineStr">
        <is>
          <t>Reader</t>
        </is>
      </c>
      <c r="Z109" s="124" t="n">
        <v>44865</v>
      </c>
      <c r="AA109" s="125" t="n">
        <v>5</v>
      </c>
      <c r="AB109" s="126" t="inlineStr">
        <is>
          <t>https://headfonics.com/?s=Moondrop+Dawn</t>
        </is>
      </c>
      <c r="AC109" s="117" t="inlineStr">
        <is>
          <t>Portable dongle DAC/amp</t>
        </is>
      </c>
      <c r="AD109" s="123" t="inlineStr">
        <is>
          <t>Ajout Headfonics</t>
        </is>
      </c>
      <c r="AE109" s="125" t="n">
        <v>92</v>
      </c>
      <c r="AF109" s="138" t="n">
        <v>62</v>
      </c>
      <c r="AG109" s="122" t="inlineStr">
        <is>
          <t>Dongle simple mais puissant et clair, particulièrement intéressant pour des écouteurs plus difficiles à alimenter.</t>
        </is>
      </c>
      <c r="AH109" s="117" t="inlineStr">
        <is>
          <t>Neutre/clair.</t>
        </is>
      </c>
      <c r="AI109" s="117" t="inlineStr">
        <is>
          <t>Bonne clarté et bonne dynamique pour le prix.</t>
        </is>
      </c>
      <c r="AJ109" s="117" t="inlineStr">
        <is>
          <t>Peu de fonctions; absence de gain.</t>
        </is>
      </c>
      <c r="AK109" s="117" t="inlineStr">
        <is>
          <t>https://headfonics.com/moondrop-dawn-review/</t>
        </is>
      </c>
      <c r="AL109" s="125" t="n">
        <v>4</v>
      </c>
      <c r="AM109" s="123" t="inlineStr">
        <is>
          <t>Élevée — 3+ sources, domaines variés</t>
        </is>
      </c>
      <c r="AN109" s="117" t="inlineStr">
        <is>
          <t>https://www.headphonesty.com/2022/11/review-moondrop-dawn-4-4/</t>
        </is>
      </c>
      <c r="AO109" s="128" t="inlineStr">
        <is>
          <t>https://www.headfonia.com/moondrop-dawn-review/</t>
        </is>
      </c>
      <c r="AP109" s="117" t="inlineStr">
        <is>
          <t>https://primeaudio.org/moondrop-dawn-review/</t>
        </is>
      </c>
      <c r="AQ109" s="123" t="inlineStr">
        <is>
          <t>Objectif atteint</t>
        </is>
      </c>
      <c r="AR109" s="117" t="inlineStr">
        <is>
          <t>Review éditoriale: 4</t>
        </is>
      </c>
    </row>
    <row r="110" ht="54" customHeight="1">
      <c r="A110" s="129" t="inlineStr">
        <is>
          <t>FiiO</t>
        </is>
      </c>
      <c r="B110" s="129" t="inlineStr">
        <is>
          <t>KA2</t>
        </is>
      </c>
      <c r="C110" s="129" t="inlineStr">
        <is>
          <t>Portable Amp/DAC (Headfonics)</t>
        </is>
      </c>
      <c r="D110" s="129" t="inlineStr">
        <is>
          <t>Plutôt neutre.</t>
        </is>
      </c>
      <c r="E110" s="129" t="inlineStr">
        <is>
          <t>Matière/timbres, propreté/contrôle, image 3d</t>
        </is>
      </c>
      <c r="F110" s="129" t="inlineStr">
        <is>
          <t>Câble non détachable et fonctions d’app limitées</t>
        </is>
      </c>
      <c r="G110" s="130" t="n">
        <v>9</v>
      </c>
      <c r="H110" s="131" t="n">
        <v>8.800000000000001</v>
      </c>
      <c r="I110" s="131" t="n">
        <v>8.6</v>
      </c>
      <c r="J110" s="131" t="n">
        <v>8.6</v>
      </c>
      <c r="K110" s="131" t="n">
        <v>8.6</v>
      </c>
      <c r="L110" s="131" t="n">
        <v>9</v>
      </c>
      <c r="M110" s="131" t="n">
        <v>8.9</v>
      </c>
      <c r="N110" s="131" t="n">
        <v>7.5</v>
      </c>
      <c r="O110" s="131" t="n">
        <v>9.5</v>
      </c>
      <c r="P110" s="131" t="n">
        <v>8.1</v>
      </c>
      <c r="Q110" s="158">
        <f>IF(COUNT(G110:P110)=10,ROUND((G110*'Pondérations'!$B$5+H110*'Pondérations'!$B$6+I110*'Pondérations'!$B$7+J110*'Pondérations'!$B$8+K110*'Pondérations'!$B$9+L110*'Pondérations'!$B$10+M110*'Pondérations'!$B$11+N110*'Pondérations'!$B$12+O110*'Pondérations'!$B$13+P110*'Pondérations'!$B$14)/'Pondérations'!$B$16,3),"")</f>
        <v/>
      </c>
      <c r="R110" s="159">
        <f>IF(Q110="","",1+COUNTIF($Q$7:$Q$178,"&gt;"&amp;Q110)+COUNTIF($Q$7:Q110,Q110)-1)</f>
        <v/>
      </c>
      <c r="S110" s="132" t="n"/>
      <c r="T110" s="129" t="n"/>
      <c r="U110" s="129" t="n"/>
      <c r="V110" s="133" t="inlineStr">
        <is>
          <t>Élevée</t>
        </is>
      </c>
      <c r="W110" s="129" t="inlineStr">
        <is>
          <t>Headfonics import</t>
        </is>
      </c>
      <c r="X110" s="130" t="n"/>
      <c r="Y110" s="133" t="inlineStr">
        <is>
          <t>Reader (non relevé)</t>
        </is>
      </c>
      <c r="Z110" s="134" t="n">
        <v>44858</v>
      </c>
      <c r="AA110" s="135" t="n">
        <v>5</v>
      </c>
      <c r="AB110" s="139" t="inlineStr">
        <is>
          <t>https://headfonics.com/?s=FiiO+KA2</t>
        </is>
      </c>
      <c r="AC110" s="129" t="inlineStr">
        <is>
          <t>Portable dongle DAC/amp</t>
        </is>
      </c>
      <c r="AD110" s="133" t="inlineStr">
        <is>
          <t>Ajout Headfonics</t>
        </is>
      </c>
      <c r="AE110" s="135" t="n">
        <v>93</v>
      </c>
      <c r="AF110" s="136" t="n">
        <v>53</v>
      </c>
      <c r="AG110" s="132" t="inlineStr">
        <is>
          <t>Dongle compact au bon rapport qualité/prix, pensé pour offrir un son sérieux sans sophistication excessive.</t>
        </is>
      </c>
      <c r="AH110" s="129" t="inlineStr">
        <is>
          <t>Plutôt neutre.</t>
        </is>
      </c>
      <c r="AI110" s="129" t="inlineStr">
        <is>
          <t>Bonne prestation générale pour le tarif.</t>
        </is>
      </c>
      <c r="AJ110" s="129" t="inlineStr">
        <is>
          <t>Câble non détachable et fonctions d’app limitées.</t>
        </is>
      </c>
      <c r="AK110" s="129" t="inlineStr">
        <is>
          <t>https://headfonics.com/fiio-ka2-review/</t>
        </is>
      </c>
      <c r="AL110" s="135" t="n">
        <v>4</v>
      </c>
      <c r="AM110" s="133" t="inlineStr">
        <is>
          <t>Élevée — 3+ sources, domaines variés</t>
        </is>
      </c>
      <c r="AN110" s="129" t="inlineStr">
        <is>
          <t>https://www.head-fi.org/showcase/fiio-jade-audio-ka2.25992/reviews</t>
        </is>
      </c>
      <c r="AO110" s="137" t="inlineStr">
        <is>
          <t>https://www.headfonia.com/fiio-ka2-review/</t>
        </is>
      </c>
      <c r="AP110" s="129" t="inlineStr">
        <is>
          <t>https://primeaudio.org/fiio-jadeaudio-ka2-review/</t>
        </is>
      </c>
      <c r="AQ110" s="133" t="inlineStr">
        <is>
          <t>Objectif atteint</t>
        </is>
      </c>
      <c r="AR110" s="129" t="inlineStr">
        <is>
          <t>Head-Fi reviews: 1; Review éditoriale: 3</t>
        </is>
      </c>
    </row>
    <row r="111" ht="54" customHeight="1">
      <c r="A111" s="117" t="inlineStr">
        <is>
          <t>ddHiFi</t>
        </is>
      </c>
      <c r="B111" s="117" t="inlineStr">
        <is>
          <t>TC44A Lightning DAC</t>
        </is>
      </c>
      <c r="C111" s="117" t="inlineStr">
        <is>
          <t>Portable Amp/DAC (Headfonics)</t>
        </is>
      </c>
      <c r="D111" s="117" t="inlineStr">
        <is>
          <t>Neutre/clair.</t>
        </is>
      </c>
      <c r="E111" s="117" t="inlineStr">
        <is>
          <t>Propreté/contrôle, microdétail, layering</t>
        </is>
      </c>
      <c r="F111" s="117" t="inlineStr">
        <is>
          <t>Très peu de fonctions</t>
        </is>
      </c>
      <c r="G111" s="118" t="n">
        <v>9.4</v>
      </c>
      <c r="H111" s="119" t="n">
        <v>9.1</v>
      </c>
      <c r="I111" s="119" t="n">
        <v>8.800000000000001</v>
      </c>
      <c r="J111" s="119" t="n">
        <v>8.699999999999999</v>
      </c>
      <c r="K111" s="119" t="n">
        <v>9</v>
      </c>
      <c r="L111" s="119" t="n">
        <v>8.800000000000001</v>
      </c>
      <c r="M111" s="119" t="n">
        <v>9</v>
      </c>
      <c r="N111" s="119" t="n">
        <v>7.5</v>
      </c>
      <c r="O111" s="119" t="n">
        <v>9.6</v>
      </c>
      <c r="P111" s="119" t="n">
        <v>8.699999999999999</v>
      </c>
      <c r="Q111" s="158">
        <f>IF(COUNT(G111:P111)=10,ROUND((G111*'Pondérations'!$B$5+H111*'Pondérations'!$B$6+I111*'Pondérations'!$B$7+J111*'Pondérations'!$B$8+K111*'Pondérations'!$B$9+L111*'Pondérations'!$B$10+M111*'Pondérations'!$B$11+N111*'Pondérations'!$B$12+O111*'Pondérations'!$B$13+P111*'Pondérations'!$B$14)/'Pondérations'!$B$16,3),"")</f>
        <v/>
      </c>
      <c r="R111" s="159">
        <f>IF(Q111="","",1+COUNTIF($Q$7:$Q$178,"&gt;"&amp;Q111)+COUNTIF($Q$7:Q111,Q111)-1)</f>
        <v/>
      </c>
      <c r="S111" s="122" t="n"/>
      <c r="T111" s="117" t="n"/>
      <c r="U111" s="117" t="n"/>
      <c r="V111" s="123" t="inlineStr">
        <is>
          <t>Élevée</t>
        </is>
      </c>
      <c r="W111" s="117" t="inlineStr">
        <is>
          <t>Headfonics import</t>
        </is>
      </c>
      <c r="X111" s="118" t="n">
        <v>8.300000000000001</v>
      </c>
      <c r="Y111" s="123" t="inlineStr">
        <is>
          <t>Reader</t>
        </is>
      </c>
      <c r="Z111" s="124" t="n">
        <v>44846</v>
      </c>
      <c r="AA111" s="125" t="n">
        <v>5</v>
      </c>
      <c r="AB111" s="126" t="inlineStr">
        <is>
          <t>https://headfonics.com/?s=ddHiFi+TC44A+Lightning+DAC</t>
        </is>
      </c>
      <c r="AC111" s="117" t="inlineStr">
        <is>
          <t>Lightning portable DAC/amp</t>
        </is>
      </c>
      <c r="AD111" s="123" t="inlineStr">
        <is>
          <t>Ajout Headfonics</t>
        </is>
      </c>
      <c r="AE111" s="125" t="n">
        <v>94</v>
      </c>
      <c r="AF111" s="127" t="n">
        <v>79</v>
      </c>
      <c r="AG111" s="122" t="inlineStr">
        <is>
          <t>Mini dongle Apple très compact avec bonne clarté et puissance correcte.</t>
        </is>
      </c>
      <c r="AH111" s="117" t="inlineStr">
        <is>
          <t>Neutre/clair.</t>
        </is>
      </c>
      <c r="AI111" s="117" t="inlineStr">
        <is>
          <t>Bonne lisibilité pour le format.</t>
        </is>
      </c>
      <c r="AJ111" s="117" t="inlineStr">
        <is>
          <t>Très peu de fonctions.</t>
        </is>
      </c>
      <c r="AK111" s="117" t="inlineStr">
        <is>
          <t>https://headfonics.com/ddhifi-tc44a-lightning-dac-review/</t>
        </is>
      </c>
      <c r="AL111" s="125" t="n">
        <v>4</v>
      </c>
      <c r="AM111" s="123" t="inlineStr">
        <is>
          <t>Élevée — 3+ sources, domaines variés</t>
        </is>
      </c>
      <c r="AN111" s="117" t="inlineStr">
        <is>
          <t>https://www.head-fi.org/showcase/ddhifi-tc44a.26388/reviews</t>
        </is>
      </c>
      <c r="AO111" s="128" t="inlineStr">
        <is>
          <t>https://www.headfonia.com/ddhifi-tc44a-tc35c-review/</t>
        </is>
      </c>
      <c r="AP111" s="117" t="inlineStr">
        <is>
          <t>https://www.head-fi.org/threads/usb-c-to-3-5mm-adapters-dac-lets-find-the-best.908839/page-270</t>
        </is>
      </c>
      <c r="AQ111" s="123" t="inlineStr">
        <is>
          <t>Objectif atteint</t>
        </is>
      </c>
      <c r="AR111" s="117" t="inlineStr">
        <is>
          <t>Head-Fi forum: 1; Head-Fi reviews: 1; Review éditoriale: 2</t>
        </is>
      </c>
    </row>
    <row r="112" ht="54" customHeight="1">
      <c r="A112" s="129" t="inlineStr">
        <is>
          <t>xDuoo</t>
        </is>
      </c>
      <c r="B112" s="129" t="inlineStr">
        <is>
          <t>Link2 Bal</t>
        </is>
      </c>
      <c r="C112" s="129" t="inlineStr">
        <is>
          <t>Portable Amp/DAC (Headfonics)</t>
        </is>
      </c>
      <c r="D112" s="129" t="inlineStr">
        <is>
          <t>Plutôt neutre.</t>
        </is>
      </c>
      <c r="E112" s="129" t="inlineStr">
        <is>
          <t>Propreté/contrôle, microdétail, dynamique</t>
        </is>
      </c>
      <c r="F112" s="129" t="inlineStr">
        <is>
          <t>Format assez épais</t>
        </is>
      </c>
      <c r="G112" s="130" t="n">
        <v>9.300000000000001</v>
      </c>
      <c r="H112" s="131" t="n">
        <v>9</v>
      </c>
      <c r="I112" s="131" t="n">
        <v>8.6</v>
      </c>
      <c r="J112" s="131" t="n">
        <v>8.5</v>
      </c>
      <c r="K112" s="131" t="n">
        <v>8.800000000000001</v>
      </c>
      <c r="L112" s="131" t="n">
        <v>8.800000000000001</v>
      </c>
      <c r="M112" s="131" t="n">
        <v>9</v>
      </c>
      <c r="N112" s="131" t="n">
        <v>7.8</v>
      </c>
      <c r="O112" s="131" t="n">
        <v>9.5</v>
      </c>
      <c r="P112" s="131" t="n">
        <v>8.199999999999999</v>
      </c>
      <c r="Q112" s="158">
        <f>IF(COUNT(G112:P112)=10,ROUND((G112*'Pondérations'!$B$5+H112*'Pondérations'!$B$6+I112*'Pondérations'!$B$7+J112*'Pondérations'!$B$8+K112*'Pondérations'!$B$9+L112*'Pondérations'!$B$10+M112*'Pondérations'!$B$11+N112*'Pondérations'!$B$12+O112*'Pondérations'!$B$13+P112*'Pondérations'!$B$14)/'Pondérations'!$B$16,3),"")</f>
        <v/>
      </c>
      <c r="R112" s="159">
        <f>IF(Q112="","",1+COUNTIF($Q$7:$Q$178,"&gt;"&amp;Q112)+COUNTIF($Q$7:Q112,Q112)-1)</f>
        <v/>
      </c>
      <c r="S112" s="132" t="n"/>
      <c r="T112" s="129" t="n"/>
      <c r="U112" s="129" t="n"/>
      <c r="V112" s="133" t="inlineStr">
        <is>
          <t>Élevée</t>
        </is>
      </c>
      <c r="W112" s="129" t="inlineStr">
        <is>
          <t>Headfonics import</t>
        </is>
      </c>
      <c r="X112" s="130" t="n">
        <v>8.4</v>
      </c>
      <c r="Y112" s="133" t="inlineStr">
        <is>
          <t>Reader</t>
        </is>
      </c>
      <c r="Z112" s="134" t="n">
        <v>44841</v>
      </c>
      <c r="AA112" s="135" t="n">
        <v>5</v>
      </c>
      <c r="AB112" s="139" t="inlineStr">
        <is>
          <t>https://headfonics.com/?s=xDuoo+Link2+Bal</t>
        </is>
      </c>
      <c r="AC112" s="129" t="inlineStr">
        <is>
          <t>Portable dongle DAC/amp</t>
        </is>
      </c>
      <c r="AD112" s="133" t="inlineStr">
        <is>
          <t>Ajout Headfonics</t>
        </is>
      </c>
      <c r="AE112" s="135" t="n">
        <v>95</v>
      </c>
      <c r="AF112" s="127" t="n">
        <v>99</v>
      </c>
      <c r="AG112" s="132" t="inlineStr">
        <is>
          <t>Dongle techniquement solide, avec une scène spacieuse et une bonne résolution malgré une puissance modérée.</t>
        </is>
      </c>
      <c r="AH112" s="129" t="inlineStr">
        <is>
          <t>Plutôt neutre.</t>
        </is>
      </c>
      <c r="AI112" s="129" t="inlineStr">
        <is>
          <t>Bonne scène et bonne résolution.</t>
        </is>
      </c>
      <c r="AJ112" s="129" t="inlineStr">
        <is>
          <t>Format assez épais; pas d’app.</t>
        </is>
      </c>
      <c r="AK112" s="129" t="inlineStr">
        <is>
          <t>https://headfonics.com/xduoo-link2-bal-review/</t>
        </is>
      </c>
      <c r="AL112" s="135" t="n">
        <v>4</v>
      </c>
      <c r="AM112" s="133" t="inlineStr">
        <is>
          <t>Élevée — 3+ sources, domaines variés</t>
        </is>
      </c>
      <c r="AN112" s="129" t="inlineStr">
        <is>
          <t>https://www.head-fi.org/showcase/xduoo-link2-bal.25705/reviews</t>
        </is>
      </c>
      <c r="AO112" s="137" t="inlineStr">
        <is>
          <t>https://nobordersaudiophile.wordpress.com/2022/04/04/xduoo-link2-bal-the-musical-beauty-and-the-amping-beast/</t>
        </is>
      </c>
      <c r="AP112" s="129" t="inlineStr">
        <is>
          <t>https://porta.fi/xduoo-link2-bal-portable-dac-review-power-of-balance/</t>
        </is>
      </c>
      <c r="AQ112" s="133" t="inlineStr">
        <is>
          <t>Objectif atteint</t>
        </is>
      </c>
      <c r="AR112" s="129" t="inlineStr">
        <is>
          <t>Head-Fi reviews: 1; Review éditoriale: 3</t>
        </is>
      </c>
    </row>
    <row r="113" ht="54" customHeight="1">
      <c r="A113" s="117" t="inlineStr">
        <is>
          <t>Shanling</t>
        </is>
      </c>
      <c r="B113" s="117" t="inlineStr">
        <is>
          <t>UA3</t>
        </is>
      </c>
      <c r="C113" s="117" t="inlineStr">
        <is>
          <t>Portable Amp/DAC (Headfonics)</t>
        </is>
      </c>
      <c r="D113" s="117" t="inlineStr">
        <is>
          <t>Légèrement chaleureux/énergique.</t>
        </is>
      </c>
      <c r="E113" s="117" t="inlineStr">
        <is>
          <t>Propreté/contrôle, microdétail, matière/timbres</t>
        </is>
      </c>
      <c r="F113" s="117" t="inlineStr">
        <is>
          <t>Pas le plus fin des dongles récents</t>
        </is>
      </c>
      <c r="G113" s="118" t="n">
        <v>9.199999999999999</v>
      </c>
      <c r="H113" s="119" t="n">
        <v>8.9</v>
      </c>
      <c r="I113" s="119" t="n">
        <v>8.5</v>
      </c>
      <c r="J113" s="119" t="n">
        <v>8.5</v>
      </c>
      <c r="K113" s="119" t="n">
        <v>8.6</v>
      </c>
      <c r="L113" s="119" t="n">
        <v>8.9</v>
      </c>
      <c r="M113" s="119" t="n">
        <v>8.9</v>
      </c>
      <c r="N113" s="119" t="n">
        <v>8.699999999999999</v>
      </c>
      <c r="O113" s="119" t="n">
        <v>9.5</v>
      </c>
      <c r="P113" s="119" t="n">
        <v>8.1</v>
      </c>
      <c r="Q113" s="158">
        <f>IF(COUNT(G113:P113)=10,ROUND((G113*'Pondérations'!$B$5+H113*'Pondérations'!$B$6+I113*'Pondérations'!$B$7+J113*'Pondérations'!$B$8+K113*'Pondérations'!$B$9+L113*'Pondérations'!$B$10+M113*'Pondérations'!$B$11+N113*'Pondérations'!$B$12+O113*'Pondérations'!$B$13+P113*'Pondérations'!$B$14)/'Pondérations'!$B$16,3),"")</f>
        <v/>
      </c>
      <c r="R113" s="159">
        <f>IF(Q113="","",1+COUNTIF($Q$7:$Q$178,"&gt;"&amp;Q113)+COUNTIF($Q$7:Q113,Q113)-1)</f>
        <v/>
      </c>
      <c r="S113" s="122" t="n"/>
      <c r="T113" s="117" t="n"/>
      <c r="U113" s="117" t="n"/>
      <c r="V113" s="123" t="inlineStr">
        <is>
          <t>Élevée</t>
        </is>
      </c>
      <c r="W113" s="117" t="inlineStr">
        <is>
          <t>Headfonics import</t>
        </is>
      </c>
      <c r="X113" s="118" t="n"/>
      <c r="Y113" s="123" t="inlineStr">
        <is>
          <t>Reader (non relevé)</t>
        </is>
      </c>
      <c r="Z113" s="124" t="n">
        <v>44832</v>
      </c>
      <c r="AA113" s="125" t="n">
        <v>5</v>
      </c>
      <c r="AB113" s="126" t="inlineStr">
        <is>
          <t>https://headfonics.com/?s=Shanling+UA3</t>
        </is>
      </c>
      <c r="AC113" s="117" t="inlineStr">
        <is>
          <t>Portable dongle DAC/amp</t>
        </is>
      </c>
      <c r="AD113" s="123" t="inlineStr">
        <is>
          <t>Ajout Headfonics</t>
        </is>
      </c>
      <c r="AE113" s="125" t="n">
        <v>96</v>
      </c>
      <c r="AF113" s="138" t="n">
        <v>96</v>
      </c>
      <c r="AG113" s="122" t="inlineStr">
        <is>
          <t>Dongle puissant et agréable pour son prix, avec bonne construction et application utile.</t>
        </is>
      </c>
      <c r="AH113" s="117" t="inlineStr">
        <is>
          <t>Légèrement chaleureux/énergique.</t>
        </is>
      </c>
      <c r="AI113" s="117" t="inlineStr">
        <is>
          <t>Bonne dynamique et prestation globale solide.</t>
        </is>
      </c>
      <c r="AJ113" s="117" t="inlineStr">
        <is>
          <t>Pas le plus fin des dongles récents; ancien dans la gamme.</t>
        </is>
      </c>
      <c r="AK113" s="117" t="inlineStr">
        <is>
          <t>https://headfonics.com/shanling-ua3-review/</t>
        </is>
      </c>
      <c r="AL113" s="125" t="n">
        <v>4</v>
      </c>
      <c r="AM113" s="123" t="inlineStr">
        <is>
          <t>Élevée — 3+ sources, domaines variés</t>
        </is>
      </c>
      <c r="AN113" s="117" t="inlineStr">
        <is>
          <t>https://www.head-fi.org/showcase/shanling-ua3-portable-dac-amp.25836/reviews</t>
        </is>
      </c>
      <c r="AO113" s="128" t="inlineStr">
        <is>
          <t>https://ichos-reviews.com/shanling-ua3/</t>
        </is>
      </c>
      <c r="AP113" s="117" t="inlineStr">
        <is>
          <t>https://theheadphonelist.com/shanling-ua3-review-the-best-budget-dongle/</t>
        </is>
      </c>
      <c r="AQ113" s="123" t="inlineStr">
        <is>
          <t>Objectif atteint</t>
        </is>
      </c>
      <c r="AR113" s="117" t="inlineStr">
        <is>
          <t>Head-Fi reviews: 1; Review éditoriale: 3</t>
        </is>
      </c>
    </row>
    <row r="114" ht="54" customHeight="1">
      <c r="A114" s="129" t="inlineStr">
        <is>
          <t>HiBy</t>
        </is>
      </c>
      <c r="B114" s="129" t="inlineStr">
        <is>
          <t>FC4</t>
        </is>
      </c>
      <c r="C114" s="129" t="inlineStr">
        <is>
          <t>Portable Amp/DAC (Headfonics)</t>
        </is>
      </c>
      <c r="D114" s="129" t="inlineStr">
        <is>
          <t>Neutre à légèrement énergique</t>
        </is>
      </c>
      <c r="E114" s="129" t="inlineStr">
        <is>
          <t>Image 3d, propreté/contrôle, profondeur</t>
        </is>
      </c>
      <c r="F114" s="129" t="inlineStr">
        <is>
          <t>Format assez volumineux</t>
        </is>
      </c>
      <c r="G114" s="130" t="n">
        <v>9.1</v>
      </c>
      <c r="H114" s="131" t="n">
        <v>8.9</v>
      </c>
      <c r="I114" s="131" t="n">
        <v>8.800000000000001</v>
      </c>
      <c r="J114" s="131" t="n">
        <v>9</v>
      </c>
      <c r="K114" s="131" t="n">
        <v>8.800000000000001</v>
      </c>
      <c r="L114" s="131" t="n">
        <v>9</v>
      </c>
      <c r="M114" s="131" t="n">
        <v>8.9</v>
      </c>
      <c r="N114" s="131" t="n">
        <v>8.699999999999999</v>
      </c>
      <c r="O114" s="131" t="n">
        <v>9.5</v>
      </c>
      <c r="P114" s="131" t="n">
        <v>8.5</v>
      </c>
      <c r="Q114" s="158">
        <f>IF(COUNT(G114:P114)=10,ROUND((G114*'Pondérations'!$B$5+H114*'Pondérations'!$B$6+I114*'Pondérations'!$B$7+J114*'Pondérations'!$B$8+K114*'Pondérations'!$B$9+L114*'Pondérations'!$B$10+M114*'Pondérations'!$B$11+N114*'Pondérations'!$B$12+O114*'Pondérations'!$B$13+P114*'Pondérations'!$B$14)/'Pondérations'!$B$16,3),"")</f>
        <v/>
      </c>
      <c r="R114" s="159">
        <f>IF(Q114="","",1+COUNTIF($Q$7:$Q$178,"&gt;"&amp;Q114)+COUNTIF($Q$7:Q114,Q114)-1)</f>
        <v/>
      </c>
      <c r="S114" s="132" t="n"/>
      <c r="T114" s="129" t="n"/>
      <c r="U114" s="129" t="n"/>
      <c r="V114" s="133" t="inlineStr">
        <is>
          <t>Élevée</t>
        </is>
      </c>
      <c r="W114" s="129" t="inlineStr">
        <is>
          <t>Headfonics import</t>
        </is>
      </c>
      <c r="X114" s="130" t="n"/>
      <c r="Y114" s="133" t="inlineStr">
        <is>
          <t>Reader (non relevé)</t>
        </is>
      </c>
      <c r="Z114" s="134" t="n">
        <v>44820</v>
      </c>
      <c r="AA114" s="135" t="n">
        <v>5</v>
      </c>
      <c r="AB114" s="139" t="inlineStr">
        <is>
          <t>https://headfonics.com/?s=HiBy+FC4</t>
        </is>
      </c>
      <c r="AC114" s="129" t="inlineStr">
        <is>
          <t>Portable dongle DAC/amp</t>
        </is>
      </c>
      <c r="AD114" s="133" t="inlineStr">
        <is>
          <t>Ajout Headfonics</t>
        </is>
      </c>
      <c r="AE114" s="135" t="n">
        <v>97</v>
      </c>
      <c r="AF114" s="136" t="n">
        <v>87</v>
      </c>
      <c r="AG114" s="132" t="inlineStr">
        <is>
          <t>Dongle puissant et vivant; un peu moins raffiné tonalement que le FC5 mais très compétitif grâce à sa réserve et son contrôle.</t>
        </is>
      </c>
      <c r="AH114" s="129" t="inlineStr">
        <is>
          <t>Neutre à légèrement énergique</t>
        </is>
      </c>
      <c r="AI114" s="129" t="inlineStr">
        <is>
          <t>Bonne dynamique, puissance robuste; scène correcte sans signature particulièrement holographique</t>
        </is>
      </c>
      <c r="AJ114" s="129" t="inlineStr">
        <is>
          <t>Format assez volumineux</t>
        </is>
      </c>
      <c r="AK114" s="129" t="inlineStr">
        <is>
          <t>https://headfonics.com/hiby-fc4-review/</t>
        </is>
      </c>
      <c r="AL114" s="135" t="n">
        <v>4</v>
      </c>
      <c r="AM114" s="133" t="inlineStr">
        <is>
          <t>Élevée — 3+ sources, domaines variés</t>
        </is>
      </c>
      <c r="AN114" s="129" t="inlineStr">
        <is>
          <t>https://www.head-fi.org/showcase/hiby-fc4.27105/reviews</t>
        </is>
      </c>
      <c r="AO114" s="137" t="inlineStr">
        <is>
          <t>https://www.headphonesty.com/2023/08/review-hiby-fc4/</t>
        </is>
      </c>
      <c r="AP114" s="129" t="inlineStr">
        <is>
          <t>https://www.headfonia.com/hiby-fc4-review/</t>
        </is>
      </c>
      <c r="AQ114" s="133" t="inlineStr">
        <is>
          <t>Objectif atteint</t>
        </is>
      </c>
      <c r="AR114" s="129" t="inlineStr">
        <is>
          <t>Head-Fi reviews: 1; Review éditoriale: 3</t>
        </is>
      </c>
    </row>
    <row r="115" ht="54" customHeight="1">
      <c r="A115" s="117" t="inlineStr">
        <is>
          <t>Questyle</t>
        </is>
      </c>
      <c r="B115" s="117" t="inlineStr">
        <is>
          <t>M15</t>
        </is>
      </c>
      <c r="C115" s="117" t="inlineStr">
        <is>
          <t>Portable Amp/DAC (Headfonics)</t>
        </is>
      </c>
      <c r="D115" s="117" t="inlineStr">
        <is>
          <t>Naturelle, légèrement chaleureuse</t>
        </is>
      </c>
      <c r="E115" s="117" t="inlineStr">
        <is>
          <t>Microdétail, dynamique, layering</t>
        </is>
      </c>
      <c r="F115" s="117" t="inlineStr">
        <is>
          <t>Pas de contrôle de volume intégré</t>
        </is>
      </c>
      <c r="G115" s="118" t="n">
        <v>9.4</v>
      </c>
      <c r="H115" s="119" t="n">
        <v>9.300000000000001</v>
      </c>
      <c r="I115" s="119" t="n">
        <v>9.1</v>
      </c>
      <c r="J115" s="119" t="n">
        <v>9</v>
      </c>
      <c r="K115" s="119" t="n">
        <v>9.199999999999999</v>
      </c>
      <c r="L115" s="119" t="n">
        <v>9.199999999999999</v>
      </c>
      <c r="M115" s="119" t="n">
        <v>9.199999999999999</v>
      </c>
      <c r="N115" s="119" t="n">
        <v>8.199999999999999</v>
      </c>
      <c r="O115" s="119" t="n">
        <v>9.5</v>
      </c>
      <c r="P115" s="119" t="n">
        <v>9.199999999999999</v>
      </c>
      <c r="Q115" s="158">
        <f>IF(COUNT(G115:P115)=10,ROUND((G115*'Pondérations'!$B$5+H115*'Pondérations'!$B$6+I115*'Pondérations'!$B$7+J115*'Pondérations'!$B$8+K115*'Pondérations'!$B$9+L115*'Pondérations'!$B$10+M115*'Pondérations'!$B$11+N115*'Pondérations'!$B$12+O115*'Pondérations'!$B$13+P115*'Pondérations'!$B$14)/'Pondérations'!$B$16,3),"")</f>
        <v/>
      </c>
      <c r="R115" s="159">
        <f>IF(Q115="","",1+COUNTIF($Q$7:$Q$178,"&gt;"&amp;Q115)+COUNTIF($Q$7:Q115,Q115)-1)</f>
        <v/>
      </c>
      <c r="S115" s="122" t="n"/>
      <c r="T115" s="117" t="n"/>
      <c r="U115" s="117" t="n"/>
      <c r="V115" s="123" t="inlineStr">
        <is>
          <t>Élevée</t>
        </is>
      </c>
      <c r="W115" s="117" t="inlineStr">
        <is>
          <t>Headfonics import</t>
        </is>
      </c>
      <c r="X115" s="118" t="n">
        <v>8.5</v>
      </c>
      <c r="Y115" s="123" t="inlineStr">
        <is>
          <t>Reader</t>
        </is>
      </c>
      <c r="Z115" s="124" t="n">
        <v>44807</v>
      </c>
      <c r="AA115" s="125" t="n">
        <v>5</v>
      </c>
      <c r="AB115" s="126" t="inlineStr">
        <is>
          <t>https://headfonics.com/?s=Questyle+M15</t>
        </is>
      </c>
      <c r="AC115" s="117" t="inlineStr">
        <is>
          <t>Current Mode portable dongle DAC/amp</t>
        </is>
      </c>
      <c r="AD115" s="123" t="inlineStr">
        <is>
          <t>Ajout Headfonics</t>
        </is>
      </c>
      <c r="AE115" s="125" t="n">
        <v>98</v>
      </c>
      <c r="AF115" s="138" t="n">
        <v>219</v>
      </c>
      <c r="AG115" s="122" t="inlineStr">
        <is>
          <t>Dongle très immersif, spacieux et dynamique, capable de bien tenir des IEM et même certains casques plus exigeants.</t>
        </is>
      </c>
      <c r="AH115" s="117" t="inlineStr">
        <is>
          <t>Naturelle, légèrement chaleureuse</t>
        </is>
      </c>
      <c r="AI115" s="117" t="inlineStr">
        <is>
          <t>Scène très spacieuse et immersive; excellente dynamique et placement</t>
        </is>
      </c>
      <c r="AJ115" s="117" t="inlineStr">
        <is>
          <t>Pas de contrôle de volume intégré</t>
        </is>
      </c>
      <c r="AK115" s="117" t="inlineStr">
        <is>
          <t>https://headfonics.com/questyle-m15-review/</t>
        </is>
      </c>
      <c r="AL115" s="125" t="n">
        <v>4</v>
      </c>
      <c r="AM115" s="123" t="inlineStr">
        <is>
          <t>Élevée — 3+ sources, domaines variés</t>
        </is>
      </c>
      <c r="AN115" s="117" t="inlineStr">
        <is>
          <t>https://www.head-fi.org/showcase/questyle-m15-%C2%B7-mobile-lossless-headphone-amp-with-dac.25804/reviews</t>
        </is>
      </c>
      <c r="AO115" s="128" t="inlineStr">
        <is>
          <t>https://www.headphonesty.com/2022/05/review-questyle-m15/</t>
        </is>
      </c>
      <c r="AP115" s="117" t="inlineStr">
        <is>
          <t>https://www.headfonia.com/questyle-m15-review/</t>
        </is>
      </c>
      <c r="AQ115" s="123" t="inlineStr">
        <is>
          <t>Objectif atteint</t>
        </is>
      </c>
      <c r="AR115" s="117" t="inlineStr">
        <is>
          <t>Head-Fi reviews: 1; Review éditoriale: 3</t>
        </is>
      </c>
    </row>
    <row r="116" ht="54" customHeight="1">
      <c r="A116" s="129" t="inlineStr">
        <is>
          <t>iBasso</t>
        </is>
      </c>
      <c r="B116" s="129" t="inlineStr">
        <is>
          <t>DC06</t>
        </is>
      </c>
      <c r="C116" s="129" t="inlineStr">
        <is>
          <t>Portable Amp/DAC (Headfonics)</t>
        </is>
      </c>
      <c r="D116" s="129" t="inlineStr">
        <is>
          <t>Neutre, cohérente</t>
        </is>
      </c>
      <c r="E116" s="129" t="inlineStr">
        <is>
          <t>Matière/timbres, image 3d, profondeur</t>
        </is>
      </c>
      <c r="F116" s="129" t="inlineStr">
        <is>
          <t>Imagerie perfectible</t>
        </is>
      </c>
      <c r="G116" s="130" t="n">
        <v>9</v>
      </c>
      <c r="H116" s="131" t="n">
        <v>8.800000000000001</v>
      </c>
      <c r="I116" s="131" t="n">
        <v>8.699999999999999</v>
      </c>
      <c r="J116" s="131" t="n">
        <v>8.800000000000001</v>
      </c>
      <c r="K116" s="131" t="n">
        <v>8.300000000000001</v>
      </c>
      <c r="L116" s="131" t="n">
        <v>9.1</v>
      </c>
      <c r="M116" s="131" t="n">
        <v>8.800000000000001</v>
      </c>
      <c r="N116" s="131" t="n">
        <v>8.699999999999999</v>
      </c>
      <c r="O116" s="131" t="n">
        <v>9.5</v>
      </c>
      <c r="P116" s="131" t="n">
        <v>8.300000000000001</v>
      </c>
      <c r="Q116" s="158">
        <f>IF(COUNT(G116:P116)=10,ROUND((G116*'Pondérations'!$B$5+H116*'Pondérations'!$B$6+I116*'Pondérations'!$B$7+J116*'Pondérations'!$B$8+K116*'Pondérations'!$B$9+L116*'Pondérations'!$B$10+M116*'Pondérations'!$B$11+N116*'Pondérations'!$B$12+O116*'Pondérations'!$B$13+P116*'Pondérations'!$B$14)/'Pondérations'!$B$16,3),"")</f>
        <v/>
      </c>
      <c r="R116" s="159">
        <f>IF(Q116="","",1+COUNTIF($Q$7:$Q$178,"&gt;"&amp;Q116)+COUNTIF($Q$7:Q116,Q116)-1)</f>
        <v/>
      </c>
      <c r="S116" s="132" t="n"/>
      <c r="T116" s="129" t="n"/>
      <c r="U116" s="129" t="n"/>
      <c r="V116" s="133" t="inlineStr">
        <is>
          <t>Élevée</t>
        </is>
      </c>
      <c r="W116" s="129" t="inlineStr">
        <is>
          <t>Headfonics import</t>
        </is>
      </c>
      <c r="X116" s="130" t="n">
        <v>8.199999999999999</v>
      </c>
      <c r="Y116" s="133" t="inlineStr">
        <is>
          <t>Reader</t>
        </is>
      </c>
      <c r="Z116" s="134" t="n">
        <v>44802</v>
      </c>
      <c r="AA116" s="135" t="n">
        <v>5</v>
      </c>
      <c r="AB116" s="139" t="inlineStr">
        <is>
          <t>https://headfonics.com/?s=iBasso+DC06</t>
        </is>
      </c>
      <c r="AC116" s="129" t="inlineStr">
        <is>
          <t>Portable dongle DAC/amp</t>
        </is>
      </c>
      <c r="AD116" s="133" t="inlineStr">
        <is>
          <t>Ajout Headfonics</t>
        </is>
      </c>
      <c r="AE116" s="135" t="n">
        <v>99</v>
      </c>
      <c r="AF116" s="136" t="n">
        <v>105</v>
      </c>
      <c r="AG116" s="132" t="inlineStr">
        <is>
          <t>Très bon rapport puissance/prix avec une restitution cohérente et neutre; facile à utiliser et globalement fiable.</t>
        </is>
      </c>
      <c r="AH116" s="129" t="inlineStr">
        <is>
          <t>Neutre, cohérente</t>
        </is>
      </c>
      <c r="AI116" s="129" t="inlineStr">
        <is>
          <t>Bonne dynamique mais imagerie moins précise que les meilleurs dongles</t>
        </is>
      </c>
      <c r="AJ116" s="129" t="inlineStr">
        <is>
          <t>Imagerie perfectible; châssis anguleux</t>
        </is>
      </c>
      <c r="AK116" s="129" t="inlineStr">
        <is>
          <t>https://headfonics.com/ibasso-dc06-review/</t>
        </is>
      </c>
      <c r="AL116" s="135" t="n">
        <v>4</v>
      </c>
      <c r="AM116" s="133" t="inlineStr">
        <is>
          <t>Élevée — 3+ sources, domaines variés</t>
        </is>
      </c>
      <c r="AN116" s="129" t="inlineStr">
        <is>
          <t>https://www.head-fi.org/showcase/ibasso-dc06.25997/reviews</t>
        </is>
      </c>
      <c r="AO116" s="137" t="inlineStr">
        <is>
          <t>https://www.headfonia.com/ibasso-dc06-review/</t>
        </is>
      </c>
      <c r="AP116" s="129" t="inlineStr">
        <is>
          <t>https://ichos-reviews.com/ibasso-dc06/</t>
        </is>
      </c>
      <c r="AQ116" s="133" t="inlineStr">
        <is>
          <t>Objectif atteint</t>
        </is>
      </c>
      <c r="AR116" s="129" t="inlineStr">
        <is>
          <t>Head-Fi reviews: 1; Review éditoriale: 3</t>
        </is>
      </c>
    </row>
    <row r="117" ht="54" customHeight="1">
      <c r="A117" s="117" t="inlineStr">
        <is>
          <t>Topping</t>
        </is>
      </c>
      <c r="B117" s="117" t="inlineStr">
        <is>
          <t>NX7</t>
        </is>
      </c>
      <c r="C117" s="117" t="inlineStr">
        <is>
          <t>Portable Amp/DAC (Headfonics)</t>
        </is>
      </c>
      <c r="D117" s="117" t="inlineStr">
        <is>
          <t>Très neutre, transparente</t>
        </is>
      </c>
      <c r="E117" s="117" t="inlineStr">
        <is>
          <t>Propreté/contrôle, puissance, dynamique</t>
        </is>
      </c>
      <c r="F117" s="117" t="inlineStr">
        <is>
          <t>Amplificateur uniquement: DAC séparé requis</t>
        </is>
      </c>
      <c r="G117" s="118" t="n">
        <v>9.6</v>
      </c>
      <c r="H117" s="119" t="n">
        <v>9</v>
      </c>
      <c r="I117" s="119" t="n">
        <v>8.5</v>
      </c>
      <c r="J117" s="119" t="n">
        <v>8.300000000000001</v>
      </c>
      <c r="K117" s="119" t="n">
        <v>8.699999999999999</v>
      </c>
      <c r="L117" s="119" t="n">
        <v>8.6</v>
      </c>
      <c r="M117" s="119" t="n">
        <v>9.1</v>
      </c>
      <c r="N117" s="119" t="n">
        <v>9.300000000000001</v>
      </c>
      <c r="O117" s="119" t="n">
        <v>8</v>
      </c>
      <c r="P117" s="119" t="n">
        <v>8</v>
      </c>
      <c r="Q117" s="158">
        <f>IF(COUNT(G117:P117)=10,ROUND((G117*'Pondérations'!$B$5+H117*'Pondérations'!$B$6+I117*'Pondérations'!$B$7+J117*'Pondérations'!$B$8+K117*'Pondérations'!$B$9+L117*'Pondérations'!$B$10+M117*'Pondérations'!$B$11+N117*'Pondérations'!$B$12+O117*'Pondérations'!$B$13+P117*'Pondérations'!$B$14)/'Pondérations'!$B$16,3),"")</f>
        <v/>
      </c>
      <c r="R117" s="159">
        <f>IF(Q117="","",1+COUNTIF($Q$7:$Q$178,"&gt;"&amp;Q117)+COUNTIF($Q$7:Q117,Q117)-1)</f>
        <v/>
      </c>
      <c r="S117" s="122" t="n"/>
      <c r="T117" s="117" t="n"/>
      <c r="U117" s="117" t="n"/>
      <c r="V117" s="123" t="inlineStr">
        <is>
          <t>Élevée</t>
        </is>
      </c>
      <c r="W117" s="117" t="inlineStr">
        <is>
          <t>Headfonics import</t>
        </is>
      </c>
      <c r="X117" s="118" t="n"/>
      <c r="Y117" s="123" t="inlineStr">
        <is>
          <t>Reader (non relevé)</t>
        </is>
      </c>
      <c r="Z117" s="124" t="n">
        <v>44767</v>
      </c>
      <c r="AA117" s="125" t="n">
        <v>6</v>
      </c>
      <c r="AB117" s="126" t="inlineStr">
        <is>
          <t>https://headfonics.com/?s=Topping+NX7</t>
        </is>
      </c>
      <c r="AC117" s="117" t="inlineStr">
        <is>
          <t>Portable headphone amplifier</t>
        </is>
      </c>
      <c r="AD117" s="123" t="inlineStr">
        <is>
          <t>Ajout Headfonics</t>
        </is>
      </c>
      <c r="AE117" s="125" t="n">
        <v>101</v>
      </c>
      <c r="AF117" s="138" t="n">
        <v>157</v>
      </c>
      <c r="AG117" s="122" t="inlineStr">
        <is>
          <t>Amplificateur portable extrêmement propre et silencieux, avec beaucoup de puissance dynamique et très peu de bruit.</t>
        </is>
      </c>
      <c r="AH117" s="117" t="inlineStr">
        <is>
          <t>Très neutre, transparente</t>
        </is>
      </c>
      <c r="AI117" s="117" t="inlineStr">
        <is>
          <t>Excellente tenue et contraste dynamique; spatialité dépend surtout du DAC associé</t>
        </is>
      </c>
      <c r="AJ117" s="117" t="inlineStr">
        <is>
          <t>Amplificateur uniquement: DAC séparé requis; pas de topologie symétrique</t>
        </is>
      </c>
      <c r="AK117" s="117" t="inlineStr">
        <is>
          <t>https://headfonics.com/topping-nx7-review/</t>
        </is>
      </c>
      <c r="AL117" s="125" t="n">
        <v>4</v>
      </c>
      <c r="AM117" s="123" t="inlineStr">
        <is>
          <t>Élevée — 3+ sources, domaines variés</t>
        </is>
      </c>
      <c r="AN117" s="117" t="inlineStr">
        <is>
          <t>https://www.headfonia.com/topping-nx7-review/</t>
        </is>
      </c>
      <c r="AO117" s="128" t="inlineStr">
        <is>
          <t>https://primeaudio.org/topping-nx7-review/</t>
        </is>
      </c>
      <c r="AP117" s="117" t="inlineStr">
        <is>
          <t>https://www.head-fi.org/threads/topping-nx7-portable-headphone-amplifier.964915/</t>
        </is>
      </c>
      <c r="AQ117" s="123" t="inlineStr">
        <is>
          <t>Objectif atteint</t>
        </is>
      </c>
      <c r="AR117" s="117" t="inlineStr">
        <is>
          <t>Head-Fi forum: 1; Review éditoriale: 3</t>
        </is>
      </c>
    </row>
    <row r="118" ht="54" customHeight="1">
      <c r="A118" s="129" t="inlineStr">
        <is>
          <t>Moondrop</t>
        </is>
      </c>
      <c r="B118" s="129" t="inlineStr">
        <is>
          <t>MoonRiver 2</t>
        </is>
      </c>
      <c r="C118" s="129" t="inlineStr">
        <is>
          <t>Portable Amp/DAC (Headfonics)</t>
        </is>
      </c>
      <c r="D118" s="129" t="inlineStr">
        <is>
          <t>Neutre, légèrement lisse</t>
        </is>
      </c>
      <c r="E118" s="129" t="inlineStr">
        <is>
          <t>Dynamique, propreté/contrôle, microdétail</t>
        </is>
      </c>
      <c r="F118" s="129" t="inlineStr">
        <is>
          <t>Consommation élevée</t>
        </is>
      </c>
      <c r="G118" s="130" t="n">
        <v>9.1</v>
      </c>
      <c r="H118" s="131" t="n">
        <v>8.9</v>
      </c>
      <c r="I118" s="131" t="n">
        <v>8.6</v>
      </c>
      <c r="J118" s="131" t="n">
        <v>8.5</v>
      </c>
      <c r="K118" s="131" t="n">
        <v>8.699999999999999</v>
      </c>
      <c r="L118" s="131" t="n">
        <v>8.800000000000001</v>
      </c>
      <c r="M118" s="131" t="n">
        <v>9</v>
      </c>
      <c r="N118" s="131" t="n">
        <v>8.6</v>
      </c>
      <c r="O118" s="131" t="n">
        <v>8.5</v>
      </c>
      <c r="P118" s="131" t="n">
        <v>8.1</v>
      </c>
      <c r="Q118" s="158">
        <f>IF(COUNT(G118:P118)=10,ROUND((G118*'Pondérations'!$B$5+H118*'Pondérations'!$B$6+I118*'Pondérations'!$B$7+J118*'Pondérations'!$B$8+K118*'Pondérations'!$B$9+L118*'Pondérations'!$B$10+M118*'Pondérations'!$B$11+N118*'Pondérations'!$B$12+O118*'Pondérations'!$B$13+P118*'Pondérations'!$B$14)/'Pondérations'!$B$16,3),"")</f>
        <v/>
      </c>
      <c r="R118" s="159">
        <f>IF(Q118="","",1+COUNTIF($Q$7:$Q$178,"&gt;"&amp;Q118)+COUNTIF($Q$7:Q118,Q118)-1)</f>
        <v/>
      </c>
      <c r="S118" s="132" t="n"/>
      <c r="T118" s="129" t="n"/>
      <c r="U118" s="129" t="n"/>
      <c r="V118" s="133" t="inlineStr">
        <is>
          <t>Élevée</t>
        </is>
      </c>
      <c r="W118" s="129" t="inlineStr">
        <is>
          <t>Headfonics import</t>
        </is>
      </c>
      <c r="X118" s="130" t="n"/>
      <c r="Y118" s="133" t="inlineStr">
        <is>
          <t>Reader (non relevé)</t>
        </is>
      </c>
      <c r="Z118" s="134" t="n">
        <v>44764</v>
      </c>
      <c r="AA118" s="135" t="n">
        <v>6</v>
      </c>
      <c r="AB118" s="139" t="inlineStr">
        <is>
          <t>https://headfonics.com/?s=Moondrop+MoonRiver+2</t>
        </is>
      </c>
      <c r="AC118" s="129" t="inlineStr">
        <is>
          <t>Portable dongle DAC/amp</t>
        </is>
      </c>
      <c r="AD118" s="133" t="inlineStr">
        <is>
          <t>Ajout Headfonics</t>
        </is>
      </c>
      <c r="AE118" s="135" t="n">
        <v>102</v>
      </c>
      <c r="AF118" s="136" t="n">
        <v>167</v>
      </c>
      <c r="AG118" s="132" t="inlineStr">
        <is>
          <t>Dongle raffiné pour son époque, particulièrement réussi sur la taille de scène, la précision et la plage dynamique.</t>
        </is>
      </c>
      <c r="AH118" s="129" t="inlineStr">
        <is>
          <t>Neutre, légèrement lisse</t>
        </is>
      </c>
      <c r="AI118" s="129" t="inlineStr">
        <is>
          <t>Scène large et précise, bonne dynamique et localisation</t>
        </is>
      </c>
      <c r="AJ118" s="129" t="inlineStr">
        <is>
          <t>Consommation élevée; ergonomie du boîtier anguleux</t>
        </is>
      </c>
      <c r="AK118" s="129" t="inlineStr">
        <is>
          <t>https://headfonics.com/moondrop-moonriver-2-review/</t>
        </is>
      </c>
      <c r="AL118" s="135" t="n">
        <v>3</v>
      </c>
      <c r="AM118" s="133" t="inlineStr">
        <is>
          <t>Élevée — 3+ sources, domaines variés</t>
        </is>
      </c>
      <c r="AN118" s="129" t="inlineStr">
        <is>
          <t>https://www.headfonia.com/moondrop-moonriver-2-review/</t>
        </is>
      </c>
      <c r="AO118" s="137" t="inlineStr">
        <is>
          <t>https://www.reddit.com/r/headphones/comments/tygbyx</t>
        </is>
      </c>
      <c r="AP118" s="129" t="n"/>
      <c r="AQ118" s="133" t="inlineStr">
        <is>
          <t>Objectif atteint</t>
        </is>
      </c>
      <c r="AR118" s="129" t="inlineStr">
        <is>
          <t>Communauté Reddit: 1; Review éditoriale: 2</t>
        </is>
      </c>
    </row>
    <row r="119" ht="54" customHeight="1">
      <c r="A119" s="117" t="inlineStr">
        <is>
          <t>Colorfly</t>
        </is>
      </c>
      <c r="B119" s="117" t="inlineStr">
        <is>
          <t>CDA M1</t>
        </is>
      </c>
      <c r="C119" s="117" t="inlineStr">
        <is>
          <t>Portable Amp/DAC (Headfonics)</t>
        </is>
      </c>
      <c r="D119" s="117" t="inlineStr">
        <is>
          <t>Équilibrée, légèrement médium</t>
        </is>
      </c>
      <c r="E119" s="117" t="inlineStr">
        <is>
          <t>Image 3d, matière/timbres, layering</t>
        </is>
      </c>
      <c r="F119" s="117" t="inlineStr">
        <is>
          <t>Fonctions/ergonomie basiques</t>
        </is>
      </c>
      <c r="G119" s="118" t="n">
        <v>9.1</v>
      </c>
      <c r="H119" s="119" t="n">
        <v>8.9</v>
      </c>
      <c r="I119" s="119" t="n">
        <v>8</v>
      </c>
      <c r="J119" s="119" t="n">
        <v>8.9</v>
      </c>
      <c r="K119" s="119" t="n">
        <v>8.9</v>
      </c>
      <c r="L119" s="119" t="n">
        <v>9.1</v>
      </c>
      <c r="M119" s="119" t="n">
        <v>8.800000000000001</v>
      </c>
      <c r="N119" s="119" t="n">
        <v>7</v>
      </c>
      <c r="O119" s="119" t="n">
        <v>9.5</v>
      </c>
      <c r="P119" s="119" t="n">
        <v>8.5</v>
      </c>
      <c r="Q119" s="158">
        <f>IF(COUNT(G119:P119)=10,ROUND((G119*'Pondérations'!$B$5+H119*'Pondérations'!$B$6+I119*'Pondérations'!$B$7+J119*'Pondérations'!$B$8+K119*'Pondérations'!$B$9+L119*'Pondérations'!$B$10+M119*'Pondérations'!$B$11+N119*'Pondérations'!$B$12+O119*'Pondérations'!$B$13+P119*'Pondérations'!$B$14)/'Pondérations'!$B$16,3),"")</f>
        <v/>
      </c>
      <c r="R119" s="159">
        <f>IF(Q119="","",1+COUNTIF($Q$7:$Q$178,"&gt;"&amp;Q119)+COUNTIF($Q$7:Q119,Q119)-1)</f>
        <v/>
      </c>
      <c r="S119" s="122" t="n"/>
      <c r="T119" s="117" t="n"/>
      <c r="U119" s="117" t="n"/>
      <c r="V119" s="123" t="inlineStr">
        <is>
          <t>Élevée</t>
        </is>
      </c>
      <c r="W119" s="117" t="inlineStr">
        <is>
          <t>Headfonics import</t>
        </is>
      </c>
      <c r="X119" s="118" t="n"/>
      <c r="Y119" s="123" t="inlineStr">
        <is>
          <t>Reader (non relevé)</t>
        </is>
      </c>
      <c r="Z119" s="124" t="n">
        <v>44751</v>
      </c>
      <c r="AA119" s="125" t="n">
        <v>6</v>
      </c>
      <c r="AB119" s="126" t="inlineStr">
        <is>
          <t>https://headfonics.com/?s=Colorfly+CDA+M1</t>
        </is>
      </c>
      <c r="AC119" s="117" t="inlineStr">
        <is>
          <t>Portable dongle DAC/amp</t>
        </is>
      </c>
      <c r="AD119" s="123" t="inlineStr">
        <is>
          <t>Ajout Headfonics</t>
        </is>
      </c>
      <c r="AE119" s="125" t="n">
        <v>103</v>
      </c>
      <c r="AF119" s="138" t="n">
        <v>79</v>
      </c>
      <c r="AG119" s="122" t="inlineStr">
        <is>
          <t>Petit dongle équilibré avec un médium de qualité, une bonne imagerie et une capacité supérieure à la moyenne à révéler les nuances.</t>
        </is>
      </c>
      <c r="AH119" s="117" t="inlineStr">
        <is>
          <t>Équilibrée, légèrement médium</t>
        </is>
      </c>
      <c r="AI119" s="117" t="inlineStr">
        <is>
          <t>Bonne imagerie et extraction de détails, surtout dans les médiums</t>
        </is>
      </c>
      <c r="AJ119" s="117" t="inlineStr">
        <is>
          <t>Fonctions/ergonomie basiques</t>
        </is>
      </c>
      <c r="AK119" s="117" t="inlineStr">
        <is>
          <t>https://headfonics.com/colorfly-cda-m1-review/</t>
        </is>
      </c>
      <c r="AL119" s="125" t="n">
        <v>3</v>
      </c>
      <c r="AM119" s="123" t="inlineStr">
        <is>
          <t>Élevée — 3+ sources, domaines variés</t>
        </is>
      </c>
      <c r="AN119" s="117" t="inlineStr">
        <is>
          <t>https://www.head-fi.org/showcase/colorfly-cda-m1.25621/reviews</t>
        </is>
      </c>
      <c r="AO119" s="128" t="inlineStr">
        <is>
          <t>https://www.headphonesty.com/2022/04/review-colorfly-cda-m1/</t>
        </is>
      </c>
      <c r="AP119" s="117" t="n"/>
      <c r="AQ119" s="123" t="inlineStr">
        <is>
          <t>Objectif atteint</t>
        </is>
      </c>
      <c r="AR119" s="117" t="inlineStr">
        <is>
          <t>Head-Fi reviews: 1; Review éditoriale: 2</t>
        </is>
      </c>
    </row>
    <row r="120" ht="54" customHeight="1">
      <c r="A120" s="129" t="inlineStr">
        <is>
          <t>FiiO</t>
        </is>
      </c>
      <c r="B120" s="129" t="inlineStr">
        <is>
          <t>KA1</t>
        </is>
      </c>
      <c r="C120" s="129" t="inlineStr">
        <is>
          <t>Portable Amp/DAC (Headfonics)</t>
        </is>
      </c>
      <c r="D120" s="129" t="inlineStr">
        <is>
          <t>Neutre, simple</t>
        </is>
      </c>
      <c r="E120" s="129" t="inlineStr">
        <is>
          <t>Image 3d, profondeur, microdétail</t>
        </is>
      </c>
      <c r="F120" s="129" t="inlineStr">
        <is>
          <t>Faible puissance</t>
        </is>
      </c>
      <c r="G120" s="130" t="n">
        <v>8.9</v>
      </c>
      <c r="H120" s="131" t="n">
        <v>8.800000000000001</v>
      </c>
      <c r="I120" s="131" t="n">
        <v>8.699999999999999</v>
      </c>
      <c r="J120" s="131" t="n">
        <v>8.699999999999999</v>
      </c>
      <c r="K120" s="131" t="n">
        <v>8.699999999999999</v>
      </c>
      <c r="L120" s="131" t="n">
        <v>8.9</v>
      </c>
      <c r="M120" s="131" t="n">
        <v>8.800000000000001</v>
      </c>
      <c r="N120" s="131" t="n">
        <v>7</v>
      </c>
      <c r="O120" s="131" t="n">
        <v>9.6</v>
      </c>
      <c r="P120" s="131" t="n">
        <v>8.199999999999999</v>
      </c>
      <c r="Q120" s="158">
        <f>IF(COUNT(G120:P120)=10,ROUND((G120*'Pondérations'!$B$5+H120*'Pondérations'!$B$6+I120*'Pondérations'!$B$7+J120*'Pondérations'!$B$8+K120*'Pondérations'!$B$9+L120*'Pondérations'!$B$10+M120*'Pondérations'!$B$11+N120*'Pondérations'!$B$12+O120*'Pondérations'!$B$13+P120*'Pondérations'!$B$14)/'Pondérations'!$B$16,3),"")</f>
        <v/>
      </c>
      <c r="R120" s="159">
        <f>IF(Q120="","",1+COUNTIF($Q$7:$Q$178,"&gt;"&amp;Q120)+COUNTIF($Q$7:Q120,Q120)-1)</f>
        <v/>
      </c>
      <c r="S120" s="132" t="n"/>
      <c r="T120" s="129" t="n"/>
      <c r="U120" s="129" t="n"/>
      <c r="V120" s="133" t="inlineStr">
        <is>
          <t>Élevée</t>
        </is>
      </c>
      <c r="W120" s="129" t="inlineStr">
        <is>
          <t>Headfonics import</t>
        </is>
      </c>
      <c r="X120" s="130" t="n"/>
      <c r="Y120" s="133" t="inlineStr">
        <is>
          <t>Reader (non relevé)</t>
        </is>
      </c>
      <c r="Z120" s="134" t="n">
        <v>44737</v>
      </c>
      <c r="AA120" s="135" t="n">
        <v>6</v>
      </c>
      <c r="AB120" s="139" t="inlineStr">
        <is>
          <t>https://headfonics.com/?s=FiiO+KA1</t>
        </is>
      </c>
      <c r="AC120" s="129" t="inlineStr">
        <is>
          <t>Portable dongle DAC/amp</t>
        </is>
      </c>
      <c r="AD120" s="133" t="inlineStr">
        <is>
          <t>Ajout Headfonics</t>
        </is>
      </c>
      <c r="AE120" s="135" t="n">
        <v>104</v>
      </c>
      <c r="AF120" s="136" t="n">
        <v>44</v>
      </c>
      <c r="AG120" s="132" t="inlineStr">
        <is>
          <t>Entrée de gamme efficace et très compacte, correcte avec les IEM faciles; priorité au rapport qualité/prix et à la compatibilité.</t>
        </is>
      </c>
      <c r="AH120" s="129" t="inlineStr">
        <is>
          <t>Neutre, simple</t>
        </is>
      </c>
      <c r="AI120" s="129" t="inlineStr">
        <is>
          <t>Résolution et scène correctes pour le prix mais limitées par la faible puissance</t>
        </is>
      </c>
      <c r="AJ120" s="129" t="inlineStr">
        <is>
          <t>Faible puissance; câble fixe</t>
        </is>
      </c>
      <c r="AK120" s="129" t="inlineStr">
        <is>
          <t>https://headfonics.com/fiio-ka1-review/</t>
        </is>
      </c>
      <c r="AL120" s="135" t="n">
        <v>4</v>
      </c>
      <c r="AM120" s="133" t="inlineStr">
        <is>
          <t>Élevée — 3+ sources, domaines variés</t>
        </is>
      </c>
      <c r="AN120" s="129" t="inlineStr">
        <is>
          <t>https://www.head-fi.org/showcase/fiio-x-jade-audio-ka1-dac-amp.25817/reviews</t>
        </is>
      </c>
      <c r="AO120" s="137" t="inlineStr">
        <is>
          <t>https://www.headfonia.com/fiio-ka1-review/</t>
        </is>
      </c>
      <c r="AP120" s="129" t="inlineStr">
        <is>
          <t>https://primeaudio.org/fiio-jadeaudio-ka1-review-mqa-on-a-budget/</t>
        </is>
      </c>
      <c r="AQ120" s="133" t="inlineStr">
        <is>
          <t>Objectif atteint</t>
        </is>
      </c>
      <c r="AR120" s="129" t="inlineStr">
        <is>
          <t>Head-Fi reviews: 1; Review éditoriale: 3</t>
        </is>
      </c>
    </row>
    <row r="121" ht="54" customHeight="1">
      <c r="A121" s="117" t="inlineStr">
        <is>
          <t>iFi audio</t>
        </is>
      </c>
      <c r="B121" s="117" t="inlineStr">
        <is>
          <t>GO bar</t>
        </is>
      </c>
      <c r="C121" s="117" t="inlineStr">
        <is>
          <t>Portable Amp/DAC (Headfonics)</t>
        </is>
      </c>
      <c r="D121" s="117" t="inlineStr">
        <is>
          <t>Neutre-dynamique, ajustable du vif au doux</t>
        </is>
      </c>
      <c r="E121" s="117" t="inlineStr">
        <is>
          <t>Propreté/contrôle, dynamique, microdétail</t>
        </is>
      </c>
      <c r="F121" s="117" t="inlineStr">
        <is>
          <t>Peut paraître ardent avec certains filtres</t>
        </is>
      </c>
      <c r="G121" s="118" t="n">
        <v>9.300000000000001</v>
      </c>
      <c r="H121" s="119" t="n">
        <v>8.9</v>
      </c>
      <c r="I121" s="119" t="n">
        <v>8.5</v>
      </c>
      <c r="J121" s="119" t="n">
        <v>8.5</v>
      </c>
      <c r="K121" s="119" t="n">
        <v>8.699999999999999</v>
      </c>
      <c r="L121" s="119" t="n">
        <v>8.699999999999999</v>
      </c>
      <c r="M121" s="119" t="n">
        <v>9.1</v>
      </c>
      <c r="N121" s="119" t="n">
        <v>8.699999999999999</v>
      </c>
      <c r="O121" s="119" t="n">
        <v>9.300000000000001</v>
      </c>
      <c r="P121" s="119" t="n">
        <v>8.1</v>
      </c>
      <c r="Q121" s="158">
        <f>IF(COUNT(G121:P121)=10,ROUND((G121*'Pondérations'!$B$5+H121*'Pondérations'!$B$6+I121*'Pondérations'!$B$7+J121*'Pondérations'!$B$8+K121*'Pondérations'!$B$9+L121*'Pondérations'!$B$10+M121*'Pondérations'!$B$11+N121*'Pondérations'!$B$12+O121*'Pondérations'!$B$13+P121*'Pondérations'!$B$14)/'Pondérations'!$B$16,3),"")</f>
        <v/>
      </c>
      <c r="R121" s="159">
        <f>IF(Q121="","",1+COUNTIF($Q$7:$Q$178,"&gt;"&amp;Q121)+COUNTIF($Q$7:Q121,Q121)-1)</f>
        <v/>
      </c>
      <c r="S121" s="122" t="n"/>
      <c r="T121" s="117" t="n"/>
      <c r="U121" s="117" t="n"/>
      <c r="V121" s="123" t="inlineStr">
        <is>
          <t>Élevée</t>
        </is>
      </c>
      <c r="W121" s="117" t="inlineStr">
        <is>
          <t>Headfonics import</t>
        </is>
      </c>
      <c r="X121" s="118" t="n">
        <v>8.4</v>
      </c>
      <c r="Y121" s="123" t="inlineStr">
        <is>
          <t>Reader</t>
        </is>
      </c>
      <c r="Z121" s="124" t="n">
        <v>44730</v>
      </c>
      <c r="AA121" s="125" t="n">
        <v>6</v>
      </c>
      <c r="AB121" s="126" t="inlineStr">
        <is>
          <t>https://headfonics.com/?s=iFi+audio+GO+bar</t>
        </is>
      </c>
      <c r="AC121" s="117" t="inlineStr">
        <is>
          <t>Portable dongle DAC/amp</t>
        </is>
      </c>
      <c r="AD121" s="123" t="inlineStr">
        <is>
          <t>Ajout Headfonics</t>
        </is>
      </c>
      <c r="AE121" s="125" t="n">
        <v>105</v>
      </c>
      <c r="AF121" s="127" t="n">
        <v>289</v>
      </c>
      <c r="AG121" s="122" t="inlineStr">
        <is>
          <t>Le GO bar offre une restitution très dynamique et punchy dont la douceur peut être ajustée par les filtres. Son principal atout sonore est une scène étonnamment ouverte pour un dongle.</t>
        </is>
      </c>
      <c r="AH121" s="117" t="inlineStr">
        <is>
          <t>Neutre-dynamique, ajustable du vif au doux</t>
        </is>
      </c>
      <c r="AI121" s="117" t="inlineStr">
        <is>
          <t>Beaucoup de largeur, hauteur et profondeur avec excellent micro-staging et placement.</t>
        </is>
      </c>
      <c r="AJ121" s="117" t="inlineStr">
        <is>
          <t>Peut paraître ardent avec certains filtres; consommation et chauffe supérieures à un petit dongle.</t>
        </is>
      </c>
      <c r="AK121" s="117" t="inlineStr">
        <is>
          <t>https://headfonics.com/ifi-audio-go-bar-review/</t>
        </is>
      </c>
      <c r="AL121" s="125" t="n">
        <v>4</v>
      </c>
      <c r="AM121" s="123" t="inlineStr">
        <is>
          <t>Élevée — 3+ sources, domaines variés</t>
        </is>
      </c>
      <c r="AN121" s="117" t="inlineStr">
        <is>
          <t>https://www.head-fi.org/showcase/ifi-audio-go-bar.25909/reviews</t>
        </is>
      </c>
      <c r="AO121" s="128" t="inlineStr">
        <is>
          <t>https://www.audiodiscourse.com/2023/04/ifi-go-bar-full-review.html</t>
        </is>
      </c>
      <c r="AP121" s="117" t="inlineStr">
        <is>
          <t>https://stereonet.com/reviews/ifi-audio-go-bar-review</t>
        </is>
      </c>
      <c r="AQ121" s="123" t="inlineStr">
        <is>
          <t>Objectif atteint</t>
        </is>
      </c>
      <c r="AR121" s="117" t="inlineStr">
        <is>
          <t>Head-Fi reviews: 1; Review éditoriale: 3</t>
        </is>
      </c>
    </row>
    <row r="122" ht="54" customHeight="1">
      <c r="A122" s="129" t="inlineStr">
        <is>
          <t>Audirect</t>
        </is>
      </c>
      <c r="B122" s="129" t="inlineStr">
        <is>
          <t>Beam 3 Plus</t>
        </is>
      </c>
      <c r="C122" s="129" t="inlineStr">
        <is>
          <t>Portable Amp/DAC (Headfonics)</t>
        </is>
      </c>
      <c r="D122" s="129" t="inlineStr">
        <is>
          <t>Douce, chaleureuse</t>
        </is>
      </c>
      <c r="E122" s="129" t="inlineStr">
        <is>
          <t>Dynamique, profondeur, image 3d</t>
        </is>
      </c>
      <c r="F122" s="129" t="inlineStr">
        <is>
          <t>Aigu amorti</t>
        </is>
      </c>
      <c r="G122" s="130" t="n">
        <v>8.6</v>
      </c>
      <c r="H122" s="131" t="n">
        <v>8.699999999999999</v>
      </c>
      <c r="I122" s="131" t="n">
        <v>8.800000000000001</v>
      </c>
      <c r="J122" s="131" t="n">
        <v>8.699999999999999</v>
      </c>
      <c r="K122" s="131" t="n">
        <v>8.6</v>
      </c>
      <c r="L122" s="131" t="n">
        <v>8.699999999999999</v>
      </c>
      <c r="M122" s="131" t="n">
        <v>9</v>
      </c>
      <c r="N122" s="131" t="n">
        <v>8.699999999999999</v>
      </c>
      <c r="O122" s="131" t="n">
        <v>8</v>
      </c>
      <c r="P122" s="131" t="n">
        <v>8.1</v>
      </c>
      <c r="Q122" s="158">
        <f>IF(COUNT(G122:P122)=10,ROUND((G122*'Pondérations'!$B$5+H122*'Pondérations'!$B$6+I122*'Pondérations'!$B$7+J122*'Pondérations'!$B$8+K122*'Pondérations'!$B$9+L122*'Pondérations'!$B$10+M122*'Pondérations'!$B$11+N122*'Pondérations'!$B$12+O122*'Pondérations'!$B$13+P122*'Pondérations'!$B$14)/'Pondérations'!$B$16,3),"")</f>
        <v/>
      </c>
      <c r="R122" s="159">
        <f>IF(Q122="","",1+COUNTIF($Q$7:$Q$178,"&gt;"&amp;Q122)+COUNTIF($Q$7:Q122,Q122)-1)</f>
        <v/>
      </c>
      <c r="S122" s="132" t="n"/>
      <c r="T122" s="129" t="n"/>
      <c r="U122" s="129" t="n"/>
      <c r="V122" s="133" t="inlineStr">
        <is>
          <t>Élevée</t>
        </is>
      </c>
      <c r="W122" s="129" t="inlineStr">
        <is>
          <t>Headfonics import</t>
        </is>
      </c>
      <c r="X122" s="130" t="n"/>
      <c r="Y122" s="133" t="inlineStr">
        <is>
          <t>Reader (non relevé)</t>
        </is>
      </c>
      <c r="Z122" s="134" t="n">
        <v>44715</v>
      </c>
      <c r="AA122" s="135" t="n">
        <v>6</v>
      </c>
      <c r="AB122" s="139" t="inlineStr">
        <is>
          <t>https://headfonics.com/?s=Hilidac+Audirect+Beam+3+Plus</t>
        </is>
      </c>
      <c r="AC122" s="129" t="inlineStr">
        <is>
          <t>Portable DAC/amp</t>
        </is>
      </c>
      <c r="AD122" s="133" t="inlineStr">
        <is>
          <t>Ajout Headfonics</t>
        </is>
      </c>
      <c r="AE122" s="135" t="n">
        <v>106</v>
      </c>
      <c r="AF122" s="136" t="n">
        <v>167</v>
      </c>
      <c r="AG122" s="132" t="inlineStr">
        <is>
          <t>Le Beam 3 Plus adopte une présentation plus lisse et chaude que clinique, avec un médium plaisant et une amplification solide. Le filaire est sensiblement plus précis que le Bluetooth.</t>
        </is>
      </c>
      <c r="AH122" s="129" t="inlineStr">
        <is>
          <t>Douce, chaleureuse</t>
        </is>
      </c>
      <c r="AI122" s="129" t="inlineStr">
        <is>
          <t>Scène correcte et non congestionnée; MQA peut donner plus d'espace, mais le Bluetooth réduit largeur et précision du layering.</t>
        </is>
      </c>
      <c r="AJ122" s="129" t="inlineStr">
        <is>
          <t>Aigu amorti; définition des voix et layering diminuent en Bluetooth.</t>
        </is>
      </c>
      <c r="AK122" s="129" t="inlineStr">
        <is>
          <t>https://headfonics.com/hilidac-audirect-beam-3-plus-review/</t>
        </is>
      </c>
      <c r="AL122" s="135" t="n">
        <v>4</v>
      </c>
      <c r="AM122" s="133" t="inlineStr">
        <is>
          <t>Élevée — 3+ sources, domaines variés</t>
        </is>
      </c>
      <c r="AN122" s="129" t="inlineStr">
        <is>
          <t>https://www.head-fi.org/showcase/audirect-beam-3-plus.25289/reviews</t>
        </is>
      </c>
      <c r="AO122" s="137" t="inlineStr">
        <is>
          <t>https://www.headfonia.com/audirect-beam-3-plus-review/</t>
        </is>
      </c>
      <c r="AP122" s="129" t="inlineStr">
        <is>
          <t>https://primeaudio.org/audirect-beam-3-plus-review/</t>
        </is>
      </c>
      <c r="AQ122" s="133" t="inlineStr">
        <is>
          <t>Objectif atteint</t>
        </is>
      </c>
      <c r="AR122" s="129" t="inlineStr">
        <is>
          <t>Head-Fi reviews: 1; Review éditoriale: 3</t>
        </is>
      </c>
    </row>
    <row r="123" ht="54" customHeight="1">
      <c r="A123" s="117" t="inlineStr">
        <is>
          <t>ddHiFi</t>
        </is>
      </c>
      <c r="B123" s="117" t="inlineStr">
        <is>
          <t>TC44C</t>
        </is>
      </c>
      <c r="C123" s="117" t="inlineStr">
        <is>
          <t>Portable Amp/DAC (Headfonics)</t>
        </is>
      </c>
      <c r="D123" s="117" t="inlineStr">
        <is>
          <t>Neutre, naturelle, légèrement clinique</t>
        </is>
      </c>
      <c r="E123" s="117" t="inlineStr">
        <is>
          <t>Dynamique, propreté/contrôle, puissance</t>
        </is>
      </c>
      <c r="F123" s="117" t="inlineStr">
        <is>
          <t>Grave lean et peu spectaculaire, impact doux</t>
        </is>
      </c>
      <c r="G123" s="118" t="n">
        <v>9.4</v>
      </c>
      <c r="H123" s="119" t="n">
        <v>9</v>
      </c>
      <c r="I123" s="119" t="n">
        <v>8.6</v>
      </c>
      <c r="J123" s="119" t="n">
        <v>8.5</v>
      </c>
      <c r="K123" s="119" t="n">
        <v>8.800000000000001</v>
      </c>
      <c r="L123" s="119" t="n">
        <v>8.6</v>
      </c>
      <c r="M123" s="119" t="n">
        <v>9.300000000000001</v>
      </c>
      <c r="N123" s="119" t="n">
        <v>9.199999999999999</v>
      </c>
      <c r="O123" s="119" t="n">
        <v>8</v>
      </c>
      <c r="P123" s="119" t="n">
        <v>8.199999999999999</v>
      </c>
      <c r="Q123" s="158">
        <f>IF(COUNT(G123:P123)=10,ROUND((G123*'Pondérations'!$B$5+H123*'Pondérations'!$B$6+I123*'Pondérations'!$B$7+J123*'Pondérations'!$B$8+K123*'Pondérations'!$B$9+L123*'Pondérations'!$B$10+M123*'Pondérations'!$B$11+N123*'Pondérations'!$B$12+O123*'Pondérations'!$B$13+P123*'Pondérations'!$B$14)/'Pondérations'!$B$16,3),"")</f>
        <v/>
      </c>
      <c r="R123" s="159">
        <f>IF(Q123="","",1+COUNTIF($Q$7:$Q$178,"&gt;"&amp;Q123)+COUNTIF($Q$7:Q123,Q123)-1)</f>
        <v/>
      </c>
      <c r="S123" s="122" t="n"/>
      <c r="T123" s="117" t="n"/>
      <c r="U123" s="117" t="n"/>
      <c r="V123" s="123" t="inlineStr">
        <is>
          <t>Élevée</t>
        </is>
      </c>
      <c r="W123" s="117" t="inlineStr">
        <is>
          <t>Headfonics import</t>
        </is>
      </c>
      <c r="X123" s="118" t="n">
        <v>8.4</v>
      </c>
      <c r="Y123" s="123" t="inlineStr">
        <is>
          <t>Reader</t>
        </is>
      </c>
      <c r="Z123" s="124" t="n">
        <v>44713</v>
      </c>
      <c r="AA123" s="125" t="n">
        <v>6</v>
      </c>
      <c r="AB123" s="126" t="inlineStr">
        <is>
          <t>https://headfonics.com/?s=ddHiFi+TC44C</t>
        </is>
      </c>
      <c r="AC123" s="117" t="inlineStr">
        <is>
          <t>Portable dongle DAC/amp</t>
        </is>
      </c>
      <c r="AD123" s="123" t="inlineStr">
        <is>
          <t>Ajout Headfonics</t>
        </is>
      </c>
      <c r="AE123" s="125" t="n">
        <v>107</v>
      </c>
      <c r="AF123" s="138" t="n">
        <v>105</v>
      </c>
      <c r="AG123" s="122" t="inlineStr">
        <is>
          <t>Le TC44C suit un profil Cirrus très neutre et naturel, propre et étendu mais un peu aseptisé. Il privilégie l'espace et la netteté au punch.</t>
        </is>
      </c>
      <c r="AH123" s="117" t="inlineStr">
        <is>
          <t>Neutre, naturelle, légèrement clinique</t>
        </is>
      </c>
      <c r="AI123" s="117" t="inlineStr">
        <is>
          <t>Présentation aérée et plutôt large, médiums ouverts, fond très sombre; bonne dynamique globale.</t>
        </is>
      </c>
      <c r="AJ123" s="117" t="inlineStr">
        <is>
          <t>Grave lean et peu spectaculaire, impact doux; aucune fonction de réglage ou de volume physique.</t>
        </is>
      </c>
      <c r="AK123" s="117" t="inlineStr">
        <is>
          <t>https://headfonics.com/ddhifi-tc44c-dac-review/</t>
        </is>
      </c>
      <c r="AL123" s="125" t="n">
        <v>4</v>
      </c>
      <c r="AM123" s="123" t="inlineStr">
        <is>
          <t>Élevée — 3+ sources, domaines variés</t>
        </is>
      </c>
      <c r="AN123" s="117" t="inlineStr">
        <is>
          <t>https://www.head-fi.org/showcase/ddhifi-tc44c.26092/</t>
        </is>
      </c>
      <c r="AO123" s="128" t="inlineStr">
        <is>
          <t>https://www.headfonia.com/ddhifi-tc44c-review/</t>
        </is>
      </c>
      <c r="AP123" s="117" t="inlineStr">
        <is>
          <t>https://androidbrick.com/ddhifi-tc44c-review/</t>
        </is>
      </c>
      <c r="AQ123" s="123" t="inlineStr">
        <is>
          <t>Objectif atteint</t>
        </is>
      </c>
      <c r="AR123" s="117" t="inlineStr">
        <is>
          <t>Head-Fi reviews: 1; Review éditoriale: 3</t>
        </is>
      </c>
    </row>
    <row r="124" ht="54" customHeight="1">
      <c r="A124" s="129" t="inlineStr">
        <is>
          <t>Shanling</t>
        </is>
      </c>
      <c r="B124" s="129" t="inlineStr">
        <is>
          <t>UA5</t>
        </is>
      </c>
      <c r="C124" s="129" t="inlineStr">
        <is>
          <t>Portable Amp/DAC (Headfonics)</t>
        </is>
      </c>
      <c r="D124" s="129" t="inlineStr">
        <is>
          <t>Chaude, douce et intime</t>
        </is>
      </c>
      <c r="E124" s="129" t="inlineStr">
        <is>
          <t>Layering, profondeur, matière/timbres</t>
        </is>
      </c>
      <c r="F124" s="129" t="inlineStr">
        <is>
          <t>Moins ouvert et moins incisif que les dongles neutres modernes</t>
        </is>
      </c>
      <c r="G124" s="130" t="n">
        <v>8.9</v>
      </c>
      <c r="H124" s="131" t="n">
        <v>8.800000000000001</v>
      </c>
      <c r="I124" s="131" t="n">
        <v>8.9</v>
      </c>
      <c r="J124" s="131" t="n">
        <v>8.800000000000001</v>
      </c>
      <c r="K124" s="131" t="n">
        <v>9</v>
      </c>
      <c r="L124" s="131" t="n">
        <v>9.1</v>
      </c>
      <c r="M124" s="131" t="n">
        <v>9</v>
      </c>
      <c r="N124" s="131" t="n">
        <v>9.1</v>
      </c>
      <c r="O124" s="131" t="n">
        <v>9.5</v>
      </c>
      <c r="P124" s="131" t="n">
        <v>8.4</v>
      </c>
      <c r="Q124" s="158">
        <f>IF(COUNT(G124:P124)=10,ROUND((G124*'Pondérations'!$B$5+H124*'Pondérations'!$B$6+I124*'Pondérations'!$B$7+J124*'Pondérations'!$B$8+K124*'Pondérations'!$B$9+L124*'Pondérations'!$B$10+M124*'Pondérations'!$B$11+N124*'Pondérations'!$B$12+O124*'Pondérations'!$B$13+P124*'Pondérations'!$B$14)/'Pondérations'!$B$16,3),"")</f>
        <v/>
      </c>
      <c r="R124" s="159">
        <f>IF(Q124="","",1+COUNTIF($Q$7:$Q$178,"&gt;"&amp;Q124)+COUNTIF($Q$7:Q124,Q124)-1)</f>
        <v/>
      </c>
      <c r="S124" s="132" t="n"/>
      <c r="T124" s="129" t="n"/>
      <c r="U124" s="129" t="n"/>
      <c r="V124" s="133" t="inlineStr">
        <is>
          <t>Élevée</t>
        </is>
      </c>
      <c r="W124" s="129" t="inlineStr">
        <is>
          <t>Headfonics import</t>
        </is>
      </c>
      <c r="X124" s="130" t="n">
        <v>8.4</v>
      </c>
      <c r="Y124" s="133" t="inlineStr">
        <is>
          <t>Reader</t>
        </is>
      </c>
      <c r="Z124" s="134" t="n">
        <v>44708</v>
      </c>
      <c r="AA124" s="135" t="n">
        <v>6</v>
      </c>
      <c r="AB124" s="139" t="inlineStr">
        <is>
          <t>https://headfonics.com/?s=Shanling+UA5</t>
        </is>
      </c>
      <c r="AC124" s="129" t="inlineStr">
        <is>
          <t>Portable dongle DAC/amp</t>
        </is>
      </c>
      <c r="AD124" s="133" t="inlineStr">
        <is>
          <t>Ajout Headfonics</t>
        </is>
      </c>
      <c r="AE124" s="135" t="n">
        <v>108</v>
      </c>
      <c r="AF124" s="136" t="n">
        <v>207</v>
      </c>
      <c r="AG124" s="132" t="inlineStr">
        <is>
          <t>Le UA5 propose une restitution intimiste et chaleureuse, avec un fond sombre grâce à son alimentation hybride. Les filtres permettent de lisser davantage les pointes.</t>
        </is>
      </c>
      <c r="AH124" s="129" t="inlineStr">
        <is>
          <t>Chaude, douce et intime</t>
        </is>
      </c>
      <c r="AI124" s="129" t="inlineStr">
        <is>
          <t>Scène de taille moyenne, légèrement large, avec bon placement mais une perspective plutôt proche et cohésive.</t>
        </is>
      </c>
      <c r="AJ124" s="129" t="inlineStr">
        <is>
          <t>Moins ouvert et moins incisif que les dongles neutres modernes; présentation volontairement inward.</t>
        </is>
      </c>
      <c r="AK124" s="129" t="inlineStr">
        <is>
          <t>https://headfonics.com/shanling-ua5-review/2/</t>
        </is>
      </c>
      <c r="AL124" s="135" t="n">
        <v>4</v>
      </c>
      <c r="AM124" s="133" t="inlineStr">
        <is>
          <t>Élevée — 3+ sources, domaines variés</t>
        </is>
      </c>
      <c r="AN124" s="129" t="inlineStr">
        <is>
          <t>https://www.head-fi.org/showcase/shanling-ua5.25767/reviews</t>
        </is>
      </c>
      <c r="AO124" s="137" t="inlineStr">
        <is>
          <t>https://www.headphonesty.com/2022/08/review-shanling-ua5/</t>
        </is>
      </c>
      <c r="AP124" s="129" t="inlineStr">
        <is>
          <t>https://www.headfonia.com/shanling-ua5-review/</t>
        </is>
      </c>
      <c r="AQ124" s="133" t="inlineStr">
        <is>
          <t>Objectif atteint</t>
        </is>
      </c>
      <c r="AR124" s="129" t="inlineStr">
        <is>
          <t>Head-Fi reviews: 1; Review éditoriale: 3</t>
        </is>
      </c>
    </row>
    <row r="125" ht="54" customHeight="1">
      <c r="A125" s="117" t="inlineStr">
        <is>
          <t>TempoTec</t>
        </is>
      </c>
      <c r="B125" s="117" t="inlineStr">
        <is>
          <t>Sonata E35</t>
        </is>
      </c>
      <c r="C125" s="117" t="inlineStr">
        <is>
          <t>Portable Amp/DAC (Headfonics)</t>
        </is>
      </c>
      <c r="D125" s="117" t="inlineStr">
        <is>
          <t>Énergique, claire</t>
        </is>
      </c>
      <c r="E125" s="117" t="inlineStr">
        <is>
          <t>Propreté/contrôle, image 3d, profondeur</t>
        </is>
      </c>
      <c r="F125" s="117" t="inlineStr">
        <is>
          <t>Construction plastique</t>
        </is>
      </c>
      <c r="G125" s="118" t="n">
        <v>9.199999999999999</v>
      </c>
      <c r="H125" s="119" t="n">
        <v>8.9</v>
      </c>
      <c r="I125" s="119" t="n">
        <v>8.800000000000001</v>
      </c>
      <c r="J125" s="119" t="n">
        <v>8.800000000000001</v>
      </c>
      <c r="K125" s="119" t="n">
        <v>8.800000000000001</v>
      </c>
      <c r="L125" s="119" t="n">
        <v>9</v>
      </c>
      <c r="M125" s="119" t="n">
        <v>8.800000000000001</v>
      </c>
      <c r="N125" s="119" t="n">
        <v>8.699999999999999</v>
      </c>
      <c r="O125" s="119" t="n">
        <v>6.5</v>
      </c>
      <c r="P125" s="119" t="n">
        <v>8.4</v>
      </c>
      <c r="Q125" s="158">
        <f>IF(COUNT(G125:P125)=10,ROUND((G125*'Pondérations'!$B$5+H125*'Pondérations'!$B$6+I125*'Pondérations'!$B$7+J125*'Pondérations'!$B$8+K125*'Pondérations'!$B$9+L125*'Pondérations'!$B$10+M125*'Pondérations'!$B$11+N125*'Pondérations'!$B$12+O125*'Pondérations'!$B$13+P125*'Pondérations'!$B$14)/'Pondérations'!$B$16,3),"")</f>
        <v/>
      </c>
      <c r="R125" s="159">
        <f>IF(Q125="","",1+COUNTIF($Q$7:$Q$178,"&gt;"&amp;Q125)+COUNTIF($Q$7:Q125,Q125)-1)</f>
        <v/>
      </c>
      <c r="S125" s="122" t="n"/>
      <c r="T125" s="117" t="n"/>
      <c r="U125" s="117" t="n"/>
      <c r="V125" s="123" t="inlineStr">
        <is>
          <t>Élevée</t>
        </is>
      </c>
      <c r="W125" s="117" t="inlineStr">
        <is>
          <t>Headfonics import</t>
        </is>
      </c>
      <c r="X125" s="118" t="n">
        <v>8</v>
      </c>
      <c r="Y125" s="123" t="inlineStr">
        <is>
          <t>Reader</t>
        </is>
      </c>
      <c r="Z125" s="124" t="n">
        <v>44699</v>
      </c>
      <c r="AA125" s="125" t="n">
        <v>6</v>
      </c>
      <c r="AB125" s="126" t="inlineStr">
        <is>
          <t>https://headfonics.com/?s=TempoTec+Sonata+E35</t>
        </is>
      </c>
      <c r="AC125" s="117" t="inlineStr">
        <is>
          <t>Portable dongle DAC/amp</t>
        </is>
      </c>
      <c r="AD125" s="123" t="inlineStr">
        <is>
          <t>Ajout Headfonics</t>
        </is>
      </c>
      <c r="AE125" s="125" t="n">
        <v>109</v>
      </c>
      <c r="AF125" s="138" t="n">
        <v>61</v>
      </c>
      <c r="AG125" s="122" t="inlineStr">
        <is>
          <t>Présentation vive et claire, avec assez de puissance pour de nombreux IEM et certains casques sensibles; bonne synergie avec des transducteurs déjà spacieux.</t>
        </is>
      </c>
      <c r="AH125" s="117" t="inlineStr">
        <is>
          <t>Énergique, claire</t>
        </is>
      </c>
      <c r="AI125" s="117" t="inlineStr">
        <is>
          <t>Bonne clarté et dynamique; profite surtout des écouteurs ayant déjà une scène large</t>
        </is>
      </c>
      <c r="AJ125" s="117" t="inlineStr">
        <is>
          <t>Construction plastique; câble/ergonomie un peu encombrants</t>
        </is>
      </c>
      <c r="AK125" s="117" t="inlineStr">
        <is>
          <t>https://headfonics.com/tempotec-sonata-e35-review/</t>
        </is>
      </c>
      <c r="AL125" s="125" t="n">
        <v>3</v>
      </c>
      <c r="AM125" s="123" t="inlineStr">
        <is>
          <t>Élevée — 3+ sources, domaines variés</t>
        </is>
      </c>
      <c r="AN125" s="117" t="inlineStr">
        <is>
          <t>https://www.head-fi.org/showcase/tempotec-sonata-e35.25153/reviews</t>
        </is>
      </c>
      <c r="AO125" s="128" t="inlineStr">
        <is>
          <t>https://www.headphonesty.com/2021/10/review-tempotec-sonata-e35/</t>
        </is>
      </c>
      <c r="AP125" s="117" t="n"/>
      <c r="AQ125" s="123" t="inlineStr">
        <is>
          <t>Objectif atteint</t>
        </is>
      </c>
      <c r="AR125" s="117" t="inlineStr">
        <is>
          <t>Head-Fi reviews: 1; Review éditoriale: 2</t>
        </is>
      </c>
    </row>
    <row r="126" ht="54" customHeight="1">
      <c r="A126" s="129" t="inlineStr">
        <is>
          <t>Astell&amp;Kern</t>
        </is>
      </c>
      <c r="B126" s="129" t="inlineStr">
        <is>
          <t>USB-C Dual DAC Cable PEE51</t>
        </is>
      </c>
      <c r="C126" s="129" t="inlineStr">
        <is>
          <t>Portable Amp/DAC (Headfonics)</t>
        </is>
      </c>
      <c r="D126" s="129" t="inlineStr">
        <is>
          <t>Neutre, légèrement mid-forward</t>
        </is>
      </c>
      <c r="E126" s="129" t="inlineStr">
        <is>
          <t>Layering, profondeur, matière/timbres</t>
        </is>
      </c>
      <c r="F126" s="129" t="inlineStr">
        <is>
          <t>Mid-bass un peu plus rond/lent que certains concurrents</t>
        </is>
      </c>
      <c r="G126" s="130" t="n">
        <v>9.1</v>
      </c>
      <c r="H126" s="131" t="n">
        <v>8.9</v>
      </c>
      <c r="I126" s="131" t="n">
        <v>8.300000000000001</v>
      </c>
      <c r="J126" s="131" t="n">
        <v>8.800000000000001</v>
      </c>
      <c r="K126" s="131" t="n">
        <v>8.5</v>
      </c>
      <c r="L126" s="131" t="n">
        <v>9.1</v>
      </c>
      <c r="M126" s="131" t="n">
        <v>8.9</v>
      </c>
      <c r="N126" s="131" t="n">
        <v>8.699999999999999</v>
      </c>
      <c r="O126" s="131" t="n">
        <v>8</v>
      </c>
      <c r="P126" s="131" t="n">
        <v>8.5</v>
      </c>
      <c r="Q126" s="158">
        <f>IF(COUNT(G126:P126)=10,ROUND((G126*'Pondérations'!$B$5+H126*'Pondérations'!$B$6+I126*'Pondérations'!$B$7+J126*'Pondérations'!$B$8+K126*'Pondérations'!$B$9+L126*'Pondérations'!$B$10+M126*'Pondérations'!$B$11+N126*'Pondérations'!$B$12+O126*'Pondérations'!$B$13+P126*'Pondérations'!$B$14)/'Pondérations'!$B$16,3),"")</f>
        <v/>
      </c>
      <c r="R126" s="159">
        <f>IF(Q126="","",1+COUNTIF($Q$7:$Q$178,"&gt;"&amp;Q126)+COUNTIF($Q$7:Q126,Q126)-1)</f>
        <v/>
      </c>
      <c r="S126" s="132" t="n"/>
      <c r="T126" s="129" t="n"/>
      <c r="U126" s="129" t="n"/>
      <c r="V126" s="133" t="inlineStr">
        <is>
          <t>Élevée</t>
        </is>
      </c>
      <c r="W126" s="129" t="inlineStr">
        <is>
          <t>Headfonics import</t>
        </is>
      </c>
      <c r="X126" s="130" t="n">
        <v>8.300000000000001</v>
      </c>
      <c r="Y126" s="133" t="inlineStr">
        <is>
          <t>Reader</t>
        </is>
      </c>
      <c r="Z126" s="134" t="n">
        <v>44697</v>
      </c>
      <c r="AA126" s="135" t="n">
        <v>6</v>
      </c>
      <c r="AB126" s="139" t="inlineStr">
        <is>
          <t>https://headfonics.com/?s=Astell%26Kern+USB-C+Dual+DAC+Cable+PEE51</t>
        </is>
      </c>
      <c r="AC126" s="129" t="inlineStr">
        <is>
          <t>Portable USB-C dual-DAC cable</t>
        </is>
      </c>
      <c r="AD126" s="133" t="inlineStr">
        <is>
          <t>Ajout Headfonics</t>
        </is>
      </c>
      <c r="AE126" s="135" t="n">
        <v>110</v>
      </c>
      <c r="AF126" s="136" t="n">
        <v>131</v>
      </c>
      <c r="AG126" s="132" t="inlineStr">
        <is>
          <t>Le PEE51 se distingue par une restitution très résolue et premium, avec des médiums assez présents et beaucoup de définition pour son format.</t>
        </is>
      </c>
      <c r="AH126" s="129" t="inlineStr">
        <is>
          <t>Neutre, légèrement mid-forward</t>
        </is>
      </c>
      <c r="AI126" s="129" t="inlineStr">
        <is>
          <t>Bonne imagerie et layering; scène moins large que le L&amp;P W2 mais hauteur comparable.</t>
        </is>
      </c>
      <c r="AJ126" s="129" t="inlineStr">
        <is>
          <t>Mid-bass un peu plus rond/lent que certains concurrents; très peu de fonctions annexes.</t>
        </is>
      </c>
      <c r="AK126" s="129" t="inlineStr">
        <is>
          <t>https://headfonics.com/astellkern-usb-c-dual-dac-cable-pee51-review/</t>
        </is>
      </c>
      <c r="AL126" s="135" t="n">
        <v>4</v>
      </c>
      <c r="AM126" s="133" t="inlineStr">
        <is>
          <t>Élevée — 3+ sources, domaines variés</t>
        </is>
      </c>
      <c r="AN126" s="129" t="inlineStr">
        <is>
          <t>https://www.audioreviews.org/astell-kern-pee51/</t>
        </is>
      </c>
      <c r="AO126" s="137" t="inlineStr">
        <is>
          <t>https://majorhifi.com/astell-kern-pee51-review/</t>
        </is>
      </c>
      <c r="AP126" s="129" t="inlineStr">
        <is>
          <t>https://musicphotolife.com/2021/03/astellkern-usbc-dual-dac-cable-pee51-review/</t>
        </is>
      </c>
      <c r="AQ126" s="133" t="inlineStr">
        <is>
          <t>Objectif atteint</t>
        </is>
      </c>
      <c r="AR126" s="129" t="inlineStr">
        <is>
          <t>Review éditoriale: 4</t>
        </is>
      </c>
    </row>
    <row r="127" ht="54" customHeight="1">
      <c r="A127" s="117" t="inlineStr">
        <is>
          <t>Audirect</t>
        </is>
      </c>
      <c r="B127" s="117" t="inlineStr">
        <is>
          <t>Beam 3 PRO</t>
        </is>
      </c>
      <c r="C127" s="117" t="inlineStr">
        <is>
          <t>Portable Amp/DAC (Headfonics)</t>
        </is>
      </c>
      <c r="D127" s="117" t="inlineStr">
        <is>
          <t>Neutre-douce, légèrement chaude</t>
        </is>
      </c>
      <c r="E127" s="117" t="inlineStr">
        <is>
          <t>Microdétail, dynamique, layering</t>
        </is>
      </c>
      <c r="F127" s="117" t="inlineStr">
        <is>
          <t>Manque d'air et de séparation fine</t>
        </is>
      </c>
      <c r="G127" s="118" t="n">
        <v>9.1</v>
      </c>
      <c r="H127" s="119" t="n">
        <v>9</v>
      </c>
      <c r="I127" s="119" t="n">
        <v>8.800000000000001</v>
      </c>
      <c r="J127" s="119" t="n">
        <v>8.699999999999999</v>
      </c>
      <c r="K127" s="119" t="n">
        <v>8.9</v>
      </c>
      <c r="L127" s="119" t="n">
        <v>9</v>
      </c>
      <c r="M127" s="119" t="n">
        <v>9</v>
      </c>
      <c r="N127" s="119" t="n">
        <v>8.699999999999999</v>
      </c>
      <c r="O127" s="119" t="n">
        <v>9.5</v>
      </c>
      <c r="P127" s="119" t="n">
        <v>8.4</v>
      </c>
      <c r="Q127" s="158">
        <f>IF(COUNT(G127:P127)=10,ROUND((G127*'Pondérations'!$B$5+H127*'Pondérations'!$B$6+I127*'Pondérations'!$B$7+J127*'Pondérations'!$B$8+K127*'Pondérations'!$B$9+L127*'Pondérations'!$B$10+M127*'Pondérations'!$B$11+N127*'Pondérations'!$B$12+O127*'Pondérations'!$B$13+P127*'Pondérations'!$B$14)/'Pondérations'!$B$16,3),"")</f>
        <v/>
      </c>
      <c r="R127" s="159">
        <f>IF(Q127="","",1+COUNTIF($Q$7:$Q$178,"&gt;"&amp;Q127)+COUNTIF($Q$7:Q127,Q127)-1)</f>
        <v/>
      </c>
      <c r="S127" s="122" t="n"/>
      <c r="T127" s="117" t="n"/>
      <c r="U127" s="117" t="n"/>
      <c r="V127" s="123" t="inlineStr">
        <is>
          <t>Élevée</t>
        </is>
      </c>
      <c r="W127" s="117" t="inlineStr">
        <is>
          <t>Headfonics import</t>
        </is>
      </c>
      <c r="X127" s="118" t="n">
        <v>8.1</v>
      </c>
      <c r="Y127" s="123" t="inlineStr">
        <is>
          <t>Reader</t>
        </is>
      </c>
      <c r="Z127" s="124" t="n">
        <v>44659</v>
      </c>
      <c r="AA127" s="125" t="n">
        <v>6</v>
      </c>
      <c r="AB127" s="126" t="inlineStr">
        <is>
          <t>https://headfonics.com/?s=Hilidac+Audirect+Beam+3+PRO</t>
        </is>
      </c>
      <c r="AC127" s="117" t="inlineStr">
        <is>
          <t>Portable DAC/amp</t>
        </is>
      </c>
      <c r="AD127" s="123" t="inlineStr">
        <is>
          <t>Ajout Headfonics</t>
        </is>
      </c>
      <c r="AE127" s="125" t="n">
        <v>111</v>
      </c>
      <c r="AF127" s="138" t="n">
        <v>132</v>
      </c>
      <c r="AG127" s="122" t="inlineStr">
        <is>
          <t>Le Beam 3 PRO opte pour une tonalité sécurisante: légère emphase grave et bas-aigu retenu, ce qui rend l'écoute douce et facile.</t>
        </is>
      </c>
      <c r="AH127" s="117" t="inlineStr">
        <is>
          <t>Neutre-douce, légèrement chaude</t>
        </is>
      </c>
      <c r="AI127" s="117" t="inlineStr">
        <is>
          <t>Placement assez précis mais scène et air plus modestes; images moins nettement détourées que les dongles plus ouverts.</t>
        </is>
      </c>
      <c r="AJ127" s="117" t="inlineStr">
        <is>
          <t>Manque d'air et de séparation fine; moins adapté si la priorité est le microdétail/holographie.</t>
        </is>
      </c>
      <c r="AK127" s="117" t="inlineStr">
        <is>
          <t>https://headfonics.com/hilidac-audirect-beam-3-pro-review/</t>
        </is>
      </c>
      <c r="AL127" s="125" t="n">
        <v>4</v>
      </c>
      <c r="AM127" s="123" t="inlineStr">
        <is>
          <t>Élevée — 3+ sources, domaines variés</t>
        </is>
      </c>
      <c r="AN127" s="117" t="inlineStr">
        <is>
          <t>https://www.head-fi.org/showcase/audirect-beam-3-pro.25643/</t>
        </is>
      </c>
      <c r="AO127" s="128" t="inlineStr">
        <is>
          <t>https://www.reddit.com/r/headphones/comments/rz3sdn</t>
        </is>
      </c>
      <c r="AP127" s="117" t="inlineStr">
        <is>
          <t>https://forum.hifiguides.com/t/audirect-beam-3-pro/31919</t>
        </is>
      </c>
      <c r="AQ127" s="123" t="inlineStr">
        <is>
          <t>Objectif atteint</t>
        </is>
      </c>
      <c r="AR127" s="117" t="inlineStr">
        <is>
          <t>Communauté Reddit: 1; Forum / communauté: 1; Head-Fi reviews: 1; Review éditoriale: 1</t>
        </is>
      </c>
    </row>
    <row r="128" ht="54" customHeight="1">
      <c r="A128" s="129" t="inlineStr">
        <is>
          <t>EarMen</t>
        </is>
      </c>
      <c r="B128" s="129" t="inlineStr">
        <is>
          <t>Colibri</t>
        </is>
      </c>
      <c r="C128" s="129" t="inlineStr">
        <is>
          <t>Portable Amp/DAC (Headfonics)</t>
        </is>
      </c>
      <c r="D128" s="129" t="inlineStr">
        <is>
          <t>Neutre, raffinée</t>
        </is>
      </c>
      <c r="E128" s="129" t="inlineStr">
        <is>
          <t>Propreté/contrôle, layering, profondeur</t>
        </is>
      </c>
      <c r="F128" s="129" t="inlineStr">
        <is>
          <t>Format transportable et tarif élevé face aux dongles</t>
        </is>
      </c>
      <c r="G128" s="130" t="n">
        <v>9.199999999999999</v>
      </c>
      <c r="H128" s="131" t="n">
        <v>8.9</v>
      </c>
      <c r="I128" s="131" t="n">
        <v>8.800000000000001</v>
      </c>
      <c r="J128" s="131" t="n">
        <v>8.699999999999999</v>
      </c>
      <c r="K128" s="131" t="n">
        <v>8.9</v>
      </c>
      <c r="L128" s="131" t="n">
        <v>9</v>
      </c>
      <c r="M128" s="131" t="n">
        <v>8.9</v>
      </c>
      <c r="N128" s="131" t="n">
        <v>8.9</v>
      </c>
      <c r="O128" s="131" t="n">
        <v>6.5</v>
      </c>
      <c r="P128" s="131" t="n">
        <v>8.4</v>
      </c>
      <c r="Q128" s="158">
        <f>IF(COUNT(G128:P128)=10,ROUND((G128*'Pondérations'!$B$5+H128*'Pondérations'!$B$6+I128*'Pondérations'!$B$7+J128*'Pondérations'!$B$8+K128*'Pondérations'!$B$9+L128*'Pondérations'!$B$10+M128*'Pondérations'!$B$11+N128*'Pondérations'!$B$12+O128*'Pondérations'!$B$13+P128*'Pondérations'!$B$14)/'Pondérations'!$B$16,3),"")</f>
        <v/>
      </c>
      <c r="R128" s="159">
        <f>IF(Q128="","",1+COUNTIF($Q$7:$Q$178,"&gt;"&amp;Q128)+COUNTIF($Q$7:Q128,Q128)-1)</f>
        <v/>
      </c>
      <c r="S128" s="132" t="n"/>
      <c r="T128" s="129" t="n"/>
      <c r="U128" s="129" t="n"/>
      <c r="V128" s="133" t="inlineStr">
        <is>
          <t>Élevée</t>
        </is>
      </c>
      <c r="W128" s="129" t="inlineStr">
        <is>
          <t>Headfonics import</t>
        </is>
      </c>
      <c r="X128" s="130" t="n">
        <v>8.300000000000001</v>
      </c>
      <c r="Y128" s="133" t="inlineStr">
        <is>
          <t>Reader</t>
        </is>
      </c>
      <c r="Z128" s="134" t="n">
        <v>44653</v>
      </c>
      <c r="AA128" s="135" t="n">
        <v>6</v>
      </c>
      <c r="AB128" s="139" t="inlineStr">
        <is>
          <t>https://headfonics.com/?s=EarMen+Colibri</t>
        </is>
      </c>
      <c r="AC128" s="129" t="inlineStr">
        <is>
          <t>Battery portable DAC/amp</t>
        </is>
      </c>
      <c r="AD128" s="133" t="inlineStr">
        <is>
          <t>Ajout Headfonics</t>
        </is>
      </c>
      <c r="AE128" s="135" t="n">
        <v>112</v>
      </c>
      <c r="AF128" s="136" t="n">
        <v>293</v>
      </c>
      <c r="AG128" s="132" t="inlineStr">
        <is>
          <t>Portable neutre mais engageant grâce à une présentation nuancée et de grande échelle; davantage de relief que ne le suggère sa neutralité.</t>
        </is>
      </c>
      <c r="AH128" s="129" t="inlineStr">
        <is>
          <t>Neutre, raffinée</t>
        </is>
      </c>
      <c r="AI128" s="129" t="inlineStr">
        <is>
          <t>Bonne échelle, nuances et sensation d’espace; rendu engageant sans coloration forte</t>
        </is>
      </c>
      <c r="AJ128" s="129" t="inlineStr">
        <is>
          <t>Format transportable et tarif élevé face aux dongles</t>
        </is>
      </c>
      <c r="AK128" s="129" t="inlineStr">
        <is>
          <t>https://headfonics.com/earmen-colibri-review/</t>
        </is>
      </c>
      <c r="AL128" s="135" t="n">
        <v>4</v>
      </c>
      <c r="AM128" s="133" t="inlineStr">
        <is>
          <t>Élevée — 3+ sources, domaines variés</t>
        </is>
      </c>
      <c r="AN128" s="129" t="inlineStr">
        <is>
          <t>https://www.headfonia.com/earmen-colibri-review/</t>
        </is>
      </c>
      <c r="AO128" s="137" t="inlineStr">
        <is>
          <t>https://primeaudio.org/earmen-colibri-review/</t>
        </is>
      </c>
      <c r="AP128" s="129" t="inlineStr">
        <is>
          <t>https://ichos-reviews.com/earmen-colibri-review/</t>
        </is>
      </c>
      <c r="AQ128" s="133" t="inlineStr">
        <is>
          <t>Objectif atteint</t>
        </is>
      </c>
      <c r="AR128" s="129" t="inlineStr">
        <is>
          <t>Review éditoriale: 4</t>
        </is>
      </c>
    </row>
    <row r="129" ht="54" customHeight="1">
      <c r="A129" s="117" t="inlineStr">
        <is>
          <t>Swan Song Audio</t>
        </is>
      </c>
      <c r="B129" s="117" t="inlineStr">
        <is>
          <t>Mini Black</t>
        </is>
      </c>
      <c r="C129" s="117" t="inlineStr">
        <is>
          <t>Portable Amp/DAC (Headfonics)</t>
        </is>
      </c>
      <c r="D129" s="117" t="inlineStr">
        <is>
          <t>Musicale, légèrement chaleureuse</t>
        </is>
      </c>
      <c r="E129" s="117" t="inlineStr">
        <is>
          <t>Profondeur, image 3d, matière/timbres</t>
        </is>
      </c>
      <c r="F129" s="117" t="inlineStr">
        <is>
          <t>Très cher et volumineux pour un usage portable</t>
        </is>
      </c>
      <c r="G129" s="118" t="n">
        <v>8.800000000000001</v>
      </c>
      <c r="H129" s="119" t="n">
        <v>8.699999999999999</v>
      </c>
      <c r="I129" s="119" t="n">
        <v>9</v>
      </c>
      <c r="J129" s="119" t="n">
        <v>8.9</v>
      </c>
      <c r="K129" s="119" t="n">
        <v>8.9</v>
      </c>
      <c r="L129" s="119" t="n">
        <v>9.1</v>
      </c>
      <c r="M129" s="119" t="n">
        <v>9</v>
      </c>
      <c r="N129" s="119" t="n">
        <v>8.6</v>
      </c>
      <c r="O129" s="119" t="n">
        <v>8</v>
      </c>
      <c r="P129" s="119" t="n">
        <v>8.5</v>
      </c>
      <c r="Q129" s="158">
        <f>IF(COUNT(G129:P129)=10,ROUND((G129*'Pondérations'!$B$5+H129*'Pondérations'!$B$6+I129*'Pondérations'!$B$7+J129*'Pondérations'!$B$8+K129*'Pondérations'!$B$9+L129*'Pondérations'!$B$10+M129*'Pondérations'!$B$11+N129*'Pondérations'!$B$12+O129*'Pondérations'!$B$13+P129*'Pondérations'!$B$14)/'Pondérations'!$B$16,3),"")</f>
        <v/>
      </c>
      <c r="R129" s="159">
        <f>IF(Q129="","",1+COUNTIF($Q$7:$Q$178,"&gt;"&amp;Q129)+COUNTIF($Q$7:Q129,Q129)-1)</f>
        <v/>
      </c>
      <c r="S129" s="122" t="n"/>
      <c r="T129" s="117" t="n"/>
      <c r="U129" s="117" t="n"/>
      <c r="V129" s="123" t="inlineStr">
        <is>
          <t>Faible / provisoire</t>
        </is>
      </c>
      <c r="W129" s="117" t="inlineStr">
        <is>
          <t>Headfonics import</t>
        </is>
      </c>
      <c r="X129" s="118" t="n">
        <v>8.4</v>
      </c>
      <c r="Y129" s="123" t="inlineStr">
        <is>
          <t>Reader</t>
        </is>
      </c>
      <c r="Z129" s="124" t="n">
        <v>44650</v>
      </c>
      <c r="AA129" s="125" t="n">
        <v>6</v>
      </c>
      <c r="AB129" s="126" t="inlineStr">
        <is>
          <t>https://headfonics.com/?s=Swan+Song+Audio+Mini+Black</t>
        </is>
      </c>
      <c r="AC129" s="117" t="inlineStr">
        <is>
          <t>Portable DAC/amp</t>
        </is>
      </c>
      <c r="AD129" s="123" t="inlineStr">
        <is>
          <t>Ajout Headfonics</t>
        </is>
      </c>
      <c r="AE129" s="125" t="n">
        <v>113</v>
      </c>
      <c r="AF129" s="138" t="n">
        <v>1406</v>
      </c>
      <c r="AG129" s="122" t="inlineStr">
        <is>
          <t>DAC/amp haut de gamme volontairement moins stérile que beaucoup de concurrents, avec une approche plus musicale et expressive.</t>
        </is>
      </c>
      <c r="AH129" s="117" t="inlineStr">
        <is>
          <t>Musicale, légèrement chaleureuse</t>
        </is>
      </c>
      <c r="AI129" s="117" t="inlineStr">
        <is>
          <t>Bonne échelle et matière; priorité à la musicalité plutôt qu’à une analyse clinique</t>
        </is>
      </c>
      <c r="AJ129" s="117" t="inlineStr">
        <is>
          <t>Très cher et volumineux pour un usage portable</t>
        </is>
      </c>
      <c r="AK129" s="117" t="inlineStr">
        <is>
          <t>https://headfonics.com/swan-song-audio-mini-black-review/</t>
        </is>
      </c>
      <c r="AL129" s="125" t="n">
        <v>1</v>
      </c>
      <c r="AM129" s="123" t="inlineStr">
        <is>
          <t>Faible — 1 source</t>
        </is>
      </c>
      <c r="AN129" s="117" t="inlineStr">
        <is>
          <t>https://www.alpha-audio.net/personal-audio/2021/07/swan-song-audio-mini-black-headphone-amplifier/</t>
        </is>
      </c>
      <c r="AO129" s="117" t="n"/>
      <c r="AP129" s="117" t="n"/>
      <c r="AQ129" s="123" t="inlineStr">
        <is>
          <t>À compléter — 1 source</t>
        </is>
      </c>
      <c r="AR129" s="117" t="inlineStr">
        <is>
          <t>Review éditoriale: 1</t>
        </is>
      </c>
    </row>
    <row r="130" ht="54" customHeight="1">
      <c r="A130" s="129" t="inlineStr">
        <is>
          <t>iFi audio</t>
        </is>
      </c>
      <c r="B130" s="129" t="inlineStr">
        <is>
          <t>xDSD Gryphon</t>
        </is>
      </c>
      <c r="C130" s="129" t="inlineStr">
        <is>
          <t>Portable Amp/DAC (Headfonics)</t>
        </is>
      </c>
      <c r="D130" s="129" t="inlineStr">
        <is>
          <t>Neutre-propre avec légère douceur iFi</t>
        </is>
      </c>
      <c r="E130" s="129" t="inlineStr">
        <is>
          <t>Image 3d, layering, propreté/contrôle</t>
        </is>
      </c>
      <c r="F130" s="129" t="inlineStr">
        <is>
          <t>Moins incisif que les appareils purement analytiques</t>
        </is>
      </c>
      <c r="G130" s="130" t="n">
        <v>9.1</v>
      </c>
      <c r="H130" s="131" t="n">
        <v>8.9</v>
      </c>
      <c r="I130" s="131" t="n">
        <v>8.800000000000001</v>
      </c>
      <c r="J130" s="131" t="n">
        <v>8.800000000000001</v>
      </c>
      <c r="K130" s="131" t="n">
        <v>8.9</v>
      </c>
      <c r="L130" s="131" t="n">
        <v>8.9</v>
      </c>
      <c r="M130" s="131" t="n">
        <v>8.9</v>
      </c>
      <c r="N130" s="131" t="n">
        <v>8.699999999999999</v>
      </c>
      <c r="O130" s="131" t="n">
        <v>8</v>
      </c>
      <c r="P130" s="131" t="n">
        <v>8.4</v>
      </c>
      <c r="Q130" s="158">
        <f>IF(COUNT(G130:P130)=10,ROUND((G130*'Pondérations'!$B$5+H130*'Pondérations'!$B$6+I130*'Pondérations'!$B$7+J130*'Pondérations'!$B$8+K130*'Pondérations'!$B$9+L130*'Pondérations'!$B$10+M130*'Pondérations'!$B$11+N130*'Pondérations'!$B$12+O130*'Pondérations'!$B$13+P130*'Pondérations'!$B$14)/'Pondérations'!$B$16,3),"")</f>
        <v/>
      </c>
      <c r="R130" s="159">
        <f>IF(Q130="","",1+COUNTIF($Q$7:$Q$178,"&gt;"&amp;Q130)+COUNTIF($Q$7:Q130,Q130)-1)</f>
        <v/>
      </c>
      <c r="S130" s="132" t="n"/>
      <c r="T130" s="129" t="n"/>
      <c r="U130" s="129" t="n"/>
      <c r="V130" s="133" t="inlineStr">
        <is>
          <t>Élevée</t>
        </is>
      </c>
      <c r="W130" s="129" t="inlineStr">
        <is>
          <t>Headfonics import</t>
        </is>
      </c>
      <c r="X130" s="130" t="n">
        <v>8.6</v>
      </c>
      <c r="Y130" s="133" t="inlineStr">
        <is>
          <t>Reader</t>
        </is>
      </c>
      <c r="Z130" s="134" t="n">
        <v>44625</v>
      </c>
      <c r="AA130" s="135" t="n">
        <v>6</v>
      </c>
      <c r="AB130" s="139" t="inlineStr">
        <is>
          <t>https://headfonics.com/?s=iFi+audio+xDSD+Gryphon</t>
        </is>
      </c>
      <c r="AC130" s="129" t="inlineStr">
        <is>
          <t>Battery portable DAC/amp</t>
        </is>
      </c>
      <c r="AD130" s="133" t="inlineStr">
        <is>
          <t>Ajout Headfonics</t>
        </is>
      </c>
      <c r="AE130" s="135" t="n">
        <v>114</v>
      </c>
      <c r="AF130" s="127" t="n">
        <v>649</v>
      </c>
      <c r="AG130" s="132" t="inlineStr">
        <is>
          <t>Le xDSD Gryphon est un tout-en-un très polyvalent avec une signature globalement propre et proche du neutre, enrichissable via XBass/XSpace. Sa puissance et son Bluetooth sont des points forts.</t>
        </is>
      </c>
      <c r="AH130" s="129" t="inlineStr">
        <is>
          <t>Neutre-propre avec légère douceur iFi</t>
        </is>
      </c>
      <c r="AI130" s="129" t="inlineStr">
        <is>
          <t>Bonne échelle, dynamique et séparation; XSpace permet d'élargir la perspective sans bouleverser l'équilibre.</t>
        </is>
      </c>
      <c r="AJ130" s="129" t="inlineStr">
        <is>
          <t>Moins incisif que les appareils purement analytiques; quelques bruits de commutation avec XBass/XSpace signalés.</t>
        </is>
      </c>
      <c r="AK130" s="129" t="inlineStr">
        <is>
          <t>https://headfonics.com/ifi-audio-xdsd-gryphon-review/</t>
        </is>
      </c>
      <c r="AL130" s="135" t="n">
        <v>4</v>
      </c>
      <c r="AM130" s="133" t="inlineStr">
        <is>
          <t>Élevée — 3+ sources, domaines variés</t>
        </is>
      </c>
      <c r="AN130" s="129" t="inlineStr">
        <is>
          <t>https://www.head-fi.org/showcase/ifi-audio-xdsd-gryphon.25530/reviews</t>
        </is>
      </c>
      <c r="AO130" s="137" t="inlineStr">
        <is>
          <t>https://www.headphonesty.com/2022/03/review-ifi-xdsd-gryphon/</t>
        </is>
      </c>
      <c r="AP130" s="129" t="inlineStr">
        <is>
          <t>https://www.techradar.com/audio/hi-fi/ifi-xdsd-gryphon-review</t>
        </is>
      </c>
      <c r="AQ130" s="133" t="inlineStr">
        <is>
          <t>Objectif atteint</t>
        </is>
      </c>
      <c r="AR130" s="129" t="inlineStr">
        <is>
          <t>Head-Fi reviews: 1; Review éditoriale: 3</t>
        </is>
      </c>
    </row>
    <row r="131" ht="54" customHeight="1">
      <c r="A131" s="117" t="inlineStr">
        <is>
          <t>Khadas</t>
        </is>
      </c>
      <c r="B131" s="117" t="inlineStr">
        <is>
          <t>Tea</t>
        </is>
      </c>
      <c r="C131" s="117" t="inlineStr">
        <is>
          <t>Portable Amp/DAC (Headfonics)</t>
        </is>
      </c>
      <c r="D131" s="117" t="inlineStr">
        <is>
          <t>Énergique, légèrement chaleureuse</t>
        </is>
      </c>
      <c r="E131" s="117" t="inlineStr">
        <is>
          <t>Image 3d, profondeur, layering</t>
        </is>
      </c>
      <c r="F131" s="117" t="inlineStr">
        <is>
          <t>Puissance limitée pour charges difficiles</t>
        </is>
      </c>
      <c r="G131" s="118" t="n">
        <v>9.1</v>
      </c>
      <c r="H131" s="119" t="n">
        <v>8.300000000000001</v>
      </c>
      <c r="I131" s="119" t="n">
        <v>9.1</v>
      </c>
      <c r="J131" s="119" t="n">
        <v>9.1</v>
      </c>
      <c r="K131" s="119" t="n">
        <v>9.1</v>
      </c>
      <c r="L131" s="119" t="n">
        <v>8.6</v>
      </c>
      <c r="M131" s="119" t="n">
        <v>8.9</v>
      </c>
      <c r="N131" s="119" t="n">
        <v>7</v>
      </c>
      <c r="O131" s="119" t="n">
        <v>8</v>
      </c>
      <c r="P131" s="119" t="n">
        <v>9.1</v>
      </c>
      <c r="Q131" s="158">
        <f>IF(COUNT(G131:P131)=10,ROUND((G131*'Pondérations'!$B$5+H131*'Pondérations'!$B$6+I131*'Pondérations'!$B$7+J131*'Pondérations'!$B$8+K131*'Pondérations'!$B$9+L131*'Pondérations'!$B$10+M131*'Pondérations'!$B$11+N131*'Pondérations'!$B$12+O131*'Pondérations'!$B$13+P131*'Pondérations'!$B$14)/'Pondérations'!$B$16,3),"")</f>
        <v/>
      </c>
      <c r="R131" s="159">
        <f>IF(Q131="","",1+COUNTIF($Q$7:$Q$178,"&gt;"&amp;Q131)+COUNTIF($Q$7:Q131,Q131)-1)</f>
        <v/>
      </c>
      <c r="S131" s="122" t="n"/>
      <c r="T131" s="117" t="n"/>
      <c r="U131" s="117" t="n"/>
      <c r="V131" s="123" t="inlineStr">
        <is>
          <t>Élevée</t>
        </is>
      </c>
      <c r="W131" s="117" t="inlineStr">
        <is>
          <t>Headfonics import</t>
        </is>
      </c>
      <c r="X131" s="118" t="n">
        <v>8</v>
      </c>
      <c r="Y131" s="123" t="inlineStr">
        <is>
          <t>Reader</t>
        </is>
      </c>
      <c r="Z131" s="124" t="n">
        <v>44619</v>
      </c>
      <c r="AA131" s="125" t="n">
        <v>6</v>
      </c>
      <c r="AB131" s="126" t="inlineStr">
        <is>
          <t>https://headfonics.com/?s=Khadas+Tea</t>
        </is>
      </c>
      <c r="AC131" s="117" t="inlineStr">
        <is>
          <t>Magnetic portable DAC/amp</t>
        </is>
      </c>
      <c r="AD131" s="123" t="inlineStr">
        <is>
          <t>Ajout Headfonics</t>
        </is>
      </c>
      <c r="AE131" s="125" t="n">
        <v>115</v>
      </c>
      <c r="AF131" s="127" t="n">
        <v>117.9</v>
      </c>
      <c r="AG131" s="122" t="inlineStr">
        <is>
          <t>Signature énergique et engageante, agréable sur de longues sessions avec les IEM; il manque toutefois le dernier degré de texture et de résolution.</t>
        </is>
      </c>
      <c r="AH131" s="117" t="inlineStr">
        <is>
          <t>Énergique, légèrement chaleureuse</t>
        </is>
      </c>
      <c r="AI131" s="117" t="inlineStr">
        <is>
          <t>Bonne sensation d’espace mais résolution et texture en retrait des meilleurs</t>
        </is>
      </c>
      <c r="AJ131" s="117" t="inlineStr">
        <is>
          <t>Puissance limitée pour charges difficiles; résolution ultime perfectible</t>
        </is>
      </c>
      <c r="AK131" s="117" t="inlineStr">
        <is>
          <t>https://headfonics.com/khadas-tea-review/</t>
        </is>
      </c>
      <c r="AL131" s="125" t="n">
        <v>4</v>
      </c>
      <c r="AM131" s="123" t="inlineStr">
        <is>
          <t>Élevée — 3+ sources, domaines variés</t>
        </is>
      </c>
      <c r="AN131" s="117" t="inlineStr">
        <is>
          <t>https://www.headfonia.com/khadas-tea-review/</t>
        </is>
      </c>
      <c r="AO131" s="128" t="inlineStr">
        <is>
          <t>https://www.avforums.com/reviews/khadas-tea-portable-dac-review.20369/</t>
        </is>
      </c>
      <c r="AP131" s="117" t="inlineStr">
        <is>
          <t>https://iiwireviews.com/khadas-tea-review-dac-so-thin-you-wont-know-its-there/</t>
        </is>
      </c>
      <c r="AQ131" s="123" t="inlineStr">
        <is>
          <t>Objectif atteint</t>
        </is>
      </c>
      <c r="AR131" s="117" t="inlineStr">
        <is>
          <t>Review éditoriale: 4</t>
        </is>
      </c>
    </row>
    <row r="132" ht="54" customHeight="1">
      <c r="A132" s="129" t="inlineStr">
        <is>
          <t>HiBy</t>
        </is>
      </c>
      <c r="B132" s="129" t="inlineStr">
        <is>
          <t>FC5</t>
        </is>
      </c>
      <c r="C132" s="129" t="inlineStr">
        <is>
          <t>Portable Amp/DAC (Headfonics)</t>
        </is>
      </c>
      <c r="D132" s="129" t="inlineStr">
        <is>
          <t>Propre, équilibrée</t>
        </is>
      </c>
      <c r="E132" s="129" t="inlineStr">
        <is>
          <t>Profondeur, matière/timbres, image 3d</t>
        </is>
      </c>
      <c r="F132" s="129" t="inlineStr">
        <is>
          <t>Puissance modeste</t>
        </is>
      </c>
      <c r="G132" s="130" t="n">
        <v>9</v>
      </c>
      <c r="H132" s="131" t="n">
        <v>8.800000000000001</v>
      </c>
      <c r="I132" s="131" t="n">
        <v>8.9</v>
      </c>
      <c r="J132" s="131" t="n">
        <v>8.800000000000001</v>
      </c>
      <c r="K132" s="131" t="n">
        <v>8.9</v>
      </c>
      <c r="L132" s="131" t="n">
        <v>9.1</v>
      </c>
      <c r="M132" s="131" t="n">
        <v>8.9</v>
      </c>
      <c r="N132" s="131" t="n">
        <v>7.5</v>
      </c>
      <c r="O132" s="131" t="n">
        <v>9.5</v>
      </c>
      <c r="P132" s="131" t="n">
        <v>8.4</v>
      </c>
      <c r="Q132" s="158">
        <f>IF(COUNT(G132:P132)=10,ROUND((G132*'Pondérations'!$B$5+H132*'Pondérations'!$B$6+I132*'Pondérations'!$B$7+J132*'Pondérations'!$B$8+K132*'Pondérations'!$B$9+L132*'Pondérations'!$B$10+M132*'Pondérations'!$B$11+N132*'Pondérations'!$B$12+O132*'Pondérations'!$B$13+P132*'Pondérations'!$B$14)/'Pondérations'!$B$16,3),"")</f>
        <v/>
      </c>
      <c r="R132" s="159">
        <f>IF(Q132="","",1+COUNTIF($Q$7:$Q$178,"&gt;"&amp;Q132)+COUNTIF($Q$7:Q132,Q132)-1)</f>
        <v/>
      </c>
      <c r="S132" s="132" t="n"/>
      <c r="T132" s="129" t="n"/>
      <c r="U132" s="129" t="n"/>
      <c r="V132" s="133" t="inlineStr">
        <is>
          <t>Élevée</t>
        </is>
      </c>
      <c r="W132" s="129" t="inlineStr">
        <is>
          <t>Headfonics import</t>
        </is>
      </c>
      <c r="X132" s="130" t="n">
        <v>8</v>
      </c>
      <c r="Y132" s="133" t="inlineStr">
        <is>
          <t>Reader</t>
        </is>
      </c>
      <c r="Z132" s="134" t="n">
        <v>44612</v>
      </c>
      <c r="AA132" s="135" t="n">
        <v>6</v>
      </c>
      <c r="AB132" s="139" t="inlineStr">
        <is>
          <t>https://headfonics.com/?s=HiBy+FC5</t>
        </is>
      </c>
      <c r="AC132" s="129" t="inlineStr">
        <is>
          <t>Portable dongle DAC/amp</t>
        </is>
      </c>
      <c r="AD132" s="133" t="inlineStr">
        <is>
          <t>Ajout Headfonics</t>
        </is>
      </c>
      <c r="AE132" s="135" t="n">
        <v>116</v>
      </c>
      <c r="AF132" s="136" t="n">
        <v>140</v>
      </c>
      <c r="AG132" s="132" t="inlineStr">
        <is>
          <t>Dongle propre et soigné tonalement; moins puissant que certains concurrents mais agréable et sans agressivité particulière.</t>
        </is>
      </c>
      <c r="AH132" s="129" t="inlineStr">
        <is>
          <t>Propre, équilibrée</t>
        </is>
      </c>
      <c r="AI132" s="129" t="inlineStr">
        <is>
          <t>Bonne lisibilité générale; scène correcte, davantage axée propreté que spectacle</t>
        </is>
      </c>
      <c r="AJ132" s="129" t="inlineStr">
        <is>
          <t>Puissance modeste</t>
        </is>
      </c>
      <c r="AK132" s="129" t="inlineStr">
        <is>
          <t>https://headfonics.com/hiby-fc5-review/</t>
        </is>
      </c>
      <c r="AL132" s="135" t="n">
        <v>3</v>
      </c>
      <c r="AM132" s="133" t="inlineStr">
        <is>
          <t>Élevée — 3+ sources, domaines variés</t>
        </is>
      </c>
      <c r="AN132" s="129" t="inlineStr">
        <is>
          <t>https://www.head-fi.org/showcase/hiby-fc5.25556/reviews</t>
        </is>
      </c>
      <c r="AO132" s="137" t="inlineStr">
        <is>
          <t>https://www.head-fi.org/threads/usb-c-to-3-5mm-adapters-dac-lets-find-the-best.908839/page-459</t>
        </is>
      </c>
      <c r="AP132" s="129" t="n"/>
      <c r="AQ132" s="133" t="inlineStr">
        <is>
          <t>Objectif atteint</t>
        </is>
      </c>
      <c r="AR132" s="129" t="inlineStr">
        <is>
          <t>Head-Fi forum: 1; Head-Fi reviews: 1; Review éditoriale: 1</t>
        </is>
      </c>
    </row>
    <row r="133" ht="54" customHeight="1">
      <c r="A133" s="117" t="inlineStr">
        <is>
          <t>Chord</t>
        </is>
      </c>
      <c r="B133" s="117" t="inlineStr">
        <is>
          <t>Mojo 2</t>
        </is>
      </c>
      <c r="C133" s="117" t="inlineStr">
        <is>
          <t>Portable Amp/DAC (Headfonics)</t>
        </is>
      </c>
      <c r="D133" s="117" t="inlineStr">
        <is>
          <t>Neutre, dense, énergique</t>
        </is>
      </c>
      <c r="E133" s="117" t="inlineStr">
        <is>
          <t>Propreté/contrôle, microdétail, layering</t>
        </is>
      </c>
      <c r="F133" s="117" t="inlineStr">
        <is>
          <t>Ergonomie atypique et pas de sortie symétrique</t>
        </is>
      </c>
      <c r="G133" s="118" t="n">
        <v>9.5</v>
      </c>
      <c r="H133" s="119" t="n">
        <v>9.199999999999999</v>
      </c>
      <c r="I133" s="119" t="n">
        <v>9</v>
      </c>
      <c r="J133" s="119" t="n">
        <v>8.9</v>
      </c>
      <c r="K133" s="119" t="n">
        <v>9.1</v>
      </c>
      <c r="L133" s="119" t="n">
        <v>9.199999999999999</v>
      </c>
      <c r="M133" s="119" t="n">
        <v>9.1</v>
      </c>
      <c r="N133" s="119" t="n">
        <v>8.9</v>
      </c>
      <c r="O133" s="119" t="n">
        <v>8</v>
      </c>
      <c r="P133" s="119" t="n">
        <v>9</v>
      </c>
      <c r="Q133" s="158">
        <f>IF(COUNT(G133:P133)=10,ROUND((G133*'Pondérations'!$B$5+H133*'Pondérations'!$B$6+I133*'Pondérations'!$B$7+J133*'Pondérations'!$B$8+K133*'Pondérations'!$B$9+L133*'Pondérations'!$B$10+M133*'Pondérations'!$B$11+N133*'Pondérations'!$B$12+O133*'Pondérations'!$B$13+P133*'Pondérations'!$B$14)/'Pondérations'!$B$16,3),"")</f>
        <v/>
      </c>
      <c r="R133" s="159">
        <f>IF(Q133="","",1+COUNTIF($Q$7:$Q$178,"&gt;"&amp;Q133)+COUNTIF($Q$7:Q133,Q133)-1)</f>
        <v/>
      </c>
      <c r="S133" s="122" t="n"/>
      <c r="T133" s="117" t="n"/>
      <c r="U133" s="117" t="n"/>
      <c r="V133" s="123" t="inlineStr">
        <is>
          <t>Élevée</t>
        </is>
      </c>
      <c r="W133" s="117" t="inlineStr">
        <is>
          <t>Headfonics import</t>
        </is>
      </c>
      <c r="X133" s="118" t="n">
        <v>9.1</v>
      </c>
      <c r="Y133" s="123" t="inlineStr">
        <is>
          <t>Reader</t>
        </is>
      </c>
      <c r="Z133" s="124" t="n">
        <v>44594</v>
      </c>
      <c r="AA133" s="125" t="n">
        <v>6</v>
      </c>
      <c r="AB133" s="126" t="inlineStr">
        <is>
          <t>https://headfonics.com/?s=Chord+Mojo+2</t>
        </is>
      </c>
      <c r="AC133" s="117" t="inlineStr">
        <is>
          <t>Battery portable DAC/amp</t>
        </is>
      </c>
      <c r="AD133" s="123" t="inlineStr">
        <is>
          <t>Ajout Headfonics</t>
        </is>
      </c>
      <c r="AE133" s="125" t="n">
        <v>117</v>
      </c>
      <c r="AF133" s="138" t="n">
        <v>524</v>
      </c>
      <c r="AG133" s="122" t="inlineStr">
        <is>
          <t>Le Mojo 2 est plus précis, énergique et transparent que le premier Mojo tout en conservant une forte densité de timbres. Son DSP UHD agit sans perte évidente de dynamique.</t>
        </is>
      </c>
      <c r="AH133" s="117" t="inlineStr">
        <is>
          <t>Neutre, dense, énergique</t>
        </is>
      </c>
      <c r="AI133" s="117" t="inlineStr">
        <is>
          <t>Très forte définition des textures, basses en plusieurs plans et excellente image; sensation de relief supérieure à la moyenne des portables.</t>
        </is>
      </c>
      <c r="AJ133" s="117" t="inlineStr">
        <is>
          <t>Ergonomie atypique et pas de sortie symétrique; peut sembler plus direct/énergique que l'ancien Mojo.</t>
        </is>
      </c>
      <c r="AK133" s="117" t="inlineStr">
        <is>
          <t>https://headfonics.com/chord-electronics-mojo-2-review/</t>
        </is>
      </c>
      <c r="AL133" s="125" t="n">
        <v>4</v>
      </c>
      <c r="AM133" s="123" t="inlineStr">
        <is>
          <t>Élevée — 3+ sources, domaines variés</t>
        </is>
      </c>
      <c r="AN133" s="117" t="inlineStr">
        <is>
          <t>https://www.whathifi.com/reviews/chord-mojo-2</t>
        </is>
      </c>
      <c r="AO133" s="128" t="inlineStr">
        <is>
          <t>https://headphones.com/blogs/reviews/chord-mojo-2-review-measurements</t>
        </is>
      </c>
      <c r="AP133" s="117" t="inlineStr">
        <is>
          <t>https://www.headphonesty.com/2023/08/review-chord-mojo-2/</t>
        </is>
      </c>
      <c r="AQ133" s="123" t="inlineStr">
        <is>
          <t>Objectif atteint</t>
        </is>
      </c>
      <c r="AR133" s="117" t="inlineStr">
        <is>
          <t>Review éditoriale: 4</t>
        </is>
      </c>
    </row>
    <row r="134" ht="54" customHeight="1">
      <c r="A134" s="129" t="inlineStr">
        <is>
          <t>Cayin</t>
        </is>
      </c>
      <c r="B134" s="129" t="inlineStr">
        <is>
          <t>RU6</t>
        </is>
      </c>
      <c r="C134" s="129" t="inlineStr">
        <is>
          <t>Portable Amp/DAC (Headfonics)</t>
        </is>
      </c>
      <c r="D134" s="129" t="inlineStr">
        <is>
          <t>Chaleureuse, analogique</t>
        </is>
      </c>
      <c r="E134" s="129" t="inlineStr">
        <is>
          <t>Matière/timbres, profondeur, image 3d</t>
        </is>
      </c>
      <c r="F134" s="129" t="inlineStr">
        <is>
          <t>Sous-grave un peu doux</t>
        </is>
      </c>
      <c r="G134" s="130" t="n">
        <v>8.9</v>
      </c>
      <c r="H134" s="131" t="n">
        <v>8.800000000000001</v>
      </c>
      <c r="I134" s="131" t="n">
        <v>9.1</v>
      </c>
      <c r="J134" s="131" t="n">
        <v>9</v>
      </c>
      <c r="K134" s="131" t="n">
        <v>9</v>
      </c>
      <c r="L134" s="131" t="n">
        <v>9.699999999999999</v>
      </c>
      <c r="M134" s="131" t="n">
        <v>9</v>
      </c>
      <c r="N134" s="131" t="n">
        <v>9.1</v>
      </c>
      <c r="O134" s="131" t="n">
        <v>8</v>
      </c>
      <c r="P134" s="131" t="n">
        <v>8.699999999999999</v>
      </c>
      <c r="Q134" s="158">
        <f>IF(COUNT(G134:P134)=10,ROUND((G134*'Pondérations'!$B$5+H134*'Pondérations'!$B$6+I134*'Pondérations'!$B$7+J134*'Pondérations'!$B$8+K134*'Pondérations'!$B$9+L134*'Pondérations'!$B$10+M134*'Pondérations'!$B$11+N134*'Pondérations'!$B$12+O134*'Pondérations'!$B$13+P134*'Pondérations'!$B$14)/'Pondérations'!$B$16,3),"")</f>
        <v/>
      </c>
      <c r="R134" s="159">
        <f>IF(Q134="","",1+COUNTIF($Q$7:$Q$178,"&gt;"&amp;Q134)+COUNTIF($Q$7:Q134,Q134)-1)</f>
        <v/>
      </c>
      <c r="S134" s="132" t="n"/>
      <c r="T134" s="129" t="n"/>
      <c r="U134" s="129" t="n"/>
      <c r="V134" s="133" t="inlineStr">
        <is>
          <t>Élevée</t>
        </is>
      </c>
      <c r="W134" s="129" t="inlineStr">
        <is>
          <t>Headfonics import</t>
        </is>
      </c>
      <c r="X134" s="130" t="n">
        <v>8.5</v>
      </c>
      <c r="Y134" s="133" t="inlineStr">
        <is>
          <t>Reader</t>
        </is>
      </c>
      <c r="Z134" s="134" t="n">
        <v>44577</v>
      </c>
      <c r="AA134" s="135" t="n">
        <v>6</v>
      </c>
      <c r="AB134" s="139" t="inlineStr">
        <is>
          <t>https://headfonics.com/?s=Cayin+RU6</t>
        </is>
      </c>
      <c r="AC134" s="129" t="inlineStr">
        <is>
          <t>Discrete R2R dongle DAC/amp</t>
        </is>
      </c>
      <c r="AD134" s="133" t="inlineStr">
        <is>
          <t>Ajout Headfonics</t>
        </is>
      </c>
      <c r="AE134" s="135" t="n">
        <v>118</v>
      </c>
      <c r="AF134" s="136" t="n">
        <v>219</v>
      </c>
      <c r="AG134" s="132" t="inlineStr">
        <is>
          <t>R2R au caractère analogique, doux et presque tubé; met la fluidité et la musicalité avant la netteté chirurgicale.</t>
        </is>
      </c>
      <c r="AH134" s="129" t="inlineStr">
        <is>
          <t>Chaleureuse, analogique</t>
        </is>
      </c>
      <c r="AI134" s="129" t="inlineStr">
        <is>
          <t>Espace naturel et cohérent; textures séduisantes mais contours moins tranchants</t>
        </is>
      </c>
      <c r="AJ134" s="129" t="inlineStr">
        <is>
          <t>Sous-grave un peu doux; moins incisif que les meilleurs delta-sigma</t>
        </is>
      </c>
      <c r="AK134" s="129" t="inlineStr">
        <is>
          <t>https://headfonics.com/cayin-ru6-review/</t>
        </is>
      </c>
      <c r="AL134" s="135" t="n">
        <v>4</v>
      </c>
      <c r="AM134" s="133" t="inlineStr">
        <is>
          <t>Élevée — 3+ sources, domaines variés</t>
        </is>
      </c>
      <c r="AN134" s="129" t="inlineStr">
        <is>
          <t>https://www.head-fi.org/showcase/cayin-ru6-discrete-r-2r-usb-c-dac-amp.25607/reviews</t>
        </is>
      </c>
      <c r="AO134" s="137" t="inlineStr">
        <is>
          <t>https://www.headfonia.com/cayin-ru6-review/</t>
        </is>
      </c>
      <c r="AP134" s="129" t="inlineStr">
        <is>
          <t>https://primeaudio.org/cayin-ru6-review-trailblazing-in-retro/</t>
        </is>
      </c>
      <c r="AQ134" s="133" t="inlineStr">
        <is>
          <t>Objectif atteint</t>
        </is>
      </c>
      <c r="AR134" s="129" t="inlineStr">
        <is>
          <t>Head-Fi reviews: 1; Review éditoriale: 3</t>
        </is>
      </c>
    </row>
    <row r="135" ht="54" customHeight="1">
      <c r="A135" s="117" t="inlineStr">
        <is>
          <t>iBasso</t>
        </is>
      </c>
      <c r="B135" s="117" t="inlineStr">
        <is>
          <t>DC05</t>
        </is>
      </c>
      <c r="C135" s="117" t="inlineStr">
        <is>
          <t>Portable Amp/DAC (Headfonics)</t>
        </is>
      </c>
      <c r="D135" s="117" t="inlineStr">
        <is>
          <t>Neutre, propre</t>
        </is>
      </c>
      <c r="E135" s="117" t="inlineStr">
        <is>
          <t>Image 3d, layering, profondeur</t>
        </is>
      </c>
      <c r="F135" s="117" t="inlineStr">
        <is>
          <t>Scène limitée</t>
        </is>
      </c>
      <c r="G135" s="118" t="n">
        <v>9</v>
      </c>
      <c r="H135" s="119" t="n">
        <v>8.800000000000001</v>
      </c>
      <c r="I135" s="119" t="n">
        <v>8.800000000000001</v>
      </c>
      <c r="J135" s="119" t="n">
        <v>8.800000000000001</v>
      </c>
      <c r="K135" s="119" t="n">
        <v>8.9</v>
      </c>
      <c r="L135" s="119" t="n">
        <v>8.9</v>
      </c>
      <c r="M135" s="119" t="n">
        <v>8.9</v>
      </c>
      <c r="N135" s="119" t="n">
        <v>8.699999999999999</v>
      </c>
      <c r="O135" s="119" t="n">
        <v>9.5</v>
      </c>
      <c r="P135" s="119" t="n">
        <v>8.4</v>
      </c>
      <c r="Q135" s="158">
        <f>IF(COUNT(G135:P135)=10,ROUND((G135*'Pondérations'!$B$5+H135*'Pondérations'!$B$6+I135*'Pondérations'!$B$7+J135*'Pondérations'!$B$8+K135*'Pondérations'!$B$9+L135*'Pondérations'!$B$10+M135*'Pondérations'!$B$11+N135*'Pondérations'!$B$12+O135*'Pondérations'!$B$13+P135*'Pondérations'!$B$14)/'Pondérations'!$B$16,3),"")</f>
        <v/>
      </c>
      <c r="R135" s="159">
        <f>IF(Q135="","",1+COUNTIF($Q$7:$Q$178,"&gt;"&amp;Q135)+COUNTIF($Q$7:Q135,Q135)-1)</f>
        <v/>
      </c>
      <c r="S135" s="122" t="n"/>
      <c r="T135" s="117" t="n"/>
      <c r="U135" s="117" t="n"/>
      <c r="V135" s="123" t="inlineStr">
        <is>
          <t>Élevée</t>
        </is>
      </c>
      <c r="W135" s="117" t="inlineStr">
        <is>
          <t>Headfonics import</t>
        </is>
      </c>
      <c r="X135" s="118" t="n">
        <v>8.199999999999999</v>
      </c>
      <c r="Y135" s="123" t="inlineStr">
        <is>
          <t>Reader</t>
        </is>
      </c>
      <c r="Z135" s="124" t="n">
        <v>44573</v>
      </c>
      <c r="AA135" s="125" t="n">
        <v>6</v>
      </c>
      <c r="AB135" s="126" t="inlineStr">
        <is>
          <t>https://headfonics.com/?s=iBasso+DC05</t>
        </is>
      </c>
      <c r="AC135" s="117" t="inlineStr">
        <is>
          <t>Portable dongle DAC/amp</t>
        </is>
      </c>
      <c r="AD135" s="123" t="inlineStr">
        <is>
          <t>Ajout Headfonics</t>
        </is>
      </c>
      <c r="AE135" s="125" t="n">
        <v>119</v>
      </c>
      <c r="AF135" s="138" t="n">
        <v>61</v>
      </c>
      <c r="AG135" s="122" t="inlineStr">
        <is>
          <t>Dongle 3,5 mm propre, puissant pour sa taille et très peu bruyant, avec bonne extension aux extrêmes mais scène assez intime.</t>
        </is>
      </c>
      <c r="AH135" s="117" t="inlineStr">
        <is>
          <t>Neutre, propre</t>
        </is>
      </c>
      <c r="AI135" s="117" t="inlineStr">
        <is>
          <t>Bonne clarté et extension, mais scène rapprochée/intime</t>
        </is>
      </c>
      <c r="AJ135" s="117" t="inlineStr">
        <is>
          <t>Scène limitée; sortie uniquement 3,5 mm</t>
        </is>
      </c>
      <c r="AK135" s="117" t="inlineStr">
        <is>
          <t>https://headfonics.com/ibasso-dc05-review/</t>
        </is>
      </c>
      <c r="AL135" s="125" t="n">
        <v>3</v>
      </c>
      <c r="AM135" s="123" t="inlineStr">
        <is>
          <t>Élevée — 3+ sources, domaines variés</t>
        </is>
      </c>
      <c r="AN135" s="117" t="inlineStr">
        <is>
          <t>https://www.head-fi.org/showcase/ibasso-dc05.25582/reviews</t>
        </is>
      </c>
      <c r="AO135" s="128" t="inlineStr">
        <is>
          <t>https://www.headfonia.com/ibasso-dc05-review/</t>
        </is>
      </c>
      <c r="AP135" s="117" t="n"/>
      <c r="AQ135" s="123" t="inlineStr">
        <is>
          <t>Objectif atteint</t>
        </is>
      </c>
      <c r="AR135" s="117" t="inlineStr">
        <is>
          <t>Head-Fi reviews: 1; Review éditoriale: 2</t>
        </is>
      </c>
    </row>
    <row r="136" ht="54" customHeight="1">
      <c r="A136" s="129" t="inlineStr">
        <is>
          <t>FiiO</t>
        </is>
      </c>
      <c r="B136" s="129" t="inlineStr">
        <is>
          <t>KA3</t>
        </is>
      </c>
      <c r="C136" s="129" t="inlineStr">
        <is>
          <t>Portable Amp/DAC (Headfonics)</t>
        </is>
      </c>
      <c r="D136" s="129" t="inlineStr">
        <is>
          <t>Neutre, propre, légèrement vive</t>
        </is>
      </c>
      <c r="E136" s="129" t="inlineStr">
        <is>
          <t>Propreté/contrôle, microdétail, layering</t>
        </is>
      </c>
      <c r="F136" s="129" t="inlineStr">
        <is>
          <t>Peut paraître un peu sec/ESS</t>
        </is>
      </c>
      <c r="G136" s="130" t="n">
        <v>9.5</v>
      </c>
      <c r="H136" s="131" t="n">
        <v>9</v>
      </c>
      <c r="I136" s="131" t="n">
        <v>8.6</v>
      </c>
      <c r="J136" s="131" t="n">
        <v>8.9</v>
      </c>
      <c r="K136" s="131" t="n">
        <v>9</v>
      </c>
      <c r="L136" s="131" t="n">
        <v>8.6</v>
      </c>
      <c r="M136" s="131" t="n">
        <v>8.9</v>
      </c>
      <c r="N136" s="131" t="n">
        <v>8.699999999999999</v>
      </c>
      <c r="O136" s="131" t="n">
        <v>9.5</v>
      </c>
      <c r="P136" s="131" t="n">
        <v>8.6</v>
      </c>
      <c r="Q136" s="158">
        <f>IF(COUNT(G136:P136)=10,ROUND((G136*'Pondérations'!$B$5+H136*'Pondérations'!$B$6+I136*'Pondérations'!$B$7+J136*'Pondérations'!$B$8+K136*'Pondérations'!$B$9+L136*'Pondérations'!$B$10+M136*'Pondérations'!$B$11+N136*'Pondérations'!$B$12+O136*'Pondérations'!$B$13+P136*'Pondérations'!$B$14)/'Pondérations'!$B$16,3),"")</f>
        <v/>
      </c>
      <c r="R136" s="159">
        <f>IF(Q136="","",1+COUNTIF($Q$7:$Q$178,"&gt;"&amp;Q136)+COUNTIF($Q$7:Q136,Q136)-1)</f>
        <v/>
      </c>
      <c r="S136" s="132" t="n"/>
      <c r="T136" s="129" t="n"/>
      <c r="U136" s="129" t="n"/>
      <c r="V136" s="133" t="inlineStr">
        <is>
          <t>Élevée</t>
        </is>
      </c>
      <c r="W136" s="129" t="inlineStr">
        <is>
          <t>Headfonics import</t>
        </is>
      </c>
      <c r="X136" s="130" t="n"/>
      <c r="Y136" s="133" t="inlineStr">
        <is>
          <t>Reader (non relevé)</t>
        </is>
      </c>
      <c r="Z136" s="134" t="n">
        <v>44552</v>
      </c>
      <c r="AA136" s="135" t="n">
        <v>6</v>
      </c>
      <c r="AB136" s="139" t="inlineStr">
        <is>
          <t>https://headfonics.com/?s=FiiO+KA3</t>
        </is>
      </c>
      <c r="AC136" s="129" t="inlineStr">
        <is>
          <t>Portable dongle DAC/amp</t>
        </is>
      </c>
      <c r="AD136" s="133" t="inlineStr">
        <is>
          <t>Ajout Headfonics</t>
        </is>
      </c>
      <c r="AE136" s="135" t="n">
        <v>120</v>
      </c>
      <c r="AF136" s="136" t="n">
        <v>79</v>
      </c>
      <c r="AG136" s="132" t="inlineStr">
        <is>
          <t>Le KA3 est un dongle puissant pour son prix, globalement neutre et propre, avec une restitution énergique et suffisamment transparente pour la majorité des casques faciles.</t>
        </is>
      </c>
      <c r="AH136" s="129" t="inlineStr">
        <is>
          <t>Neutre, propre, légèrement vive</t>
        </is>
      </c>
      <c r="AI136" s="129" t="inlineStr">
        <is>
          <t>Bonne séparation et définition pour le tarif; scène correcte mais pas spécialement profonde ou holographique.</t>
        </is>
      </c>
      <c r="AJ136" s="129" t="inlineStr">
        <is>
          <t>Peut paraître un peu sec/ESS; fonctions limitées face aux modèles FiiO plus récents.</t>
        </is>
      </c>
      <c r="AK136" s="129" t="inlineStr">
        <is>
          <t>https://headfonics.com/fiio-ka3-review/</t>
        </is>
      </c>
      <c r="AL136" s="135" t="n">
        <v>3</v>
      </c>
      <c r="AM136" s="133" t="inlineStr">
        <is>
          <t>Élevée — 3+ sources, domaines variés</t>
        </is>
      </c>
      <c r="AN136" s="129" t="inlineStr">
        <is>
          <t>https://primeaudio.org/fiio-ka3-usb-dac-review/</t>
        </is>
      </c>
      <c r="AO136" s="137" t="inlineStr">
        <is>
          <t>https://www.headfonia.com/fiio-ka3-review/</t>
        </is>
      </c>
      <c r="AP136" s="129" t="n"/>
      <c r="AQ136" s="133" t="inlineStr">
        <is>
          <t>Objectif atteint</t>
        </is>
      </c>
      <c r="AR136" s="129" t="inlineStr">
        <is>
          <t>Review éditoriale: 3</t>
        </is>
      </c>
    </row>
    <row r="137" ht="54" customHeight="1">
      <c r="A137" s="117" t="inlineStr">
        <is>
          <t>iFi audio</t>
        </is>
      </c>
      <c r="B137" s="117" t="inlineStr">
        <is>
          <t>hip-dac2</t>
        </is>
      </c>
      <c r="C137" s="117" t="inlineStr">
        <is>
          <t>Portable Amp/DAC (Headfonics)</t>
        </is>
      </c>
      <c r="D137" s="117" t="inlineStr">
        <is>
          <t>Neutre-chaude, plus équilibrée que le hip-dac original</t>
        </is>
      </c>
      <c r="E137" s="117" t="inlineStr">
        <is>
          <t>Microdétail, layering, profondeur</t>
        </is>
      </c>
      <c r="F137" s="117" t="inlineStr">
        <is>
          <t>Reste plus coloré qu'une source neutre</t>
        </is>
      </c>
      <c r="G137" s="118" t="n">
        <v>9.199999999999999</v>
      </c>
      <c r="H137" s="119" t="n">
        <v>9.199999999999999</v>
      </c>
      <c r="I137" s="119" t="n">
        <v>9</v>
      </c>
      <c r="J137" s="119" t="n">
        <v>8.9</v>
      </c>
      <c r="K137" s="119" t="n">
        <v>9.1</v>
      </c>
      <c r="L137" s="119" t="n">
        <v>9.1</v>
      </c>
      <c r="M137" s="119" t="n">
        <v>9</v>
      </c>
      <c r="N137" s="119" t="n">
        <v>9.1</v>
      </c>
      <c r="O137" s="119" t="n">
        <v>9.5</v>
      </c>
      <c r="P137" s="119" t="n">
        <v>8.9</v>
      </c>
      <c r="Q137" s="158">
        <f>IF(COUNT(G137:P137)=10,ROUND((G137*'Pondérations'!$B$5+H137*'Pondérations'!$B$6+I137*'Pondérations'!$B$7+J137*'Pondérations'!$B$8+K137*'Pondérations'!$B$9+L137*'Pondérations'!$B$10+M137*'Pondérations'!$B$11+N137*'Pondérations'!$B$12+O137*'Pondérations'!$B$13+P137*'Pondérations'!$B$14)/'Pondérations'!$B$16,3),"")</f>
        <v/>
      </c>
      <c r="R137" s="159">
        <f>IF(Q137="","",1+COUNTIF($Q$7:$Q$178,"&gt;"&amp;Q137)+COUNTIF($Q$7:Q137,Q137)-1)</f>
        <v/>
      </c>
      <c r="S137" s="122" t="n"/>
      <c r="T137" s="117" t="n"/>
      <c r="U137" s="117" t="n"/>
      <c r="V137" s="123" t="inlineStr">
        <is>
          <t>Élevée</t>
        </is>
      </c>
      <c r="W137" s="117" t="inlineStr">
        <is>
          <t>Headfonics import</t>
        </is>
      </c>
      <c r="X137" s="118" t="n">
        <v>7.7</v>
      </c>
      <c r="Y137" s="123" t="inlineStr">
        <is>
          <t>Reader</t>
        </is>
      </c>
      <c r="Z137" s="124" t="n">
        <v>44552</v>
      </c>
      <c r="AA137" s="125" t="n">
        <v>7</v>
      </c>
      <c r="AB137" s="126" t="inlineStr">
        <is>
          <t>https://headfonics.com/?s=iFi+audio+hip-dac2</t>
        </is>
      </c>
      <c r="AC137" s="117" t="inlineStr">
        <is>
          <t>Battery portable DAC/amp</t>
        </is>
      </c>
      <c r="AD137" s="123" t="inlineStr">
        <is>
          <t>Ajout Headfonics</t>
        </is>
      </c>
      <c r="AE137" s="125" t="n">
        <v>121</v>
      </c>
      <c r="AF137" s="138" t="n">
        <v>166</v>
      </c>
      <c r="AG137" s="122" t="inlineStr">
        <is>
          <t>Le hip-dac2 est moins frontal que son prédécesseur et offre un rendu plus neutre, mieux défini et plus microdétaillé, tout en gardant la couleur chaleureuse iFi.</t>
        </is>
      </c>
      <c r="AH137" s="117" t="inlineStr">
        <is>
          <t>Neutre-chaude, plus équilibrée que le hip-dac original</t>
        </is>
      </c>
      <c r="AI137" s="117" t="inlineStr">
        <is>
          <t>Scène plus grande, large et haute, meilleure séparation et davantage d'espace entre les éléments.</t>
        </is>
      </c>
      <c r="AJ137" s="117" t="inlineStr">
        <is>
          <t>Reste plus coloré qu'une source neutre; format sur batterie moins pratique qu'un simple dongle.</t>
        </is>
      </c>
      <c r="AK137" s="117" t="inlineStr">
        <is>
          <t>https://headfonics.com/ifi-audio-hip-dac2-review/2/</t>
        </is>
      </c>
      <c r="AL137" s="125" t="n">
        <v>4</v>
      </c>
      <c r="AM137" s="123" t="inlineStr">
        <is>
          <t>Élevée — 3+ sources, domaines variés</t>
        </is>
      </c>
      <c r="AN137" s="117" t="inlineStr">
        <is>
          <t>https://www.head-fi.org/showcase/ifi-audio-hip-dac2-portable-usb-dac-amp-combo.25516/reviews</t>
        </is>
      </c>
      <c r="AO137" s="128" t="inlineStr">
        <is>
          <t>https://www.headphonesty.com/2022/01/review-ifi-hip-dac2/</t>
        </is>
      </c>
      <c r="AP137" s="117" t="inlineStr">
        <is>
          <t>https://www.ecoustics.com/reviews/hip-dac2/</t>
        </is>
      </c>
      <c r="AQ137" s="123" t="inlineStr">
        <is>
          <t>Objectif atteint</t>
        </is>
      </c>
      <c r="AR137" s="117" t="inlineStr">
        <is>
          <t>Head-Fi reviews: 1; Review éditoriale: 3</t>
        </is>
      </c>
    </row>
    <row r="138" ht="54" customHeight="1">
      <c r="A138" s="129" t="inlineStr">
        <is>
          <t>Hidizs</t>
        </is>
      </c>
      <c r="B138" s="129" t="inlineStr">
        <is>
          <t>S9 Pro Copper</t>
        </is>
      </c>
      <c r="C138" s="129" t="inlineStr">
        <is>
          <t>Portable Amp/DAC (Headfonics)</t>
        </is>
      </c>
      <c r="D138" s="129" t="inlineStr">
        <is>
          <t>Neutre-énergique, légèrement incisive</t>
        </is>
      </c>
      <c r="E138" s="129" t="inlineStr">
        <is>
          <t>Microdétail, propreté/contrôle, layering</t>
        </is>
      </c>
      <c r="F138" s="129" t="inlineStr">
        <is>
          <t>Peut produire du glare dans l'aigu et un timbre un peu artificiel avec des transducteurs déjà neutres/brillants</t>
        </is>
      </c>
      <c r="G138" s="130" t="n">
        <v>9.199999999999999</v>
      </c>
      <c r="H138" s="131" t="n">
        <v>9</v>
      </c>
      <c r="I138" s="131" t="n">
        <v>8.699999999999999</v>
      </c>
      <c r="J138" s="131" t="n">
        <v>8.6</v>
      </c>
      <c r="K138" s="131" t="n">
        <v>8.9</v>
      </c>
      <c r="L138" s="131" t="n">
        <v>8.6</v>
      </c>
      <c r="M138" s="131" t="n">
        <v>8.9</v>
      </c>
      <c r="N138" s="131" t="n">
        <v>8.300000000000001</v>
      </c>
      <c r="O138" s="131" t="n">
        <v>8</v>
      </c>
      <c r="P138" s="131" t="n">
        <v>8.300000000000001</v>
      </c>
      <c r="Q138" s="158">
        <f>IF(COUNT(G138:P138)=10,ROUND((G138*'Pondérations'!$B$5+H138*'Pondérations'!$B$6+I138*'Pondérations'!$B$7+J138*'Pondérations'!$B$8+K138*'Pondérations'!$B$9+L138*'Pondérations'!$B$10+M138*'Pondérations'!$B$11+N138*'Pondérations'!$B$12+O138*'Pondérations'!$B$13+P138*'Pondérations'!$B$14)/'Pondérations'!$B$16,3),"")</f>
        <v/>
      </c>
      <c r="R138" s="159">
        <f>IF(Q138="","",1+COUNTIF($Q$7:$Q$178,"&gt;"&amp;Q138)+COUNTIF($Q$7:Q138,Q138)-1)</f>
        <v/>
      </c>
      <c r="S138" s="132" t="n"/>
      <c r="T138" s="129" t="n"/>
      <c r="U138" s="129" t="n"/>
      <c r="V138" s="133" t="inlineStr">
        <is>
          <t>Élevée</t>
        </is>
      </c>
      <c r="W138" s="129" t="inlineStr">
        <is>
          <t>Headfonics import</t>
        </is>
      </c>
      <c r="X138" s="130" t="n">
        <v>8.1</v>
      </c>
      <c r="Y138" s="133" t="inlineStr">
        <is>
          <t>Reader</t>
        </is>
      </c>
      <c r="Z138" s="134" t="n">
        <v>44538</v>
      </c>
      <c r="AA138" s="135" t="n">
        <v>7</v>
      </c>
      <c r="AB138" s="139" t="inlineStr">
        <is>
          <t>https://headfonics.com/?s=Hidizs+S9+Pro+Copper</t>
        </is>
      </c>
      <c r="AC138" s="129" t="inlineStr">
        <is>
          <t>Portable dongle DAC/amp</t>
        </is>
      </c>
      <c r="AD138" s="133" t="inlineStr">
        <is>
          <t>Ajout Headfonics</t>
        </is>
      </c>
      <c r="AE138" s="135" t="n">
        <v>122</v>
      </c>
      <c r="AF138" s="136" t="n">
        <v>131</v>
      </c>
      <c r="AG138" s="132" t="inlineStr">
        <is>
          <t>Le S9 Pro Copper sonne comme le S9 Pro standard: neutre mais énergique, avec un mid-bass et des hauts-médiums un peu mis en avant.</t>
        </is>
      </c>
      <c r="AH138" s="129" t="inlineStr">
        <is>
          <t>Neutre-énergique, légèrement incisive</t>
        </is>
      </c>
      <c r="AI138" s="129" t="inlineStr">
        <is>
          <t>Propre, rapide et détaillé, avec bonne séparation; approche davantage clinique que volumique.</t>
        </is>
      </c>
      <c r="AJ138" s="129" t="inlineStr">
        <is>
          <t>Peut produire du glare dans l'aigu et un timbre un peu artificiel avec des transducteurs déjà neutres/brillants.</t>
        </is>
      </c>
      <c r="AK138" s="129" t="inlineStr">
        <is>
          <t>https://headfonics.com/hidizs-s9-pro-copper-limited-edition-review/</t>
        </is>
      </c>
      <c r="AL138" s="135" t="n">
        <v>3</v>
      </c>
      <c r="AM138" s="133" t="inlineStr">
        <is>
          <t>Élevée — 3+ sources, domaines variés</t>
        </is>
      </c>
      <c r="AN138" s="129" t="inlineStr">
        <is>
          <t>https://www.head-fi.org/showcase/hidizs-s9-pro-red-copper-limited-edition-balanced-and-single-ended-mini-hifi-dac-amp.25479/reviews</t>
        </is>
      </c>
      <c r="AO138" s="137" t="inlineStr">
        <is>
          <t>https://www.hidizs.net/blogs/s9-pro-reviews/hidisz-s9-pro-red-copper-limited-edition-balanced-and-single-ended-mini-hifi-dac-amp-heavy-metal</t>
        </is>
      </c>
      <c r="AP138" s="129" t="inlineStr">
        <is>
          <t>https://www.headfonia.com/hidizs-s9-pro-review/</t>
        </is>
      </c>
      <c r="AQ138" s="133" t="inlineStr">
        <is>
          <t>Objectif atteint</t>
        </is>
      </c>
      <c r="AR138" s="129" t="inlineStr">
        <is>
          <t>Head-Fi reviews: 1; Review éditoriale: 2</t>
        </is>
      </c>
    </row>
    <row r="139" ht="54" customHeight="1">
      <c r="A139" s="117" t="inlineStr">
        <is>
          <t>Periodic Audio</t>
        </is>
      </c>
      <c r="B139" s="117" t="inlineStr">
        <is>
          <t>Rhodium DAC</t>
        </is>
      </c>
      <c r="C139" s="117" t="inlineStr">
        <is>
          <t>Portable Amp/DAC (Headfonics)</t>
        </is>
      </c>
      <c r="D139" s="117" t="inlineStr">
        <is>
          <t>Neutre à légèrement douce</t>
        </is>
      </c>
      <c r="E139" s="117" t="inlineStr">
        <is>
          <t>Microdétail, propreté/contrôle, image 3d</t>
        </is>
      </c>
      <c r="F139" s="117" t="inlineStr">
        <is>
          <t>Très faible puissance</t>
        </is>
      </c>
      <c r="G139" s="118" t="n">
        <v>9.199999999999999</v>
      </c>
      <c r="H139" s="119" t="n">
        <v>9</v>
      </c>
      <c r="I139" s="119" t="n">
        <v>8.800000000000001</v>
      </c>
      <c r="J139" s="119" t="n">
        <v>8.800000000000001</v>
      </c>
      <c r="K139" s="119" t="n">
        <v>8.9</v>
      </c>
      <c r="L139" s="119" t="n">
        <v>8.9</v>
      </c>
      <c r="M139" s="119" t="n">
        <v>9</v>
      </c>
      <c r="N139" s="119" t="n">
        <v>6</v>
      </c>
      <c r="O139" s="119" t="n">
        <v>9.5</v>
      </c>
      <c r="P139" s="119" t="n">
        <v>8.699999999999999</v>
      </c>
      <c r="Q139" s="158">
        <f>IF(COUNT(G139:P139)=10,ROUND((G139*'Pondérations'!$B$5+H139*'Pondérations'!$B$6+I139*'Pondérations'!$B$7+J139*'Pondérations'!$B$8+K139*'Pondérations'!$B$9+L139*'Pondérations'!$B$10+M139*'Pondérations'!$B$11+N139*'Pondérations'!$B$12+O139*'Pondérations'!$B$13+P139*'Pondérations'!$B$14)/'Pondérations'!$B$16,3),"")</f>
        <v/>
      </c>
      <c r="R139" s="159">
        <f>IF(Q139="","",1+COUNTIF($Q$7:$Q$178,"&gt;"&amp;Q139)+COUNTIF($Q$7:Q139,Q139)-1)</f>
        <v/>
      </c>
      <c r="S139" s="122" t="n"/>
      <c r="T139" s="117" t="n"/>
      <c r="U139" s="117" t="n"/>
      <c r="V139" s="123" t="inlineStr">
        <is>
          <t>Élevée</t>
        </is>
      </c>
      <c r="W139" s="117" t="inlineStr">
        <is>
          <t>Headfonics import</t>
        </is>
      </c>
      <c r="X139" s="118" t="n">
        <v>7.4</v>
      </c>
      <c r="Y139" s="123" t="inlineStr">
        <is>
          <t>Reader</t>
        </is>
      </c>
      <c r="Z139" s="124" t="n">
        <v>44517</v>
      </c>
      <c r="AA139" s="125" t="n">
        <v>7</v>
      </c>
      <c r="AB139" s="126" t="inlineStr">
        <is>
          <t>https://headfonics.com/?s=Periodic+Audio+Rhodium+DAC</t>
        </is>
      </c>
      <c r="AC139" s="117" t="inlineStr">
        <is>
          <t>Portable dongle DAC</t>
        </is>
      </c>
      <c r="AD139" s="123" t="inlineStr">
        <is>
          <t>Ajout Headfonics</t>
        </is>
      </c>
      <c r="AE139" s="125" t="n">
        <v>123</v>
      </c>
      <c r="AF139" s="138" t="n">
        <v>43</v>
      </c>
      <c r="AG139" s="122" t="inlineStr">
        <is>
          <t>Micro-dongle très discret et facile à utiliser, conçu surtout pour améliorer simplement la sortie d’un téléphone ou ordinateur.</t>
        </is>
      </c>
      <c r="AH139" s="117" t="inlineStr">
        <is>
          <t>Neutre à légèrement douce</t>
        </is>
      </c>
      <c r="AI139" s="117" t="inlineStr">
        <is>
          <t>Présentation propre mais limitée en échelle, puissance et résolution par son format</t>
        </is>
      </c>
      <c r="AJ139" s="117" t="inlineStr">
        <is>
          <t>Très faible puissance; ambitions audiophiles limitées</t>
        </is>
      </c>
      <c r="AK139" s="117" t="inlineStr">
        <is>
          <t>https://headfonics.com/periodic-audio-rhodium-dac-review/</t>
        </is>
      </c>
      <c r="AL139" s="125" t="n">
        <v>4</v>
      </c>
      <c r="AM139" s="123" t="inlineStr">
        <is>
          <t>Élevée — 3+ sources, domaines variés</t>
        </is>
      </c>
      <c r="AN139" s="117" t="inlineStr">
        <is>
          <t>https://www.head-fi.org/showcase/periodic-audio-rh.24947/reviews</t>
        </is>
      </c>
      <c r="AO139" s="128" t="inlineStr">
        <is>
          <t>https://audiobacon.com/periodic-audio-rhodium-dac-review/</t>
        </is>
      </c>
      <c r="AP139" s="117" t="inlineStr">
        <is>
          <t>https://ichos-reviews.com/periodic-audio-rhodium/</t>
        </is>
      </c>
      <c r="AQ139" s="123" t="inlineStr">
        <is>
          <t>Objectif atteint</t>
        </is>
      </c>
      <c r="AR139" s="117" t="inlineStr">
        <is>
          <t>Head-Fi reviews: 1; Review éditoriale: 3</t>
        </is>
      </c>
    </row>
    <row r="140" ht="54" customHeight="1">
      <c r="A140" s="129" t="inlineStr">
        <is>
          <t>Hidizs</t>
        </is>
      </c>
      <c r="B140" s="129" t="inlineStr">
        <is>
          <t>DH80s</t>
        </is>
      </c>
      <c r="C140" s="129" t="inlineStr">
        <is>
          <t>Portable Amp/DAC (Headfonics)</t>
        </is>
      </c>
      <c r="D140" s="129" t="inlineStr">
        <is>
          <t>Équilibrée, légèrement chaleureuse</t>
        </is>
      </c>
      <c r="E140" s="129" t="inlineStr">
        <is>
          <t>Matière/timbres, image 3d, profondeur</t>
        </is>
      </c>
      <c r="F140" s="129" t="inlineStr">
        <is>
          <t>Résolution et raffinement limités face aux modèles haut de gamme</t>
        </is>
      </c>
      <c r="G140" s="130" t="n">
        <v>8.9</v>
      </c>
      <c r="H140" s="131" t="n">
        <v>8.800000000000001</v>
      </c>
      <c r="I140" s="131" t="n">
        <v>9</v>
      </c>
      <c r="J140" s="131" t="n">
        <v>9</v>
      </c>
      <c r="K140" s="131" t="n">
        <v>9</v>
      </c>
      <c r="L140" s="131" t="n">
        <v>9.300000000000001</v>
      </c>
      <c r="M140" s="131" t="n">
        <v>8.800000000000001</v>
      </c>
      <c r="N140" s="131" t="n">
        <v>9</v>
      </c>
      <c r="O140" s="131" t="n">
        <v>8</v>
      </c>
      <c r="P140" s="131" t="n">
        <v>8.6</v>
      </c>
      <c r="Q140" s="158">
        <f>IF(COUNT(G140:P140)=10,ROUND((G140*'Pondérations'!$B$5+H140*'Pondérations'!$B$6+I140*'Pondérations'!$B$7+J140*'Pondérations'!$B$8+K140*'Pondérations'!$B$9+L140*'Pondérations'!$B$10+M140*'Pondérations'!$B$11+N140*'Pondérations'!$B$12+O140*'Pondérations'!$B$13+P140*'Pondérations'!$B$14)/'Pondérations'!$B$16,3),"")</f>
        <v/>
      </c>
      <c r="R140" s="159">
        <f>IF(Q140="","",1+COUNTIF($Q$7:$Q$178,"&gt;"&amp;Q140)+COUNTIF($Q$7:Q140,Q140)-1)</f>
        <v/>
      </c>
      <c r="S140" s="132" t="n"/>
      <c r="T140" s="129" t="n"/>
      <c r="U140" s="129" t="n"/>
      <c r="V140" s="133" t="inlineStr">
        <is>
          <t>Élevée</t>
        </is>
      </c>
      <c r="W140" s="129" t="inlineStr">
        <is>
          <t>Headfonics import</t>
        </is>
      </c>
      <c r="X140" s="130" t="n">
        <v>8.1</v>
      </c>
      <c r="Y140" s="133" t="inlineStr">
        <is>
          <t>Reader</t>
        </is>
      </c>
      <c r="Z140" s="134" t="n">
        <v>44510</v>
      </c>
      <c r="AA140" s="135" t="n">
        <v>7</v>
      </c>
      <c r="AB140" s="139" t="inlineStr">
        <is>
          <t>https://headfonics.com/?s=Hidizs+DH80s</t>
        </is>
      </c>
      <c r="AC140" s="129" t="inlineStr">
        <is>
          <t>Battery portable DAC/amp</t>
        </is>
      </c>
      <c r="AD140" s="133" t="inlineStr">
        <is>
          <t>Ajout Headfonics</t>
        </is>
      </c>
      <c r="AE140" s="135" t="n">
        <v>124</v>
      </c>
      <c r="AF140" s="136" t="n">
        <v>122</v>
      </c>
      <c r="AG140" s="132" t="inlineStr">
        <is>
          <t>DAC/amp équilibré d’entrée de gamme offrant beaucoup de valeur et une restitution polyvalente dans un format sur batterie.</t>
        </is>
      </c>
      <c r="AH140" s="129" t="inlineStr">
        <is>
          <t>Équilibrée, légèrement chaleureuse</t>
        </is>
      </c>
      <c r="AI140" s="129" t="inlineStr">
        <is>
          <t>Bonne dynamique et scène pour le prix; pas au niveau des meilleurs en finesse</t>
        </is>
      </c>
      <c r="AJ140" s="129" t="inlineStr">
        <is>
          <t>Résolution et raffinement limités face aux modèles haut de gamme</t>
        </is>
      </c>
      <c r="AK140" s="129" t="inlineStr">
        <is>
          <t>https://headfonics.com/hidizs-dh80s-review/</t>
        </is>
      </c>
      <c r="AL140" s="135" t="n">
        <v>4</v>
      </c>
      <c r="AM140" s="133" t="inlineStr">
        <is>
          <t>Élevée — 3+ sources, domaines variés</t>
        </is>
      </c>
      <c r="AN140" s="129" t="inlineStr">
        <is>
          <t>https://www.head-fi.org/showcase/hidizs-dh80s.25255/reviews</t>
        </is>
      </c>
      <c r="AO140" s="137" t="inlineStr">
        <is>
          <t>https://www.soundphilereview.com/reviews/hidizs-dh80s-review-42069/</t>
        </is>
      </c>
      <c r="AP140" s="129" t="inlineStr">
        <is>
          <t>https://www.ecoustics.com/reviews/hidizs-dh80s/</t>
        </is>
      </c>
      <c r="AQ140" s="133" t="inlineStr">
        <is>
          <t>Objectif atteint</t>
        </is>
      </c>
      <c r="AR140" s="129" t="inlineStr">
        <is>
          <t>Head-Fi reviews: 1; Review éditoriale: 3</t>
        </is>
      </c>
    </row>
    <row r="141" ht="54" customHeight="1">
      <c r="A141" s="117" t="inlineStr">
        <is>
          <t>Questyle</t>
        </is>
      </c>
      <c r="B141" s="117" t="inlineStr">
        <is>
          <t>M12</t>
        </is>
      </c>
      <c r="C141" s="117" t="inlineStr">
        <is>
          <t>Portable Amp/DAC (Headfonics)</t>
        </is>
      </c>
      <c r="D141" s="117" t="inlineStr">
        <is>
          <t>Neutre, définie</t>
        </is>
      </c>
      <c r="E141" s="117" t="inlineStr">
        <is>
          <t>Image 3d, profondeur, matière/timbres</t>
        </is>
      </c>
      <c r="F141" s="117" t="inlineStr">
        <is>
          <t>Réserve de puissance limitée pour casques difficiles</t>
        </is>
      </c>
      <c r="G141" s="118" t="n">
        <v>8.9</v>
      </c>
      <c r="H141" s="119" t="n">
        <v>8.699999999999999</v>
      </c>
      <c r="I141" s="119" t="n">
        <v>8.800000000000001</v>
      </c>
      <c r="J141" s="119" t="n">
        <v>8.800000000000001</v>
      </c>
      <c r="K141" s="119" t="n">
        <v>8.800000000000001</v>
      </c>
      <c r="L141" s="119" t="n">
        <v>9</v>
      </c>
      <c r="M141" s="119" t="n">
        <v>8.800000000000001</v>
      </c>
      <c r="N141" s="119" t="n">
        <v>7</v>
      </c>
      <c r="O141" s="119" t="n">
        <v>9.5</v>
      </c>
      <c r="P141" s="119" t="n">
        <v>8.4</v>
      </c>
      <c r="Q141" s="158">
        <f>IF(COUNT(G141:P141)=10,ROUND((G141*'Pondérations'!$B$5+H141*'Pondérations'!$B$6+I141*'Pondérations'!$B$7+J141*'Pondérations'!$B$8+K141*'Pondérations'!$B$9+L141*'Pondérations'!$B$10+M141*'Pondérations'!$B$11+N141*'Pondérations'!$B$12+O141*'Pondérations'!$B$13+P141*'Pondérations'!$B$14)/'Pondérations'!$B$16,3),"")</f>
        <v/>
      </c>
      <c r="R141" s="159">
        <f>IF(Q141="","",1+COUNTIF($Q$7:$Q$178,"&gt;"&amp;Q141)+COUNTIF($Q$7:Q141,Q141)-1)</f>
        <v/>
      </c>
      <c r="S141" s="122" t="n"/>
      <c r="T141" s="117" t="n"/>
      <c r="U141" s="117" t="n"/>
      <c r="V141" s="123" t="inlineStr">
        <is>
          <t>Élevée</t>
        </is>
      </c>
      <c r="W141" s="117" t="inlineStr">
        <is>
          <t>Headfonics import</t>
        </is>
      </c>
      <c r="X141" s="118" t="n">
        <v>8.1</v>
      </c>
      <c r="Y141" s="123" t="inlineStr">
        <is>
          <t>Reader</t>
        </is>
      </c>
      <c r="Z141" s="124" t="n">
        <v>44500</v>
      </c>
      <c r="AA141" s="125" t="n">
        <v>7</v>
      </c>
      <c r="AB141" s="126" t="inlineStr">
        <is>
          <t>https://headfonics.com/?s=Questyle+M12</t>
        </is>
      </c>
      <c r="AC141" s="117" t="inlineStr">
        <is>
          <t>Current Mode portable dongle DAC/amp</t>
        </is>
      </c>
      <c r="AD141" s="123" t="inlineStr">
        <is>
          <t>Ajout Headfonics</t>
        </is>
      </c>
      <c r="AE141" s="125" t="n">
        <v>125</v>
      </c>
      <c r="AF141" s="138" t="n">
        <v>123</v>
      </c>
      <c r="AG141" s="122" t="inlineStr">
        <is>
          <t>Dongle Current Mode ciblant les IEM sensibles, avec une restitution définie et propre plutôt qu’une démonstration de puissance.</t>
        </is>
      </c>
      <c r="AH141" s="117" t="inlineStr">
        <is>
          <t>Neutre, définie</t>
        </is>
      </c>
      <c r="AI141" s="117" t="inlineStr">
        <is>
          <t>Bonne définition et contrôle avec IEM; scène propre mais moins immersive que le M15</t>
        </is>
      </c>
      <c r="AJ141" s="117" t="inlineStr">
        <is>
          <t>Réserve de puissance limitée pour casques difficiles</t>
        </is>
      </c>
      <c r="AK141" s="117" t="inlineStr">
        <is>
          <t>https://headfonics.com/questyle-m12-review/</t>
        </is>
      </c>
      <c r="AL141" s="125" t="n">
        <v>4</v>
      </c>
      <c r="AM141" s="123" t="inlineStr">
        <is>
          <t>Élevée — 3+ sources, domaines variés</t>
        </is>
      </c>
      <c r="AN141" s="117" t="inlineStr">
        <is>
          <t>https://www.head-fi.org/showcase/questyle-m12.25266/reviews</t>
        </is>
      </c>
      <c r="AO141" s="128" t="inlineStr">
        <is>
          <t>https://stereophile.com/content/questyle-audio-m12-portable-usb-da-headphone-amplifier</t>
        </is>
      </c>
      <c r="AP141" s="117" t="inlineStr">
        <is>
          <t>https://headphone.guru/questyle-m12-inline-usb-amp-dac-review/</t>
        </is>
      </c>
      <c r="AQ141" s="123" t="inlineStr">
        <is>
          <t>Objectif atteint</t>
        </is>
      </c>
      <c r="AR141" s="117" t="inlineStr">
        <is>
          <t>Head-Fi reviews: 1; Review éditoriale: 3</t>
        </is>
      </c>
    </row>
    <row r="142" ht="54" customHeight="1">
      <c r="A142" s="129" t="inlineStr">
        <is>
          <t>FiiO</t>
        </is>
      </c>
      <c r="B142" s="129" t="inlineStr">
        <is>
          <t>E10K TC</t>
        </is>
      </c>
      <c r="C142" s="129" t="inlineStr">
        <is>
          <t>Portable Amp/DAC (Headfonics)</t>
        </is>
      </c>
      <c r="D142" s="129" t="inlineStr">
        <is>
          <t>Chaleureuse, douce</t>
        </is>
      </c>
      <c r="E142" s="129" t="inlineStr">
        <is>
          <t>Matière/timbres, profondeur, layering</t>
        </is>
      </c>
      <c r="F142" s="129" t="inlineStr">
        <is>
          <t>Résolution limitée face aux DAC modernes</t>
        </is>
      </c>
      <c r="G142" s="130" t="n">
        <v>8.9</v>
      </c>
      <c r="H142" s="131" t="n">
        <v>8</v>
      </c>
      <c r="I142" s="131" t="n">
        <v>8.699999999999999</v>
      </c>
      <c r="J142" s="131" t="n">
        <v>8.6</v>
      </c>
      <c r="K142" s="131" t="n">
        <v>8.800000000000001</v>
      </c>
      <c r="L142" s="131" t="n">
        <v>9</v>
      </c>
      <c r="M142" s="131" t="n">
        <v>8.800000000000001</v>
      </c>
      <c r="N142" s="131" t="n">
        <v>9.1</v>
      </c>
      <c r="O142" s="131" t="n">
        <v>8</v>
      </c>
      <c r="P142" s="131" t="n">
        <v>8.1</v>
      </c>
      <c r="Q142" s="158">
        <f>IF(COUNT(G142:P142)=10,ROUND((G142*'Pondérations'!$B$5+H142*'Pondérations'!$B$6+I142*'Pondérations'!$B$7+J142*'Pondérations'!$B$8+K142*'Pondérations'!$B$9+L142*'Pondérations'!$B$10+M142*'Pondérations'!$B$11+N142*'Pondérations'!$B$12+O142*'Pondérations'!$B$13+P142*'Pondérations'!$B$14)/'Pondérations'!$B$16,3),"")</f>
        <v/>
      </c>
      <c r="R142" s="159">
        <f>IF(Q142="","",1+COUNTIF($Q$7:$Q$178,"&gt;"&amp;Q142)+COUNTIF($Q$7:Q142,Q142)-1)</f>
        <v/>
      </c>
      <c r="S142" s="132" t="n"/>
      <c r="T142" s="129" t="n"/>
      <c r="U142" s="129" t="n"/>
      <c r="V142" s="133" t="inlineStr">
        <is>
          <t>Élevée</t>
        </is>
      </c>
      <c r="W142" s="129" t="inlineStr">
        <is>
          <t>Headfonics import</t>
        </is>
      </c>
      <c r="X142" s="130" t="n">
        <v>8</v>
      </c>
      <c r="Y142" s="133" t="inlineStr">
        <is>
          <t>Reader</t>
        </is>
      </c>
      <c r="Z142" s="134" t="n">
        <v>44492</v>
      </c>
      <c r="AA142" s="135" t="n">
        <v>7</v>
      </c>
      <c r="AB142" s="139" t="inlineStr">
        <is>
          <t>https://headfonics.com/?s=FiiO+E10K+TC</t>
        </is>
      </c>
      <c r="AC142" s="129" t="inlineStr">
        <is>
          <t>USB DAC/amp</t>
        </is>
      </c>
      <c r="AD142" s="133" t="inlineStr">
        <is>
          <t>Ajout Headfonics</t>
        </is>
      </c>
      <c r="AE142" s="135" t="n">
        <v>126</v>
      </c>
      <c r="AF142" s="136" t="n">
        <v>67</v>
      </c>
      <c r="AG142" s="132" t="inlineStr">
        <is>
          <t>Petit DAC/amp chaleureux et euphonique, très agréable sur la durée mais pas conçu pour extraire le maximum de microdétails.</t>
        </is>
      </c>
      <c r="AH142" s="129" t="inlineStr">
        <is>
          <t>Chaleureuse, douce</t>
        </is>
      </c>
      <c r="AI142" s="129" t="inlineStr">
        <is>
          <t>Scène cohérente et non fatigante; définition moyenne</t>
        </is>
      </c>
      <c r="AJ142" s="129" t="inlineStr">
        <is>
          <t>Résolution limitée face aux DAC modernes</t>
        </is>
      </c>
      <c r="AK142" s="129" t="inlineStr">
        <is>
          <t>https://headfonics.com/fiio-e10k-tc-review/</t>
        </is>
      </c>
      <c r="AL142" s="135" t="n">
        <v>4</v>
      </c>
      <c r="AM142" s="133" t="inlineStr">
        <is>
          <t>Élevée — 3+ sources, domaines variés</t>
        </is>
      </c>
      <c r="AN142" s="129" t="inlineStr">
        <is>
          <t>https://www.head-fi.org/showcase/fiio-e10k-type-c.25425/reviews</t>
        </is>
      </c>
      <c r="AO142" s="137" t="inlineStr">
        <is>
          <t>https://www.outeraudio.com/fiio-e10k/</t>
        </is>
      </c>
      <c r="AP142" s="129" t="inlineStr">
        <is>
          <t>https://www.head-fi.org/threads/ten-years-for-one-masterpiece-fiio-e10k-tc-review.959254/</t>
        </is>
      </c>
      <c r="AQ142" s="133" t="inlineStr">
        <is>
          <t>Objectif atteint</t>
        </is>
      </c>
      <c r="AR142" s="129" t="inlineStr">
        <is>
          <t>Head-Fi forum: 1; Head-Fi reviews: 1; Review éditoriale: 2</t>
        </is>
      </c>
    </row>
    <row r="143" ht="54" customHeight="1">
      <c r="A143" s="117" t="inlineStr">
        <is>
          <t>Shanling</t>
        </is>
      </c>
      <c r="B143" s="117" t="inlineStr">
        <is>
          <t>UA2</t>
        </is>
      </c>
      <c r="C143" s="117" t="inlineStr">
        <is>
          <t>Portable Amp/DAC (Headfonics)</t>
        </is>
      </c>
      <c r="D143" s="117" t="inlineStr">
        <is>
          <t>Chaude, douce</t>
        </is>
      </c>
      <c r="E143" s="117" t="inlineStr">
        <is>
          <t>Profondeur, image 3d, matière/timbres</t>
        </is>
      </c>
      <c r="F143" s="117" t="inlineStr">
        <is>
          <t>Certains concurrents font mieux sur des critères isolés</t>
        </is>
      </c>
      <c r="G143" s="118" t="n">
        <v>8.6</v>
      </c>
      <c r="H143" s="119" t="n">
        <v>8.5</v>
      </c>
      <c r="I143" s="119" t="n">
        <v>8.9</v>
      </c>
      <c r="J143" s="119" t="n">
        <v>8.800000000000001</v>
      </c>
      <c r="K143" s="119" t="n">
        <v>8.800000000000001</v>
      </c>
      <c r="L143" s="119" t="n">
        <v>9</v>
      </c>
      <c r="M143" s="119" t="n">
        <v>8.800000000000001</v>
      </c>
      <c r="N143" s="119" t="n">
        <v>8.699999999999999</v>
      </c>
      <c r="O143" s="119" t="n">
        <v>9.5</v>
      </c>
      <c r="P143" s="119" t="n">
        <v>8.199999999999999</v>
      </c>
      <c r="Q143" s="158">
        <f>IF(COUNT(G143:P143)=10,ROUND((G143*'Pondérations'!$B$5+H143*'Pondérations'!$B$6+I143*'Pondérations'!$B$7+J143*'Pondérations'!$B$8+K143*'Pondérations'!$B$9+L143*'Pondérations'!$B$10+M143*'Pondérations'!$B$11+N143*'Pondérations'!$B$12+O143*'Pondérations'!$B$13+P143*'Pondérations'!$B$14)/'Pondérations'!$B$16,3),"")</f>
        <v/>
      </c>
      <c r="R143" s="159">
        <f>IF(Q143="","",1+COUNTIF($Q$7:$Q$178,"&gt;"&amp;Q143)+COUNTIF($Q$7:Q143,Q143)-1)</f>
        <v/>
      </c>
      <c r="S143" s="122" t="n"/>
      <c r="T143" s="117" t="n"/>
      <c r="U143" s="117" t="n"/>
      <c r="V143" s="123" t="inlineStr">
        <is>
          <t>Élevée</t>
        </is>
      </c>
      <c r="W143" s="117" t="inlineStr">
        <is>
          <t>Headfonics import</t>
        </is>
      </c>
      <c r="X143" s="118" t="n">
        <v>7.8</v>
      </c>
      <c r="Y143" s="123" t="inlineStr">
        <is>
          <t>Reader</t>
        </is>
      </c>
      <c r="Z143" s="124" t="n">
        <v>44465</v>
      </c>
      <c r="AA143" s="125" t="n">
        <v>7</v>
      </c>
      <c r="AB143" s="126" t="inlineStr">
        <is>
          <t>https://headfonics.com/?s=Shanling+UA2</t>
        </is>
      </c>
      <c r="AC143" s="117" t="inlineStr">
        <is>
          <t>Portable dongle DAC/amp</t>
        </is>
      </c>
      <c r="AD143" s="123" t="inlineStr">
        <is>
          <t>Ajout Headfonics</t>
        </is>
      </c>
      <c r="AE143" s="125" t="n">
        <v>127</v>
      </c>
      <c r="AF143" s="138" t="n">
        <v>75</v>
      </c>
      <c r="AG143" s="122" t="inlineStr">
        <is>
          <t>Dongle polyvalent, propre et doux avec une tonalité chaude; nombreuses fonctions et sorties SE/symétrique.</t>
        </is>
      </c>
      <c r="AH143" s="117" t="inlineStr">
        <is>
          <t>Chaude, douce</t>
        </is>
      </c>
      <c r="AI143" s="117" t="inlineStr">
        <is>
          <t>Espace naturel et écoute facile; résolution correcte sans dominer la catégorie</t>
        </is>
      </c>
      <c r="AJ143" s="117" t="inlineStr">
        <is>
          <t>Certains concurrents font mieux sur des critères isolés</t>
        </is>
      </c>
      <c r="AK143" s="117" t="inlineStr">
        <is>
          <t>https://headfonics.com/shanling-ua2-review/</t>
        </is>
      </c>
      <c r="AL143" s="125" t="n">
        <v>4</v>
      </c>
      <c r="AM143" s="123" t="inlineStr">
        <is>
          <t>Élevée — 3+ sources, domaines variés</t>
        </is>
      </c>
      <c r="AN143" s="117" t="inlineStr">
        <is>
          <t>https://www.head-fi.org/showcase/shanling-ua2-portable-usb-dac-amp.25182/reviews</t>
        </is>
      </c>
      <c r="AO143" s="128" t="inlineStr">
        <is>
          <t>https://www.audioreviews.org/shanling-ua2-review-jk/</t>
        </is>
      </c>
      <c r="AP143" s="117" t="inlineStr">
        <is>
          <t>https://www.soundphilereview.com/reviews/shanling-ua2-review-13134/</t>
        </is>
      </c>
      <c r="AQ143" s="123" t="inlineStr">
        <is>
          <t>Objectif atteint</t>
        </is>
      </c>
      <c r="AR143" s="117" t="inlineStr">
        <is>
          <t>Head-Fi reviews: 1; Review éditoriale: 3</t>
        </is>
      </c>
    </row>
    <row r="144" ht="54" customHeight="1">
      <c r="A144" s="129" t="inlineStr">
        <is>
          <t>FiiO</t>
        </is>
      </c>
      <c r="B144" s="129" t="inlineStr">
        <is>
          <t>New K3</t>
        </is>
      </c>
      <c r="C144" s="129" t="inlineStr">
        <is>
          <t>Portable Amp/DAC (Headfonics)</t>
        </is>
      </c>
      <c r="D144" s="129" t="inlineStr">
        <is>
          <t>Neutre, naturelle</t>
        </is>
      </c>
      <c r="E144" s="129" t="inlineStr">
        <is>
          <t>Matière/timbres, image 3d, profondeur</t>
        </is>
      </c>
      <c r="F144" s="129" t="inlineStr">
        <is>
          <t>Puissance et raffinement modestes selon les standards récents</t>
        </is>
      </c>
      <c r="G144" s="130" t="n">
        <v>9.1</v>
      </c>
      <c r="H144" s="131" t="n">
        <v>9.1</v>
      </c>
      <c r="I144" s="131" t="n">
        <v>9.1</v>
      </c>
      <c r="J144" s="131" t="n">
        <v>9.1</v>
      </c>
      <c r="K144" s="131" t="n">
        <v>9.1</v>
      </c>
      <c r="L144" s="131" t="n">
        <v>9.4</v>
      </c>
      <c r="M144" s="131" t="n">
        <v>8.800000000000001</v>
      </c>
      <c r="N144" s="131" t="n">
        <v>8.699999999999999</v>
      </c>
      <c r="O144" s="131" t="n">
        <v>8</v>
      </c>
      <c r="P144" s="131" t="n">
        <v>9</v>
      </c>
      <c r="Q144" s="158">
        <f>IF(COUNT(G144:P144)=10,ROUND((G144*'Pondérations'!$B$5+H144*'Pondérations'!$B$6+I144*'Pondérations'!$B$7+J144*'Pondérations'!$B$8+K144*'Pondérations'!$B$9+L144*'Pondérations'!$B$10+M144*'Pondérations'!$B$11+N144*'Pondérations'!$B$12+O144*'Pondérations'!$B$13+P144*'Pondérations'!$B$14)/'Pondérations'!$B$16,3),"")</f>
        <v/>
      </c>
      <c r="R144" s="159">
        <f>IF(Q144="","",1+COUNTIF($Q$7:$Q$178,"&gt;"&amp;Q144)+COUNTIF($Q$7:Q144,Q144)-1)</f>
        <v/>
      </c>
      <c r="S144" s="132" t="n"/>
      <c r="T144" s="129" t="n"/>
      <c r="U144" s="129" t="n"/>
      <c r="V144" s="133" t="inlineStr">
        <is>
          <t>Élevée</t>
        </is>
      </c>
      <c r="W144" s="129" t="inlineStr">
        <is>
          <t>Headfonics import</t>
        </is>
      </c>
      <c r="X144" s="130" t="n">
        <v>8</v>
      </c>
      <c r="Y144" s="133" t="inlineStr">
        <is>
          <t>Reader</t>
        </is>
      </c>
      <c r="Z144" s="134" t="n">
        <v>44464</v>
      </c>
      <c r="AA144" s="135" t="n">
        <v>7</v>
      </c>
      <c r="AB144" s="139" t="inlineStr">
        <is>
          <t>https://headfonics.com/?s=FiiO+New+K3</t>
        </is>
      </c>
      <c r="AC144" s="129" t="inlineStr">
        <is>
          <t>USB DAC/amp</t>
        </is>
      </c>
      <c r="AD144" s="133" t="inlineStr">
        <is>
          <t>Ajout Headfonics</t>
        </is>
      </c>
      <c r="AE144" s="135" t="n">
        <v>128</v>
      </c>
      <c r="AF144" s="136" t="n">
        <v>105</v>
      </c>
      <c r="AG144" s="132" t="inlineStr">
        <is>
          <t>Signature globalement équilibrée et naturelle, facile à associer à de nombreux casques; restitution plus polyvalente que spectaculaire.</t>
        </is>
      </c>
      <c r="AH144" s="129" t="inlineStr">
        <is>
          <t>Neutre, naturelle</t>
        </is>
      </c>
      <c r="AI144" s="129" t="inlineStr">
        <is>
          <t>Bonne cohérence et séparation; scène correcte mais pas spécialement profonde</t>
        </is>
      </c>
      <c r="AJ144" s="129" t="inlineStr">
        <is>
          <t>Puissance et raffinement modestes selon les standards récents</t>
        </is>
      </c>
      <c r="AK144" s="129" t="inlineStr">
        <is>
          <t>https://headfonics.com/fiio-new-k3-review/</t>
        </is>
      </c>
      <c r="AL144" s="135" t="n">
        <v>3</v>
      </c>
      <c r="AM144" s="133" t="inlineStr">
        <is>
          <t>Élevée — 3+ sources, domaines variés</t>
        </is>
      </c>
      <c r="AN144" s="129" t="inlineStr">
        <is>
          <t>https://www.headfonia.com/fiio-k3s-review/</t>
        </is>
      </c>
      <c r="AO144" s="137" t="inlineStr">
        <is>
          <t>https://www.reddit.com/r/headphones/comments/1agkqzk</t>
        </is>
      </c>
      <c r="AP144" s="129" t="n"/>
      <c r="AQ144" s="133" t="inlineStr">
        <is>
          <t>Objectif atteint</t>
        </is>
      </c>
      <c r="AR144" s="129" t="inlineStr">
        <is>
          <t>Communauté Reddit: 1; Review éditoriale: 2</t>
        </is>
      </c>
    </row>
    <row r="145" ht="54" customHeight="1">
      <c r="A145" s="117" t="inlineStr">
        <is>
          <t>ddHiFi</t>
        </is>
      </c>
      <c r="B145" s="117" t="inlineStr">
        <is>
          <t>TC35 Pro Tetris</t>
        </is>
      </c>
      <c r="C145" s="117" t="inlineStr">
        <is>
          <t>Portable Amp/DAC (Headfonics)</t>
        </is>
      </c>
      <c r="D145" s="117" t="inlineStr">
        <is>
          <t>Chaude, riche</t>
        </is>
      </c>
      <c r="E145" s="117" t="inlineStr">
        <is>
          <t>Matière/timbres, image 3d, profondeur</t>
        </is>
      </c>
      <c r="F145" s="117" t="inlineStr">
        <is>
          <t>Puissance et fonctions limitées face aux dongles modernes</t>
        </is>
      </c>
      <c r="G145" s="118" t="n">
        <v>9.1</v>
      </c>
      <c r="H145" s="119" t="n">
        <v>9</v>
      </c>
      <c r="I145" s="119" t="n">
        <v>9.1</v>
      </c>
      <c r="J145" s="119" t="n">
        <v>9.1</v>
      </c>
      <c r="K145" s="119" t="n">
        <v>9.1</v>
      </c>
      <c r="L145" s="119" t="n">
        <v>9.5</v>
      </c>
      <c r="M145" s="119" t="n">
        <v>8.9</v>
      </c>
      <c r="N145" s="119" t="n">
        <v>7</v>
      </c>
      <c r="O145" s="119" t="n">
        <v>9.5</v>
      </c>
      <c r="P145" s="119" t="n">
        <v>9.1</v>
      </c>
      <c r="Q145" s="158">
        <f>IF(COUNT(G145:P145)=10,ROUND((G145*'Pondérations'!$B$5+H145*'Pondérations'!$B$6+I145*'Pondérations'!$B$7+J145*'Pondérations'!$B$8+K145*'Pondérations'!$B$9+L145*'Pondérations'!$B$10+M145*'Pondérations'!$B$11+N145*'Pondérations'!$B$12+O145*'Pondérations'!$B$13+P145*'Pondérations'!$B$14)/'Pondérations'!$B$16,3),"")</f>
        <v/>
      </c>
      <c r="R145" s="159">
        <f>IF(Q145="","",1+COUNTIF($Q$7:$Q$178,"&gt;"&amp;Q145)+COUNTIF($Q$7:Q145,Q145)-1)</f>
        <v/>
      </c>
      <c r="S145" s="122" t="n"/>
      <c r="T145" s="117" t="n"/>
      <c r="U145" s="117" t="n"/>
      <c r="V145" s="123" t="inlineStr">
        <is>
          <t>Élevée</t>
        </is>
      </c>
      <c r="W145" s="117" t="inlineStr">
        <is>
          <t>Headfonics import</t>
        </is>
      </c>
      <c r="X145" s="118" t="n">
        <v>7.9</v>
      </c>
      <c r="Y145" s="123" t="inlineStr">
        <is>
          <t>Reader</t>
        </is>
      </c>
      <c r="Z145" s="124" t="n">
        <v>44461</v>
      </c>
      <c r="AA145" s="125" t="n">
        <v>7</v>
      </c>
      <c r="AB145" s="126" t="inlineStr">
        <is>
          <t>https://headfonics.com/?s=ddHiFi+TC35+Pro+Tetris</t>
        </is>
      </c>
      <c r="AC145" s="117" t="inlineStr">
        <is>
          <t>Portable USB DAC adapter</t>
        </is>
      </c>
      <c r="AD145" s="123" t="inlineStr">
        <is>
          <t>Ajout Headfonics</t>
        </is>
      </c>
      <c r="AE145" s="125" t="n">
        <v>129</v>
      </c>
      <c r="AF145" s="138" t="n">
        <v>83</v>
      </c>
      <c r="AG145" s="122" t="inlineStr">
        <is>
          <t>Dongle riche et légèrement chaud tout en restant rapide; donne une sensation d’espace naturelle et flatte bien de nombreux IEM.</t>
        </is>
      </c>
      <c r="AH145" s="117" t="inlineStr">
        <is>
          <t>Chaude, riche</t>
        </is>
      </c>
      <c r="AI145" s="117" t="inlineStr">
        <is>
          <t>Espace naturel et rythme vif; bonne cohérence plus que microanalyse</t>
        </is>
      </c>
      <c r="AJ145" s="117" t="inlineStr">
        <is>
          <t>Puissance et fonctions limitées face aux dongles modernes</t>
        </is>
      </c>
      <c r="AK145" s="117" t="inlineStr">
        <is>
          <t>https://headfonics.com/ddhifi-tc35-pro-tetris-review/</t>
        </is>
      </c>
      <c r="AL145" s="125" t="n">
        <v>4</v>
      </c>
      <c r="AM145" s="123" t="inlineStr">
        <is>
          <t>Élevée — 3+ sources, domaines variés</t>
        </is>
      </c>
      <c r="AN145" s="117" t="inlineStr">
        <is>
          <t>https://www.headfonia.com/ddhifi-tc35-pro-eye-mountain-tetris-review/</t>
        </is>
      </c>
      <c r="AO145" s="128" t="inlineStr">
        <is>
          <t>https://moonstarreviews.net/ddhifi-tc35-pro-tetris-eye-mountain-review/</t>
        </is>
      </c>
      <c r="AP145" s="117" t="inlineStr">
        <is>
          <t>https://drop.com/buy/ddhifi-tc35-pro-dac-amp/reviews?defaultSelectionIds=968284</t>
        </is>
      </c>
      <c r="AQ145" s="123" t="inlineStr">
        <is>
          <t>Objectif atteint</t>
        </is>
      </c>
      <c r="AR145" s="117" t="inlineStr">
        <is>
          <t>Avis utilisateurs revendeur: 1; Review éditoriale: 3</t>
        </is>
      </c>
    </row>
    <row r="146" ht="54" customHeight="1">
      <c r="A146" s="129" t="inlineStr">
        <is>
          <t>Helm Audio</t>
        </is>
      </c>
      <c r="B146" s="129" t="inlineStr">
        <is>
          <t>Bolt</t>
        </is>
      </c>
      <c r="C146" s="129" t="inlineStr">
        <is>
          <t>Portable Amp/DAC (Headfonics)</t>
        </is>
      </c>
      <c r="D146" s="129" t="inlineStr">
        <is>
          <t>Neutre, propre</t>
        </is>
      </c>
      <c r="E146" s="129" t="inlineStr">
        <is>
          <t>Propreté/contrôle, image 3d, microdétail</t>
        </is>
      </c>
      <c r="F146" s="129" t="inlineStr">
        <is>
          <t>Puissance et fonctions limitées par le petit format</t>
        </is>
      </c>
      <c r="G146" s="130" t="n">
        <v>9.1</v>
      </c>
      <c r="H146" s="131" t="n">
        <v>8.800000000000001</v>
      </c>
      <c r="I146" s="131" t="n">
        <v>8.6</v>
      </c>
      <c r="J146" s="131" t="n">
        <v>8.6</v>
      </c>
      <c r="K146" s="131" t="n">
        <v>8.699999999999999</v>
      </c>
      <c r="L146" s="131" t="n">
        <v>8.9</v>
      </c>
      <c r="M146" s="131" t="n">
        <v>8.800000000000001</v>
      </c>
      <c r="N146" s="131" t="n">
        <v>7.8</v>
      </c>
      <c r="O146" s="131" t="n">
        <v>9.5</v>
      </c>
      <c r="P146" s="131" t="n">
        <v>8.199999999999999</v>
      </c>
      <c r="Q146" s="158">
        <f>IF(COUNT(G146:P146)=10,ROUND((G146*'Pondérations'!$B$5+H146*'Pondérations'!$B$6+I146*'Pondérations'!$B$7+J146*'Pondérations'!$B$8+K146*'Pondérations'!$B$9+L146*'Pondérations'!$B$10+M146*'Pondérations'!$B$11+N146*'Pondérations'!$B$12+O146*'Pondérations'!$B$13+P146*'Pondérations'!$B$14)/'Pondérations'!$B$16,3),"")</f>
        <v/>
      </c>
      <c r="R146" s="159">
        <f>IF(Q146="","",1+COUNTIF($Q$7:$Q$178,"&gt;"&amp;Q146)+COUNTIF($Q$7:Q146,Q146)-1)</f>
        <v/>
      </c>
      <c r="S146" s="132" t="n"/>
      <c r="T146" s="129" t="n"/>
      <c r="U146" s="129" t="n"/>
      <c r="V146" s="133" t="inlineStr">
        <is>
          <t>Élevée</t>
        </is>
      </c>
      <c r="W146" s="129" t="inlineStr">
        <is>
          <t>Headfonics import</t>
        </is>
      </c>
      <c r="X146" s="130" t="n">
        <v>8</v>
      </c>
      <c r="Y146" s="133" t="inlineStr">
        <is>
          <t>Reader</t>
        </is>
      </c>
      <c r="Z146" s="134" t="n">
        <v>44457</v>
      </c>
      <c r="AA146" s="135" t="n">
        <v>7</v>
      </c>
      <c r="AB146" s="139" t="inlineStr">
        <is>
          <t>https://headfonics.com/?s=Helm+Audio+Bolt</t>
        </is>
      </c>
      <c r="AC146" s="129" t="inlineStr">
        <is>
          <t>Portable dongle DAC/amp</t>
        </is>
      </c>
      <c r="AD146" s="133" t="inlineStr">
        <is>
          <t>Ajout Headfonics</t>
        </is>
      </c>
      <c r="AE146" s="135" t="n">
        <v>130</v>
      </c>
      <c r="AF146" s="136" t="n">
        <v>88</v>
      </c>
      <c r="AG146" s="132" t="inlineStr">
        <is>
          <t>Petit dongle THX très propre et couvrant bien tout le spectre; convaincant surtout par son rapport qualité/prix et sa simplicité.</t>
        </is>
      </c>
      <c r="AH146" s="129" t="inlineStr">
        <is>
          <t>Neutre, propre</t>
        </is>
      </c>
      <c r="AI146" s="129" t="inlineStr">
        <is>
          <t>Bonne lisibilité générale; scène correcte mais sans ambition de grand système</t>
        </is>
      </c>
      <c r="AJ146" s="129" t="inlineStr">
        <is>
          <t>Puissance et fonctions limitées par le petit format</t>
        </is>
      </c>
      <c r="AK146" s="129" t="inlineStr">
        <is>
          <t>https://headfonics.com/helm-audio-bolt-review/</t>
        </is>
      </c>
      <c r="AL146" s="135" t="n">
        <v>4</v>
      </c>
      <c r="AM146" s="133" t="inlineStr">
        <is>
          <t>Élevée — 3+ sources, domaines variés</t>
        </is>
      </c>
      <c r="AN146" s="129" t="inlineStr">
        <is>
          <t>https://www.head-fi.org/showcase/helm-audio-bolt-dac-amp.25124/reviews</t>
        </is>
      </c>
      <c r="AO146" s="137" t="inlineStr">
        <is>
          <t>https://www.headphonesty.com/2021/03/review-helm-audio-bolt/</t>
        </is>
      </c>
      <c r="AP146" s="129" t="inlineStr">
        <is>
          <t>https://www.androidcentral.com/accessories/audio/helm-audio-bolt-dac-amp-review</t>
        </is>
      </c>
      <c r="AQ146" s="133" t="inlineStr">
        <is>
          <t>Objectif atteint</t>
        </is>
      </c>
      <c r="AR146" s="129" t="inlineStr">
        <is>
          <t>Head-Fi reviews: 1; Review éditoriale: 3</t>
        </is>
      </c>
    </row>
    <row r="147" ht="54" customHeight="1">
      <c r="A147" s="117" t="inlineStr">
        <is>
          <t>Luxury &amp; Precision</t>
        </is>
      </c>
      <c r="B147" s="117" t="inlineStr">
        <is>
          <t>W2</t>
        </is>
      </c>
      <c r="C147" s="117" t="inlineStr">
        <is>
          <t>Portable Amp/DAC (Headfonics)</t>
        </is>
      </c>
      <c r="D147" s="117" t="inlineStr">
        <is>
          <t>Équilibrée, raffinée</t>
        </is>
      </c>
      <c r="E147" s="117" t="inlineStr">
        <is>
          <t>Microdétail, propreté/contrôle, dynamique</t>
        </is>
      </c>
      <c r="F147" s="117" t="inlineStr">
        <is>
          <t>Prix élevé et dépendance à la puissance USB</t>
        </is>
      </c>
      <c r="G147" s="118" t="n">
        <v>9.300000000000001</v>
      </c>
      <c r="H147" s="119" t="n">
        <v>8.800000000000001</v>
      </c>
      <c r="I147" s="119" t="n">
        <v>8.9</v>
      </c>
      <c r="J147" s="119" t="n">
        <v>8.800000000000001</v>
      </c>
      <c r="K147" s="119" t="n">
        <v>9</v>
      </c>
      <c r="L147" s="119" t="n">
        <v>8.699999999999999</v>
      </c>
      <c r="M147" s="119" t="n">
        <v>9.1</v>
      </c>
      <c r="N147" s="119" t="n">
        <v>8.699999999999999</v>
      </c>
      <c r="O147" s="119" t="n">
        <v>9.5</v>
      </c>
      <c r="P147" s="119" t="n">
        <v>8.800000000000001</v>
      </c>
      <c r="Q147" s="158">
        <f>IF(COUNT(G147:P147)=10,ROUND((G147*'Pondérations'!$B$5+H147*'Pondérations'!$B$6+I147*'Pondérations'!$B$7+J147*'Pondérations'!$B$8+K147*'Pondérations'!$B$9+L147*'Pondérations'!$B$10+M147*'Pondérations'!$B$11+N147*'Pondérations'!$B$12+O147*'Pondérations'!$B$13+P147*'Pondérations'!$B$14)/'Pondérations'!$B$16,3),"")</f>
        <v/>
      </c>
      <c r="R147" s="159">
        <f>IF(Q147="","",1+COUNTIF($Q$7:$Q$178,"&gt;"&amp;Q147)+COUNTIF($Q$7:Q147,Q147)-1)</f>
        <v/>
      </c>
      <c r="S147" s="122" t="n"/>
      <c r="T147" s="117" t="n"/>
      <c r="U147" s="117" t="n"/>
      <c r="V147" s="123" t="inlineStr">
        <is>
          <t>Élevée</t>
        </is>
      </c>
      <c r="W147" s="117" t="inlineStr">
        <is>
          <t>Headfonics import</t>
        </is>
      </c>
      <c r="X147" s="118" t="n">
        <v>8.300000000000001</v>
      </c>
      <c r="Y147" s="123" t="inlineStr">
        <is>
          <t>Reader</t>
        </is>
      </c>
      <c r="Z147" s="124" t="n">
        <v>44401</v>
      </c>
      <c r="AA147" s="125" t="n">
        <v>7</v>
      </c>
      <c r="AB147" s="126" t="inlineStr">
        <is>
          <t>https://headfonics.com/?s=Luxury+%26+Precision+W2</t>
        </is>
      </c>
      <c r="AC147" s="117" t="inlineStr">
        <is>
          <t>Portable dongle DAC/amp</t>
        </is>
      </c>
      <c r="AD147" s="123" t="inlineStr">
        <is>
          <t>Ajout Headfonics</t>
        </is>
      </c>
      <c r="AE147" s="125" t="n">
        <v>131</v>
      </c>
      <c r="AF147" s="138" t="n">
        <v>263</v>
      </c>
      <c r="AG147" s="122" t="inlineStr">
        <is>
          <t>Dongle haut de gamme finement réglé, équilibrant musicalité et performances techniques avec beaucoup de DSP et une excellente propreté.</t>
        </is>
      </c>
      <c r="AH147" s="117" t="inlineStr">
        <is>
          <t>Équilibrée, raffinée</t>
        </is>
      </c>
      <c r="AI147" s="117" t="inlineStr">
        <is>
          <t>Très bonne définition, séparation et précision; scène structurée et mature</t>
        </is>
      </c>
      <c r="AJ147" s="117" t="inlineStr">
        <is>
          <t>Prix élevé et dépendance à la puissance USB</t>
        </is>
      </c>
      <c r="AK147" s="117" t="inlineStr">
        <is>
          <t>https://headfonics.com/luxury-precision-w2-review/</t>
        </is>
      </c>
      <c r="AL147" s="125" t="n">
        <v>4</v>
      </c>
      <c r="AM147" s="123" t="inlineStr">
        <is>
          <t>Élevée — 3+ sources, domaines variés</t>
        </is>
      </c>
      <c r="AN147" s="117" t="inlineStr">
        <is>
          <t>https://www.head-fi.org/showcase/luxury-precision-w2.25344/</t>
        </is>
      </c>
      <c r="AO147" s="128" t="inlineStr">
        <is>
          <t>https://www.headfonia.com/luxury-precision-w2-review/</t>
        </is>
      </c>
      <c r="AP147" s="117" t="inlineStr">
        <is>
          <t>https://www.headphonesty.com/2021/07/review-luxury-and-precision-w2-dac-amp/</t>
        </is>
      </c>
      <c r="AQ147" s="123" t="inlineStr">
        <is>
          <t>Objectif atteint</t>
        </is>
      </c>
      <c r="AR147" s="117" t="inlineStr">
        <is>
          <t>Head-Fi reviews: 1; Review éditoriale: 3</t>
        </is>
      </c>
    </row>
    <row r="148" ht="54" customHeight="1">
      <c r="A148" s="129" t="inlineStr">
        <is>
          <t>Hidizs</t>
        </is>
      </c>
      <c r="B148" s="129" t="inlineStr">
        <is>
          <t>S9 Pro</t>
        </is>
      </c>
      <c r="C148" s="129" t="inlineStr">
        <is>
          <t>Portable Amp/DAC (Headfonics)</t>
        </is>
      </c>
      <c r="D148" s="129" t="inlineStr">
        <is>
          <t>Neutre à légèrement vive</t>
        </is>
      </c>
      <c r="E148" s="129" t="inlineStr">
        <is>
          <t>Microdétail, propreté/contrôle, profondeur</t>
        </is>
      </c>
      <c r="F148" s="129" t="inlineStr">
        <is>
          <t>Peut être dépassé en mesures/finesse par des modèles plus coûteux</t>
        </is>
      </c>
      <c r="G148" s="130" t="n">
        <v>9.199999999999999</v>
      </c>
      <c r="H148" s="131" t="n">
        <v>9</v>
      </c>
      <c r="I148" s="131" t="n">
        <v>8.800000000000001</v>
      </c>
      <c r="J148" s="131" t="n">
        <v>8.699999999999999</v>
      </c>
      <c r="K148" s="131" t="n">
        <v>8.800000000000001</v>
      </c>
      <c r="L148" s="131" t="n">
        <v>8.699999999999999</v>
      </c>
      <c r="M148" s="131" t="n">
        <v>8.9</v>
      </c>
      <c r="N148" s="131" t="n">
        <v>8.699999999999999</v>
      </c>
      <c r="O148" s="131" t="n">
        <v>9.5</v>
      </c>
      <c r="P148" s="131" t="n">
        <v>8.300000000000001</v>
      </c>
      <c r="Q148" s="158">
        <f>IF(COUNT(G148:P148)=10,ROUND((G148*'Pondérations'!$B$5+H148*'Pondérations'!$B$6+I148*'Pondérations'!$B$7+J148*'Pondérations'!$B$8+K148*'Pondérations'!$B$9+L148*'Pondérations'!$B$10+M148*'Pondérations'!$B$11+N148*'Pondérations'!$B$12+O148*'Pondérations'!$B$13+P148*'Pondérations'!$B$14)/'Pondérations'!$B$16,3),"")</f>
        <v/>
      </c>
      <c r="R148" s="159">
        <f>IF(Q148="","",1+COUNTIF($Q$7:$Q$178,"&gt;"&amp;Q148)+COUNTIF($Q$7:Q148,Q148)-1)</f>
        <v/>
      </c>
      <c r="S148" s="132" t="n"/>
      <c r="T148" s="129" t="n"/>
      <c r="U148" s="129" t="n"/>
      <c r="V148" s="133" t="inlineStr">
        <is>
          <t>Élevée</t>
        </is>
      </c>
      <c r="W148" s="129" t="inlineStr">
        <is>
          <t>Headfonics import</t>
        </is>
      </c>
      <c r="X148" s="130" t="n">
        <v>8</v>
      </c>
      <c r="Y148" s="133" t="inlineStr">
        <is>
          <t>Reader</t>
        </is>
      </c>
      <c r="Z148" s="134" t="n">
        <v>44394</v>
      </c>
      <c r="AA148" s="135" t="n">
        <v>7</v>
      </c>
      <c r="AB148" s="139" t="inlineStr">
        <is>
          <t>https://headfonics.com/?s=Hidizs+S9+Pro</t>
        </is>
      </c>
      <c r="AC148" s="129" t="inlineStr">
        <is>
          <t>Portable dongle DAC/amp</t>
        </is>
      </c>
      <c r="AD148" s="133" t="inlineStr">
        <is>
          <t>Ajout Headfonics</t>
        </is>
      </c>
      <c r="AE148" s="135" t="n">
        <v>132</v>
      </c>
      <c r="AF148" s="136" t="n">
        <v>99</v>
      </c>
      <c r="AG148" s="132" t="inlineStr">
        <is>
          <t>Dongle très polyvalent et puissant pour sa taille, avec un excellent rapport performances/prix et assez de réserve pour de nombreux casques.</t>
        </is>
      </c>
      <c r="AH148" s="129" t="inlineStr">
        <is>
          <t>Neutre à légèrement vive</t>
        </is>
      </c>
      <c r="AI148" s="129" t="inlineStr">
        <is>
          <t>Bonne dynamique et définition; scène solide sans être une référence absolue</t>
        </is>
      </c>
      <c r="AJ148" s="129" t="inlineStr">
        <is>
          <t>Peut être dépassé en mesures/finesse par des modèles plus coûteux</t>
        </is>
      </c>
      <c r="AK148" s="129" t="inlineStr">
        <is>
          <t>https://headfonics.com/hidizs-s9-pro-review/</t>
        </is>
      </c>
      <c r="AL148" s="135" t="n">
        <v>4</v>
      </c>
      <c r="AM148" s="133" t="inlineStr">
        <is>
          <t>Élevée — 3+ sources, domaines variés</t>
        </is>
      </c>
      <c r="AN148" s="129" t="inlineStr">
        <is>
          <t>https://www.head-fi.org/showcase/hidizs-s9pro.25175/reviews</t>
        </is>
      </c>
      <c r="AO148" s="137" t="inlineStr">
        <is>
          <t>https://www.headfonia.com/hidizs-s9-pro-review/</t>
        </is>
      </c>
      <c r="AP148" s="129" t="inlineStr">
        <is>
          <t>https://www.headphonesty.com/2021/07/review-hidizs-s9-pro-dac-amp/</t>
        </is>
      </c>
      <c r="AQ148" s="133" t="inlineStr">
        <is>
          <t>Objectif atteint</t>
        </is>
      </c>
      <c r="AR148" s="129" t="inlineStr">
        <is>
          <t>Head-Fi reviews: 1; Review éditoriale: 3</t>
        </is>
      </c>
    </row>
    <row r="149" ht="54" customHeight="1">
      <c r="A149" s="117" t="inlineStr">
        <is>
          <t>Hidizs</t>
        </is>
      </c>
      <c r="B149" s="117" t="inlineStr">
        <is>
          <t>S3 Pro</t>
        </is>
      </c>
      <c r="C149" s="117" t="inlineStr">
        <is>
          <t>Portable Amp/DAC (Headfonics)</t>
        </is>
      </c>
      <c r="D149" s="117" t="inlineStr">
        <is>
          <t>Chaude, douce</t>
        </is>
      </c>
      <c r="E149" s="117" t="inlineStr">
        <is>
          <t>Image 3d, profondeur, propreté/contrôle</t>
        </is>
      </c>
      <c r="F149" s="117" t="inlineStr">
        <is>
          <t>Seulement 55 mW: peu adapté aux casques planaires ou peu sensibles</t>
        </is>
      </c>
      <c r="G149" s="118" t="n">
        <v>9.199999999999999</v>
      </c>
      <c r="H149" s="119" t="n">
        <v>8.699999999999999</v>
      </c>
      <c r="I149" s="119" t="n">
        <v>9</v>
      </c>
      <c r="J149" s="119" t="n">
        <v>9</v>
      </c>
      <c r="K149" s="119" t="n">
        <v>8.9</v>
      </c>
      <c r="L149" s="119" t="n">
        <v>9.1</v>
      </c>
      <c r="M149" s="119" t="n">
        <v>9</v>
      </c>
      <c r="N149" s="119" t="n">
        <v>7</v>
      </c>
      <c r="O149" s="119" t="n">
        <v>8</v>
      </c>
      <c r="P149" s="119" t="n">
        <v>8.5</v>
      </c>
      <c r="Q149" s="158">
        <f>IF(COUNT(G149:P149)=10,ROUND((G149*'Pondérations'!$B$5+H149*'Pondérations'!$B$6+I149*'Pondérations'!$B$7+J149*'Pondérations'!$B$8+K149*'Pondérations'!$B$9+L149*'Pondérations'!$B$10+M149*'Pondérations'!$B$11+N149*'Pondérations'!$B$12+O149*'Pondérations'!$B$13+P149*'Pondérations'!$B$14)/'Pondérations'!$B$16,3),"")</f>
        <v/>
      </c>
      <c r="R149" s="159">
        <f>IF(Q149="","",1+COUNTIF($Q$7:$Q$178,"&gt;"&amp;Q149)+COUNTIF($Q$7:Q149,Q149)-1)</f>
        <v/>
      </c>
      <c r="S149" s="122" t="n"/>
      <c r="T149" s="117" t="n"/>
      <c r="U149" s="117" t="n"/>
      <c r="V149" s="123" t="inlineStr">
        <is>
          <t>Élevée</t>
        </is>
      </c>
      <c r="W149" s="117" t="inlineStr">
        <is>
          <t>Headfonics import</t>
        </is>
      </c>
      <c r="X149" s="118" t="n"/>
      <c r="Y149" s="123" t="inlineStr">
        <is>
          <t>Reader (non relevé)</t>
        </is>
      </c>
      <c r="Z149" s="124" t="n">
        <v>44384</v>
      </c>
      <c r="AA149" s="125" t="n">
        <v>7</v>
      </c>
      <c r="AB149" s="126" t="inlineStr">
        <is>
          <t>https://headfonics.com/?s=Hidizs+S3+Pro</t>
        </is>
      </c>
      <c r="AC149" s="117" t="inlineStr">
        <is>
          <t>Portable dongle DAC/amp</t>
        </is>
      </c>
      <c r="AD149" s="123" t="inlineStr">
        <is>
          <t>Ajout Headfonics</t>
        </is>
      </c>
      <c r="AE149" s="125" t="n">
        <v>133</v>
      </c>
      <c r="AF149" s="138" t="n">
        <v>61</v>
      </c>
      <c r="AG149" s="122" t="inlineStr">
        <is>
          <t>Malgré son très petit format, le S3 Pro propose un équilibre chaud et agréable avec une restitution étonnamment détaillée et spacieuse pour les IEM.</t>
        </is>
      </c>
      <c r="AH149" s="117" t="inlineStr">
        <is>
          <t>Chaude, douce</t>
        </is>
      </c>
      <c r="AI149" s="117" t="inlineStr">
        <is>
          <t>Scène expansive pour sa taille et bon niveau de détail avec IEM; fond silencieux.</t>
        </is>
      </c>
      <c r="AJ149" s="117" t="inlineStr">
        <is>
          <t>Seulement 55 mW: peu adapté aux casques planaires ou peu sensibles; aigu plus réservé.</t>
        </is>
      </c>
      <c r="AK149" s="117" t="inlineStr">
        <is>
          <t>https://headfonics.com/hidizs-s3-pro-review/</t>
        </is>
      </c>
      <c r="AL149" s="125" t="n">
        <v>4</v>
      </c>
      <c r="AM149" s="123" t="inlineStr">
        <is>
          <t>Élevée — 3+ sources, domaines variés</t>
        </is>
      </c>
      <c r="AN149" s="117" t="inlineStr">
        <is>
          <t>https://www.head-fi.org/showcase/hidizs-s3-pro.25264/reviews</t>
        </is>
      </c>
      <c r="AO149" s="128" t="inlineStr">
        <is>
          <t>https://primeaudio.org/hidizs-s3-pro-review/</t>
        </is>
      </c>
      <c r="AP149" s="117" t="inlineStr">
        <is>
          <t>https://mobileaudiophile.com/dacs/dongle/hidizs-s3-pro-review-tiny-cute/</t>
        </is>
      </c>
      <c r="AQ149" s="123" t="inlineStr">
        <is>
          <t>Objectif atteint</t>
        </is>
      </c>
      <c r="AR149" s="117" t="inlineStr">
        <is>
          <t>Head-Fi reviews: 1; Review éditoriale: 3</t>
        </is>
      </c>
    </row>
    <row r="150" ht="54" customHeight="1">
      <c r="A150" s="129" t="inlineStr">
        <is>
          <t>iFi audio</t>
        </is>
      </c>
      <c r="B150" s="129" t="inlineStr">
        <is>
          <t>iDSD Diablo</t>
        </is>
      </c>
      <c r="C150" s="129" t="inlineStr">
        <is>
          <t>Portable Amp/DAC (Headfonics)</t>
        </is>
      </c>
      <c r="D150" s="129" t="inlineStr">
        <is>
          <t>Neutre, propre, rapide</t>
        </is>
      </c>
      <c r="E150" s="129" t="inlineStr">
        <is>
          <t>Puissance, matière/timbres, dynamique</t>
        </is>
      </c>
      <c r="F150" s="129" t="inlineStr">
        <is>
          <t>Très puissant et moins adapté aux IEM sensibles</t>
        </is>
      </c>
      <c r="G150" s="130" t="n">
        <v>9</v>
      </c>
      <c r="H150" s="131" t="n">
        <v>8.800000000000001</v>
      </c>
      <c r="I150" s="131" t="n">
        <v>8.800000000000001</v>
      </c>
      <c r="J150" s="131" t="n">
        <v>8.699999999999999</v>
      </c>
      <c r="K150" s="131" t="n">
        <v>8.9</v>
      </c>
      <c r="L150" s="131" t="n">
        <v>9.1</v>
      </c>
      <c r="M150" s="131" t="n">
        <v>9</v>
      </c>
      <c r="N150" s="131" t="n">
        <v>9.300000000000001</v>
      </c>
      <c r="O150" s="131" t="n">
        <v>6.5</v>
      </c>
      <c r="P150" s="131" t="n">
        <v>8.300000000000001</v>
      </c>
      <c r="Q150" s="158">
        <f>IF(COUNT(G150:P150)=10,ROUND((G150*'Pondérations'!$B$5+H150*'Pondérations'!$B$6+I150*'Pondérations'!$B$7+J150*'Pondérations'!$B$8+K150*'Pondérations'!$B$9+L150*'Pondérations'!$B$10+M150*'Pondérations'!$B$11+N150*'Pondérations'!$B$12+O150*'Pondérations'!$B$13+P150*'Pondérations'!$B$14)/'Pondérations'!$B$16,3),"")</f>
        <v/>
      </c>
      <c r="R150" s="159">
        <f>IF(Q150="","",1+COUNTIF($Q$7:$Q$178,"&gt;"&amp;Q150)+COUNTIF($Q$7:Q150,Q150)-1)</f>
        <v/>
      </c>
      <c r="S150" s="132" t="n"/>
      <c r="T150" s="129" t="n"/>
      <c r="U150" s="129" t="n"/>
      <c r="V150" s="133" t="inlineStr">
        <is>
          <t>Élevée</t>
        </is>
      </c>
      <c r="W150" s="129" t="inlineStr">
        <is>
          <t>Headfonics import</t>
        </is>
      </c>
      <c r="X150" s="130" t="n"/>
      <c r="Y150" s="133" t="inlineStr">
        <is>
          <t>Reader (non relevé)</t>
        </is>
      </c>
      <c r="Z150" s="134" t="n">
        <v>44381</v>
      </c>
      <c r="AA150" s="135" t="n">
        <v>7</v>
      </c>
      <c r="AB150" s="139" t="inlineStr">
        <is>
          <t>https://headfonics.com/?s=iFi+audio+iDSD+Diablo</t>
        </is>
      </c>
      <c r="AC150" s="129" t="inlineStr">
        <is>
          <t>High-power battery portable DAC/amp</t>
        </is>
      </c>
      <c r="AD150" s="133" t="inlineStr">
        <is>
          <t>Ajout Headfonics</t>
        </is>
      </c>
      <c r="AE150" s="135" t="n">
        <v>134</v>
      </c>
      <c r="AF150" s="136" t="n">
        <v>790</v>
      </c>
      <c r="AG150" s="132" t="inlineStr">
        <is>
          <t>Le Diablo original privilégie un signal peu coloré, très puissant et rapide, avec davantage de dynamique et de netteté que les iFi Signature plus chaleureux.</t>
        </is>
      </c>
      <c r="AH150" s="129" t="inlineStr">
        <is>
          <t>Neutre, propre, rapide</t>
        </is>
      </c>
      <c r="AI150" s="129" t="inlineStr">
        <is>
          <t>Très bonne dynamique, attaque/decay rapides et haut niveau de résolution; restitution plus 'grand système' que la plupart des portables.</t>
        </is>
      </c>
      <c r="AJ150" s="129" t="inlineStr">
        <is>
          <t>Très puissant et moins adapté aux IEM sensibles; pas d'XBass et format encombrant.</t>
        </is>
      </c>
      <c r="AK150" s="129" t="inlineStr">
        <is>
          <t>https://headfonics.com/ifi-audio-idsd-diablo-review/2/</t>
        </is>
      </c>
      <c r="AL150" s="135" t="n">
        <v>4</v>
      </c>
      <c r="AM150" s="133" t="inlineStr">
        <is>
          <t>Élevée — 3+ sources, domaines variés</t>
        </is>
      </c>
      <c r="AN150" s="129" t="inlineStr">
        <is>
          <t>https://www.head-fi.org/showcase/ifi-audio-idsd-diablo.24995/reviews</t>
        </is>
      </c>
      <c r="AO150" s="137" t="inlineStr">
        <is>
          <t>https://www.headphonesty.com/2021/05/review-ifi-idsd-diablo/</t>
        </is>
      </c>
      <c r="AP150" s="129" t="inlineStr">
        <is>
          <t>https://www.soundphilereview.com/reviews/ifi-idsd-diablo-review-devilishly-good-13016/</t>
        </is>
      </c>
      <c r="AQ150" s="133" t="inlineStr">
        <is>
          <t>Objectif atteint</t>
        </is>
      </c>
      <c r="AR150" s="129" t="inlineStr">
        <is>
          <t>Head-Fi reviews: 1; Review éditoriale: 3</t>
        </is>
      </c>
    </row>
    <row r="151" ht="54" customHeight="1">
      <c r="A151" s="117" t="inlineStr">
        <is>
          <t>Phatlab</t>
        </is>
      </c>
      <c r="B151" s="117" t="inlineStr">
        <is>
          <t>Chimera</t>
        </is>
      </c>
      <c r="C151" s="117" t="inlineStr">
        <is>
          <t>Portable Amp/DAC (Headfonics)</t>
        </is>
      </c>
      <c r="D151" s="117" t="inlineStr">
        <is>
          <t>Chaleureuse, texturée, typée tubes</t>
        </is>
      </c>
      <c r="E151" s="117" t="inlineStr">
        <is>
          <t>Matière/timbres, image 3d, profondeur</t>
        </is>
      </c>
      <c r="F151" s="117" t="inlineStr">
        <is>
          <t>Cher, encombrant et coloré</t>
        </is>
      </c>
      <c r="G151" s="118" t="n">
        <v>8.9</v>
      </c>
      <c r="H151" s="119" t="n">
        <v>8.9</v>
      </c>
      <c r="I151" s="119" t="n">
        <v>9</v>
      </c>
      <c r="J151" s="119" t="n">
        <v>9</v>
      </c>
      <c r="K151" s="119" t="n">
        <v>9</v>
      </c>
      <c r="L151" s="119" t="n">
        <v>9.699999999999999</v>
      </c>
      <c r="M151" s="119" t="n">
        <v>9</v>
      </c>
      <c r="N151" s="119" t="n">
        <v>8.5</v>
      </c>
      <c r="O151" s="119" t="n">
        <v>6.5</v>
      </c>
      <c r="P151" s="119" t="n">
        <v>8.699999999999999</v>
      </c>
      <c r="Q151" s="158">
        <f>IF(COUNT(G151:P151)=10,ROUND((G151*'Pondérations'!$B$5+H151*'Pondérations'!$B$6+I151*'Pondérations'!$B$7+J151*'Pondérations'!$B$8+K151*'Pondérations'!$B$9+L151*'Pondérations'!$B$10+M151*'Pondérations'!$B$11+N151*'Pondérations'!$B$12+O151*'Pondérations'!$B$13+P151*'Pondérations'!$B$14)/'Pondérations'!$B$16,3),"")</f>
        <v/>
      </c>
      <c r="R151" s="159">
        <f>IF(Q151="","",1+COUNTIF($Q$7:$Q$178,"&gt;"&amp;Q151)+COUNTIF($Q$7:Q151,Q151)-1)</f>
        <v/>
      </c>
      <c r="S151" s="122" t="n"/>
      <c r="T151" s="117" t="n"/>
      <c r="U151" s="117" t="n"/>
      <c r="V151" s="123" t="inlineStr">
        <is>
          <t>Élevée</t>
        </is>
      </c>
      <c r="W151" s="117" t="inlineStr">
        <is>
          <t>Headfonics import</t>
        </is>
      </c>
      <c r="X151" s="118" t="n">
        <v>8.5</v>
      </c>
      <c r="Y151" s="123" t="inlineStr">
        <is>
          <t>Reader</t>
        </is>
      </c>
      <c r="Z151" s="124" t="n">
        <v>44377</v>
      </c>
      <c r="AA151" s="125" t="n">
        <v>7</v>
      </c>
      <c r="AB151" s="126" t="inlineStr">
        <is>
          <t>https://headfonics.com/?s=Phatlab+Chimera</t>
        </is>
      </c>
      <c r="AC151" s="117" t="inlineStr">
        <is>
          <t>Portable headphone amplifier</t>
        </is>
      </c>
      <c r="AD151" s="123" t="inlineStr">
        <is>
          <t>Ajout Headfonics</t>
        </is>
      </c>
      <c r="AE151" s="125" t="n">
        <v>135</v>
      </c>
      <c r="AF151" s="138" t="n">
        <v>787</v>
      </c>
      <c r="AG151" s="122" t="inlineStr">
        <is>
          <t>Amplificateur portable à tubes/JFET ayant une vraie personnalité; privilégie caractère, texture et flexibilité plutôt qu’une restitution calibrée au millimètre.</t>
        </is>
      </c>
      <c r="AH151" s="117" t="inlineStr">
        <is>
          <t>Chaleureuse, texturée, typée tubes</t>
        </is>
      </c>
      <c r="AI151" s="117" t="inlineStr">
        <is>
          <t>Bonne matière et sensation de volume; rendu plus organique que chirurgical</t>
        </is>
      </c>
      <c r="AJ151" s="117" t="inlineStr">
        <is>
          <t>Cher, encombrant et coloré; amplification uniquement</t>
        </is>
      </c>
      <c r="AK151" s="117" t="inlineStr">
        <is>
          <t>https://headfonics.com/phatlab-chimera-review/</t>
        </is>
      </c>
      <c r="AL151" s="125" t="n">
        <v>3</v>
      </c>
      <c r="AM151" s="123" t="inlineStr">
        <is>
          <t>Élevée — 3+ sources, domaines variés</t>
        </is>
      </c>
      <c r="AN151" s="117" t="inlineStr">
        <is>
          <t>https://www.head-fi.org/showcase/phatlab-chimera.24183/reviews</t>
        </is>
      </c>
      <c r="AO151" s="128" t="inlineStr">
        <is>
          <t>https://primeaudio.org/phatlab-chimera-review/</t>
        </is>
      </c>
      <c r="AP151" s="117" t="n"/>
      <c r="AQ151" s="123" t="inlineStr">
        <is>
          <t>Objectif atteint</t>
        </is>
      </c>
      <c r="AR151" s="117" t="inlineStr">
        <is>
          <t>Head-Fi reviews: 1; Review éditoriale: 2</t>
        </is>
      </c>
    </row>
    <row r="152" ht="54" customHeight="1">
      <c r="A152" s="129" t="inlineStr">
        <is>
          <t>HiBy</t>
        </is>
      </c>
      <c r="B152" s="129" t="inlineStr">
        <is>
          <t>FC3</t>
        </is>
      </c>
      <c r="C152" s="129" t="inlineStr">
        <is>
          <t>Portable Amp/DAC (Headfonics)</t>
        </is>
      </c>
      <c r="D152" s="129" t="inlineStr">
        <is>
          <t>Neutre, légèrement douce</t>
        </is>
      </c>
      <c r="E152" s="129" t="inlineStr">
        <is>
          <t>Image 3d, profondeur, layering</t>
        </is>
      </c>
      <c r="F152" s="129" t="inlineStr">
        <is>
          <t>Puissance et résolution modestes</t>
        </is>
      </c>
      <c r="G152" s="130" t="n">
        <v>9.1</v>
      </c>
      <c r="H152" s="131" t="n">
        <v>8.4</v>
      </c>
      <c r="I152" s="131" t="n">
        <v>8.9</v>
      </c>
      <c r="J152" s="131" t="n">
        <v>8.9</v>
      </c>
      <c r="K152" s="131" t="n">
        <v>8.9</v>
      </c>
      <c r="L152" s="131" t="n">
        <v>8.800000000000001</v>
      </c>
      <c r="M152" s="131" t="n">
        <v>8.800000000000001</v>
      </c>
      <c r="N152" s="131" t="n">
        <v>7</v>
      </c>
      <c r="O152" s="131" t="n">
        <v>9.5</v>
      </c>
      <c r="P152" s="131" t="n">
        <v>8.300000000000001</v>
      </c>
      <c r="Q152" s="158">
        <f>IF(COUNT(G152:P152)=10,ROUND((G152*'Pondérations'!$B$5+H152*'Pondérations'!$B$6+I152*'Pondérations'!$B$7+J152*'Pondérations'!$B$8+K152*'Pondérations'!$B$9+L152*'Pondérations'!$B$10+M152*'Pondérations'!$B$11+N152*'Pondérations'!$B$12+O152*'Pondérations'!$B$13+P152*'Pondérations'!$B$14)/'Pondérations'!$B$16,3),"")</f>
        <v/>
      </c>
      <c r="R152" s="159">
        <f>IF(Q152="","",1+COUNTIF($Q$7:$Q$178,"&gt;"&amp;Q152)+COUNTIF($Q$7:Q152,Q152)-1)</f>
        <v/>
      </c>
      <c r="S152" s="132" t="n"/>
      <c r="T152" s="129" t="n"/>
      <c r="U152" s="129" t="n"/>
      <c r="V152" s="133" t="inlineStr">
        <is>
          <t>Élevée</t>
        </is>
      </c>
      <c r="W152" s="129" t="inlineStr">
        <is>
          <t>Headfonics import</t>
        </is>
      </c>
      <c r="X152" s="130" t="n">
        <v>7.8</v>
      </c>
      <c r="Y152" s="133" t="inlineStr">
        <is>
          <t>Reader</t>
        </is>
      </c>
      <c r="Z152" s="134" t="n">
        <v>44363</v>
      </c>
      <c r="AA152" s="135" t="n">
        <v>7</v>
      </c>
      <c r="AB152" s="139" t="inlineStr">
        <is>
          <t>https://headfonics.com/?s=HiBy+FC3</t>
        </is>
      </c>
      <c r="AC152" s="129" t="inlineStr">
        <is>
          <t>Portable dongle DAC/amp</t>
        </is>
      </c>
      <c r="AD152" s="133" t="inlineStr">
        <is>
          <t>Ajout Headfonics</t>
        </is>
      </c>
      <c r="AE152" s="135" t="n">
        <v>136</v>
      </c>
      <c r="AF152" s="136" t="n">
        <v>61</v>
      </c>
      <c r="AG152" s="132" t="inlineStr">
        <is>
          <t>Dongle économique bien construit qui améliore nettement une sortie téléphone/PC; approche simple, propre et polyvalente.</t>
        </is>
      </c>
      <c r="AH152" s="129" t="inlineStr">
        <is>
          <t>Neutre, légèrement douce</t>
        </is>
      </c>
      <c r="AI152" s="129" t="inlineStr">
        <is>
          <t>Clarté et scène correctes pour le prix, sans atteindre les modèles plus ambitieux</t>
        </is>
      </c>
      <c r="AJ152" s="129" t="inlineStr">
        <is>
          <t>Puissance et résolution modestes</t>
        </is>
      </c>
      <c r="AK152" s="129" t="inlineStr">
        <is>
          <t>https://headfonics.com/hiby-fc3-review/</t>
        </is>
      </c>
      <c r="AL152" s="135" t="n">
        <v>4</v>
      </c>
      <c r="AM152" s="133" t="inlineStr">
        <is>
          <t>Élevée — 3+ sources, domaines variés</t>
        </is>
      </c>
      <c r="AN152" s="129" t="inlineStr">
        <is>
          <t>https://www.head-fi.org/showcase/hiby-fc3.24946/reviews</t>
        </is>
      </c>
      <c r="AO152" s="137" t="inlineStr">
        <is>
          <t>https://everydaylistening.net/2021/03/28/hiby-fc3-review-portability-is-key/</t>
        </is>
      </c>
      <c r="AP152" s="129" t="inlineStr">
        <is>
          <t>https://primeaudio.org/hiby-fc3-usb-dac-review-purity/</t>
        </is>
      </c>
      <c r="AQ152" s="133" t="inlineStr">
        <is>
          <t>Objectif atteint</t>
        </is>
      </c>
      <c r="AR152" s="129" t="inlineStr">
        <is>
          <t>Head-Fi reviews: 1; Review éditoriale: 3</t>
        </is>
      </c>
    </row>
    <row r="153" ht="54" customHeight="1">
      <c r="A153" s="117" t="inlineStr">
        <is>
          <t>Khadas</t>
        </is>
      </c>
      <c r="B153" s="117" t="inlineStr">
        <is>
          <t>Tone2 Pro</t>
        </is>
      </c>
      <c r="C153" s="117" t="inlineStr">
        <is>
          <t>Portable Amp/DAC (Headfonics)</t>
        </is>
      </c>
      <c r="D153" s="117" t="inlineStr">
        <is>
          <t>Neutre, lisse</t>
        </is>
      </c>
      <c r="E153" s="117" t="inlineStr">
        <is>
          <t>Image 3d, profondeur, matière/timbres</t>
        </is>
      </c>
      <c r="F153" s="117" t="inlineStr">
        <is>
          <t>Ergonomie particulière et puissance encore limitée pour casques très difficiles</t>
        </is>
      </c>
      <c r="G153" s="118" t="n">
        <v>9</v>
      </c>
      <c r="H153" s="119" t="n">
        <v>8.800000000000001</v>
      </c>
      <c r="I153" s="119" t="n">
        <v>8.800000000000001</v>
      </c>
      <c r="J153" s="119" t="n">
        <v>8.800000000000001</v>
      </c>
      <c r="K153" s="119" t="n">
        <v>8.800000000000001</v>
      </c>
      <c r="L153" s="119" t="n">
        <v>9</v>
      </c>
      <c r="M153" s="119" t="n">
        <v>8.800000000000001</v>
      </c>
      <c r="N153" s="119" t="n">
        <v>8.199999999999999</v>
      </c>
      <c r="O153" s="119" t="n">
        <v>8</v>
      </c>
      <c r="P153" s="119" t="n">
        <v>8.4</v>
      </c>
      <c r="Q153" s="158">
        <f>IF(COUNT(G153:P153)=10,ROUND((G153*'Pondérations'!$B$5+H153*'Pondérations'!$B$6+I153*'Pondérations'!$B$7+J153*'Pondérations'!$B$8+K153*'Pondérations'!$B$9+L153*'Pondérations'!$B$10+M153*'Pondérations'!$B$11+N153*'Pondérations'!$B$12+O153*'Pondérations'!$B$13+P153*'Pondérations'!$B$14)/'Pondérations'!$B$16,3),"")</f>
        <v/>
      </c>
      <c r="R153" s="159">
        <f>IF(Q153="","",1+COUNTIF($Q$7:$Q$178,"&gt;"&amp;Q153)+COUNTIF($Q$7:Q153,Q153)-1)</f>
        <v/>
      </c>
      <c r="S153" s="122" t="n"/>
      <c r="T153" s="117" t="n"/>
      <c r="U153" s="117" t="n"/>
      <c r="V153" s="123" t="inlineStr">
        <is>
          <t>Élevée</t>
        </is>
      </c>
      <c r="W153" s="117" t="inlineStr">
        <is>
          <t>Headfonics import</t>
        </is>
      </c>
      <c r="X153" s="118" t="n">
        <v>8.1</v>
      </c>
      <c r="Y153" s="123" t="inlineStr">
        <is>
          <t>Reader</t>
        </is>
      </c>
      <c r="Z153" s="124" t="n">
        <v>44302</v>
      </c>
      <c r="AA153" s="125" t="n">
        <v>7</v>
      </c>
      <c r="AB153" s="126" t="inlineStr">
        <is>
          <t>https://headfonics.com/?s=Khadas+Tone2+Pro</t>
        </is>
      </c>
      <c r="AC153" s="117" t="inlineStr">
        <is>
          <t>Portable/desktop DAC/amp</t>
        </is>
      </c>
      <c r="AD153" s="123" t="inlineStr">
        <is>
          <t>Ajout Headfonics</t>
        </is>
      </c>
      <c r="AE153" s="125" t="n">
        <v>137</v>
      </c>
      <c r="AF153" s="138" t="n">
        <v>176</v>
      </c>
      <c r="AG153" s="122" t="inlineStr">
        <is>
          <t>DAC très clair avec une tonalité lisse et homogène, associé à un ampli casque étonnamment capable pour son format.</t>
        </is>
      </c>
      <c r="AH153" s="117" t="inlineStr">
        <is>
          <t>Neutre, lisse</t>
        </is>
      </c>
      <c r="AI153" s="117" t="inlineStr">
        <is>
          <t>Très bonne transparence et séparation; scène propre, davantage précise que chaleureuse</t>
        </is>
      </c>
      <c r="AJ153" s="117" t="inlineStr">
        <is>
          <t>Ergonomie particulière et puissance encore limitée pour casques très difficiles</t>
        </is>
      </c>
      <c r="AK153" s="117" t="inlineStr">
        <is>
          <t>https://headfonics.com/khadas-tone2-pro-review/</t>
        </is>
      </c>
      <c r="AL153" s="125" t="n">
        <v>4</v>
      </c>
      <c r="AM153" s="123" t="inlineStr">
        <is>
          <t>Élevée — 3+ sources, domaines variés</t>
        </is>
      </c>
      <c r="AN153" s="117" t="inlineStr">
        <is>
          <t>https://www.headphonesty.com/2021/03/review-khadas-tone2-pro/</t>
        </is>
      </c>
      <c r="AO153" s="128" t="inlineStr">
        <is>
          <t>https://www.headfonia.com/khadas-tone2-pro-review/</t>
        </is>
      </c>
      <c r="AP153" s="117" t="inlineStr">
        <is>
          <t>https://www.audioreviews.org/khadas-tone2-pro-review-jk/</t>
        </is>
      </c>
      <c r="AQ153" s="123" t="inlineStr">
        <is>
          <t>Objectif atteint</t>
        </is>
      </c>
      <c r="AR153" s="117" t="inlineStr">
        <is>
          <t>Review éditoriale: 4</t>
        </is>
      </c>
    </row>
    <row r="154" ht="54" customHeight="1">
      <c r="A154" s="129" t="inlineStr">
        <is>
          <t>Hidizs</t>
        </is>
      </c>
      <c r="B154" s="129" t="inlineStr">
        <is>
          <t>DH80</t>
        </is>
      </c>
      <c r="C154" s="129" t="inlineStr">
        <is>
          <t>Portable Amp/DAC (Headfonics)</t>
        </is>
      </c>
      <c r="D154" s="129" t="inlineStr">
        <is>
          <t>Douce, légèrement chaude</t>
        </is>
      </c>
      <c r="E154" s="129" t="inlineStr">
        <is>
          <t>Puissance, image 3d, layering</t>
        </is>
      </c>
      <c r="F154" s="129" t="inlineStr">
        <is>
          <t>Conçu surtout autour de l’AP80</t>
        </is>
      </c>
      <c r="G154" s="130" t="n">
        <v>9</v>
      </c>
      <c r="H154" s="131" t="n">
        <v>8.9</v>
      </c>
      <c r="I154" s="131" t="n">
        <v>8.800000000000001</v>
      </c>
      <c r="J154" s="131" t="n">
        <v>8.800000000000001</v>
      </c>
      <c r="K154" s="131" t="n">
        <v>8.9</v>
      </c>
      <c r="L154" s="131" t="n">
        <v>9</v>
      </c>
      <c r="M154" s="131" t="n">
        <v>8.800000000000001</v>
      </c>
      <c r="N154" s="131" t="n">
        <v>9.300000000000001</v>
      </c>
      <c r="O154" s="131" t="n">
        <v>8</v>
      </c>
      <c r="P154" s="131" t="n">
        <v>8.300000000000001</v>
      </c>
      <c r="Q154" s="158">
        <f>IF(COUNT(G154:P154)=10,ROUND((G154*'Pondérations'!$B$5+H154*'Pondérations'!$B$6+I154*'Pondérations'!$B$7+J154*'Pondérations'!$B$8+K154*'Pondérations'!$B$9+L154*'Pondérations'!$B$10+M154*'Pondérations'!$B$11+N154*'Pondérations'!$B$12+O154*'Pondérations'!$B$13+P154*'Pondérations'!$B$14)/'Pondérations'!$B$16,3),"")</f>
        <v/>
      </c>
      <c r="R154" s="159">
        <f>IF(Q154="","",1+COUNTIF($Q$7:$Q$178,"&gt;"&amp;Q154)+COUNTIF($Q$7:Q154,Q154)-1)</f>
        <v/>
      </c>
      <c r="S154" s="132" t="n"/>
      <c r="T154" s="129" t="n"/>
      <c r="U154" s="129" t="n"/>
      <c r="V154" s="133" t="inlineStr">
        <is>
          <t>Élevée</t>
        </is>
      </c>
      <c r="W154" s="129" t="inlineStr">
        <is>
          <t>Headfonics import</t>
        </is>
      </c>
      <c r="X154" s="130" t="n">
        <v>8.1</v>
      </c>
      <c r="Y154" s="133" t="inlineStr">
        <is>
          <t>Reader</t>
        </is>
      </c>
      <c r="Z154" s="134" t="n">
        <v>44300</v>
      </c>
      <c r="AA154" s="135" t="n">
        <v>7</v>
      </c>
      <c r="AB154" s="139" t="inlineStr">
        <is>
          <t>https://headfonics.com/?s=Hidizs+DH80</t>
        </is>
      </c>
      <c r="AC154" s="129" t="inlineStr">
        <is>
          <t>Battery portable DAC/amp</t>
        </is>
      </c>
      <c r="AD154" s="133" t="inlineStr">
        <is>
          <t>Ajout Headfonics</t>
        </is>
      </c>
      <c r="AE154" s="135" t="n">
        <v>138</v>
      </c>
      <c r="AF154" s="136" t="n">
        <v>122</v>
      </c>
      <c r="AG154" s="132" t="inlineStr">
        <is>
          <t>Son doux avec peu de mordant physique; devient plus vivant avec une source légèrement montante et offre beaucoup de puissance dans un ensemble compact.</t>
        </is>
      </c>
      <c r="AH154" s="129" t="inlineStr">
        <is>
          <t>Douce, légèrement chaude</t>
        </is>
      </c>
      <c r="AI154" s="129" t="inlineStr">
        <is>
          <t>Bonne densité et puissance; scène correcte mais attaque plutôt arrondie</t>
        </is>
      </c>
      <c r="AJ154" s="129" t="inlineStr">
        <is>
          <t>Conçu surtout autour de l’AP80; connexion/format moins universels</t>
        </is>
      </c>
      <c r="AK154" s="129" t="inlineStr">
        <is>
          <t>https://headfonics.com/hidizs-dh80-review/</t>
        </is>
      </c>
      <c r="AL154" s="135" t="n">
        <v>3</v>
      </c>
      <c r="AM154" s="133" t="inlineStr">
        <is>
          <t>Élevée — 3+ sources, domaines variés</t>
        </is>
      </c>
      <c r="AN154" s="129" t="inlineStr">
        <is>
          <t>https://www.head-fi.org/showcase/hidizs-dh80-dh80s.25066/reviews</t>
        </is>
      </c>
      <c r="AO154" s="137" t="inlineStr">
        <is>
          <t>https://www.headfonia.com/hidizs-dh80-review/</t>
        </is>
      </c>
      <c r="AP154" s="129" t="n"/>
      <c r="AQ154" s="133" t="inlineStr">
        <is>
          <t>Objectif atteint</t>
        </is>
      </c>
      <c r="AR154" s="129" t="inlineStr">
        <is>
          <t>Head-Fi reviews: 1; Review éditoriale: 2</t>
        </is>
      </c>
    </row>
    <row r="155" ht="54" customHeight="1">
      <c r="A155" s="117" t="inlineStr">
        <is>
          <t>iBasso</t>
        </is>
      </c>
      <c r="B155" s="117" t="inlineStr">
        <is>
          <t>DC04</t>
        </is>
      </c>
      <c r="C155" s="117" t="inlineStr">
        <is>
          <t>Portable Amp/DAC (Headfonics)</t>
        </is>
      </c>
      <c r="D155" s="117" t="inlineStr">
        <is>
          <t>Neutre, robuste</t>
        </is>
      </c>
      <c r="E155" s="117" t="inlineStr">
        <is>
          <t>Image 3d, profondeur, propreté/contrôle</t>
        </is>
      </c>
      <c r="F155" s="117" t="inlineStr">
        <is>
          <t>Sortie 4,4 mm uniquement</t>
        </is>
      </c>
      <c r="G155" s="118" t="n">
        <v>9</v>
      </c>
      <c r="H155" s="119" t="n">
        <v>8.800000000000001</v>
      </c>
      <c r="I155" s="119" t="n">
        <v>8.800000000000001</v>
      </c>
      <c r="J155" s="119" t="n">
        <v>8.800000000000001</v>
      </c>
      <c r="K155" s="119" t="n">
        <v>8.800000000000001</v>
      </c>
      <c r="L155" s="119" t="n">
        <v>8.9</v>
      </c>
      <c r="M155" s="119" t="n">
        <v>8.800000000000001</v>
      </c>
      <c r="N155" s="119" t="n">
        <v>8.699999999999999</v>
      </c>
      <c r="O155" s="119" t="n">
        <v>9.5</v>
      </c>
      <c r="P155" s="119" t="n">
        <v>8.300000000000001</v>
      </c>
      <c r="Q155" s="158">
        <f>IF(COUNT(G155:P155)=10,ROUND((G155*'Pondérations'!$B$5+H155*'Pondérations'!$B$6+I155*'Pondérations'!$B$7+J155*'Pondérations'!$B$8+K155*'Pondérations'!$B$9+L155*'Pondérations'!$B$10+M155*'Pondérations'!$B$11+N155*'Pondérations'!$B$12+O155*'Pondérations'!$B$13+P155*'Pondérations'!$B$14)/'Pondérations'!$B$16,3),"")</f>
        <v/>
      </c>
      <c r="R155" s="159">
        <f>IF(Q155="","",1+COUNTIF($Q$7:$Q$178,"&gt;"&amp;Q155)+COUNTIF($Q$7:Q155,Q155)-1)</f>
        <v/>
      </c>
      <c r="S155" s="122" t="n"/>
      <c r="T155" s="117" t="n"/>
      <c r="U155" s="117" t="n"/>
      <c r="V155" s="123" t="inlineStr">
        <is>
          <t>Élevée</t>
        </is>
      </c>
      <c r="W155" s="117" t="inlineStr">
        <is>
          <t>Headfonics import</t>
        </is>
      </c>
      <c r="X155" s="118" t="n">
        <v>8</v>
      </c>
      <c r="Y155" s="123" t="inlineStr">
        <is>
          <t>Reader</t>
        </is>
      </c>
      <c r="Z155" s="124" t="n">
        <v>44296</v>
      </c>
      <c r="AA155" s="125" t="n">
        <v>7</v>
      </c>
      <c r="AB155" s="126" t="inlineStr">
        <is>
          <t>https://headfonics.com/?s=iBasso+DC04</t>
        </is>
      </c>
      <c r="AC155" s="117" t="inlineStr">
        <is>
          <t>Portable dongle DAC/amp</t>
        </is>
      </c>
      <c r="AD155" s="123" t="inlineStr">
        <is>
          <t>Ajout Headfonics</t>
        </is>
      </c>
      <c r="AE155" s="125" t="n">
        <v>139</v>
      </c>
      <c r="AF155" s="138" t="n">
        <v>66</v>
      </c>
      <c r="AG155" s="122" t="inlineStr">
        <is>
          <t>Dongle 4,4 mm bien construit avec une réserve de puissance supérieure à beaucoup de contemporains, capable de tenir certains casques gourmands.</t>
        </is>
      </c>
      <c r="AH155" s="117" t="inlineStr">
        <is>
          <t>Neutre, robuste</t>
        </is>
      </c>
      <c r="AI155" s="117" t="inlineStr">
        <is>
          <t>Bonne dynamique et contrôle; présentation solide plutôt que particulièrement raffinée</t>
        </is>
      </c>
      <c r="AJ155" s="117" t="inlineStr">
        <is>
          <t>Sortie 4,4 mm uniquement; génération ancienne</t>
        </is>
      </c>
      <c r="AK155" s="117" t="inlineStr">
        <is>
          <t>https://headfonics.com/ibasso-dc04-review/</t>
        </is>
      </c>
      <c r="AL155" s="125" t="n">
        <v>3</v>
      </c>
      <c r="AM155" s="123" t="inlineStr">
        <is>
          <t>Élevée — 3+ sources, domaines variés</t>
        </is>
      </c>
      <c r="AN155" s="117" t="inlineStr">
        <is>
          <t>https://www.head-fi.org/threads/usb-c-to-3-5mm-adapters-dac-lets-find-the-best.908839/</t>
        </is>
      </c>
      <c r="AO155" s="128" t="inlineStr">
        <is>
          <t>https://www.youtube.com/watch?v=EZkgnkM-oMc</t>
        </is>
      </c>
      <c r="AP155" s="117" t="n"/>
      <c r="AQ155" s="123" t="inlineStr">
        <is>
          <t>Objectif atteint</t>
        </is>
      </c>
      <c r="AR155" s="117" t="inlineStr">
        <is>
          <t>Head-Fi forum: 1; Review éditoriale: 1; Vidéo review: 1</t>
        </is>
      </c>
    </row>
    <row r="156" ht="54" customHeight="1">
      <c r="A156" s="129" t="inlineStr">
        <is>
          <t>HiBy</t>
        </is>
      </c>
      <c r="B156" s="129" t="inlineStr">
        <is>
          <t>FD1 &amp; Beans</t>
        </is>
      </c>
      <c r="C156" s="129" t="inlineStr">
        <is>
          <t>Portable Amp/DAC (Headfonics)</t>
        </is>
      </c>
      <c r="D156" s="129" t="inlineStr">
        <is>
          <t>Équilibrée, simple</t>
        </is>
      </c>
      <c r="E156" s="129" t="inlineStr">
        <is>
          <t>Microdétail, layering, profondeur</t>
        </is>
      </c>
      <c r="F156" s="129" t="inlineStr">
        <is>
          <t>Produit ancien, puissance et raffinement limités</t>
        </is>
      </c>
      <c r="G156" s="130" t="n">
        <v>9.1</v>
      </c>
      <c r="H156" s="131" t="n">
        <v>9.1</v>
      </c>
      <c r="I156" s="131" t="n">
        <v>8.9</v>
      </c>
      <c r="J156" s="131" t="n">
        <v>8.800000000000001</v>
      </c>
      <c r="K156" s="131" t="n">
        <v>9</v>
      </c>
      <c r="L156" s="131" t="n">
        <v>8.9</v>
      </c>
      <c r="M156" s="131" t="n">
        <v>8.9</v>
      </c>
      <c r="N156" s="131" t="n">
        <v>8.5</v>
      </c>
      <c r="O156" s="131" t="n">
        <v>8</v>
      </c>
      <c r="P156" s="131" t="n">
        <v>8.699999999999999</v>
      </c>
      <c r="Q156" s="158">
        <f>IF(COUNT(G156:P156)=10,ROUND((G156*'Pondérations'!$B$5+H156*'Pondérations'!$B$6+I156*'Pondérations'!$B$7+J156*'Pondérations'!$B$8+K156*'Pondérations'!$B$9+L156*'Pondérations'!$B$10+M156*'Pondérations'!$B$11+N156*'Pondérations'!$B$12+O156*'Pondérations'!$B$13+P156*'Pondérations'!$B$14)/'Pondérations'!$B$16,3),"")</f>
        <v/>
      </c>
      <c r="R156" s="159">
        <f>IF(Q156="","",1+COUNTIF($Q$7:$Q$178,"&gt;"&amp;Q156)+COUNTIF($Q$7:Q156,Q156)-1)</f>
        <v/>
      </c>
      <c r="S156" s="132" t="n"/>
      <c r="T156" s="129" t="n"/>
      <c r="U156" s="129" t="n"/>
      <c r="V156" s="133" t="inlineStr">
        <is>
          <t>Élevée</t>
        </is>
      </c>
      <c r="W156" s="129" t="inlineStr">
        <is>
          <t>Headfonics import</t>
        </is>
      </c>
      <c r="X156" s="130" t="n"/>
      <c r="Y156" s="133" t="inlineStr">
        <is>
          <t>Reader (non relevé)</t>
        </is>
      </c>
      <c r="Z156" s="134" t="n">
        <v>44288</v>
      </c>
      <c r="AA156" s="135" t="n">
        <v>7</v>
      </c>
      <c r="AB156" s="139" t="inlineStr">
        <is>
          <t>https://headfonics.com/?s=HiBy+FD1+%26+Beans</t>
        </is>
      </c>
      <c r="AC156" s="129" t="inlineStr">
        <is>
          <t>Portable DAC/amp bundle</t>
        </is>
      </c>
      <c r="AD156" s="133" t="inlineStr">
        <is>
          <t>Ajout Headfonics</t>
        </is>
      </c>
      <c r="AE156" s="135" t="n">
        <v>140</v>
      </c>
      <c r="AF156" s="136" t="n">
        <v>52</v>
      </c>
      <c r="AG156" s="132" t="inlineStr">
        <is>
          <t>Petit DAC/amp économique pensé comme élément d’un mini-stack; son intérêt principal est la polyvalence SE/symétrique et le rapport prix/usage.</t>
        </is>
      </c>
      <c r="AH156" s="129" t="inlineStr">
        <is>
          <t>Équilibrée, simple</t>
        </is>
      </c>
      <c r="AI156" s="129" t="inlineStr">
        <is>
          <t>Performance correcte et propre pour le tarif; spatialisation et microdétail modestes</t>
        </is>
      </c>
      <c r="AJ156" s="129" t="inlineStr">
        <is>
          <t>Produit ancien, puissance et raffinement limités</t>
        </is>
      </c>
      <c r="AK156" s="129" t="inlineStr">
        <is>
          <t>https://headfonics.com/hiby-fd1-beans-review/</t>
        </is>
      </c>
      <c r="AL156" s="135" t="n">
        <v>3</v>
      </c>
      <c r="AM156" s="133" t="inlineStr">
        <is>
          <t>Élevée — 3+ sources, domaines variés</t>
        </is>
      </c>
      <c r="AN156" s="129" t="inlineStr">
        <is>
          <t>https://www.headfonia.com/hiby-r2-fd1-beans-review/</t>
        </is>
      </c>
      <c r="AO156" s="137" t="inlineStr">
        <is>
          <t>https://www.head-fi.org/showcase/hiby-fd1.24723/</t>
        </is>
      </c>
      <c r="AP156" s="129" t="n"/>
      <c r="AQ156" s="133" t="inlineStr">
        <is>
          <t>Objectif atteint</t>
        </is>
      </c>
      <c r="AR156" s="129" t="inlineStr">
        <is>
          <t>Head-Fi reviews: 1; Review éditoriale: 2</t>
        </is>
      </c>
    </row>
    <row r="157" ht="54" customHeight="1">
      <c r="A157" s="117" t="inlineStr">
        <is>
          <t>iFi audio</t>
        </is>
      </c>
      <c r="B157" s="117" t="inlineStr">
        <is>
          <t>iDSD Valkyrie</t>
        </is>
      </c>
      <c r="C157" s="117" t="inlineStr">
        <is>
          <t>DAC / ampli portable</t>
        </is>
      </c>
      <c r="D157" s="117" t="inlineStr">
        <is>
          <t>Neutre-chaude, lisse et raffinée</t>
        </is>
      </c>
      <c r="E157" s="117" t="inlineStr">
        <is>
          <t>Microdétail, profondeur, layering</t>
        </is>
      </c>
      <c r="F157" s="117" t="inlineStr">
        <is>
          <t>Très gros et coûteux</t>
        </is>
      </c>
      <c r="G157" s="118" t="n">
        <v>9.1</v>
      </c>
      <c r="H157" s="119" t="n">
        <v>9.300000000000001</v>
      </c>
      <c r="I157" s="119" t="n">
        <v>9.1</v>
      </c>
      <c r="J157" s="119" t="n">
        <v>8.9</v>
      </c>
      <c r="K157" s="119" t="n">
        <v>9.1</v>
      </c>
      <c r="L157" s="119" t="n">
        <v>9.300000000000001</v>
      </c>
      <c r="M157" s="119" t="n">
        <v>9.1</v>
      </c>
      <c r="N157" s="119" t="n">
        <v>8.300000000000001</v>
      </c>
      <c r="O157" s="119" t="n">
        <v>6.5</v>
      </c>
      <c r="P157" s="119" t="n">
        <v>9</v>
      </c>
      <c r="Q157" s="158">
        <f>IF(COUNT(G157:P157)=10,ROUND((G157*'Pondérations'!$B$5+H157*'Pondérations'!$B$6+I157*'Pondérations'!$B$7+J157*'Pondérations'!$B$8+K157*'Pondérations'!$B$9+L157*'Pondérations'!$B$10+M157*'Pondérations'!$B$11+N157*'Pondérations'!$B$12+O157*'Pondérations'!$B$13+P157*'Pondérations'!$B$14)/'Pondérations'!$B$16,3),"")</f>
        <v/>
      </c>
      <c r="R157" s="159">
        <f>IF(Q157="","",1+COUNTIF($Q$7:$Q$178,"&gt;"&amp;Q157)+COUNTIF($Q$7:Q157,Q157)-1)</f>
        <v/>
      </c>
      <c r="S157" s="122" t="n"/>
      <c r="T157" s="117" t="n"/>
      <c r="U157" s="117" t="n"/>
      <c r="V157" s="123" t="inlineStr">
        <is>
          <t>Élevée</t>
        </is>
      </c>
      <c r="W157" s="117" t="inlineStr">
        <is>
          <t>Import catalogue</t>
        </is>
      </c>
      <c r="X157" s="118" t="n"/>
      <c r="Y157" s="123" t="n"/>
      <c r="Z157" s="124" t="n"/>
      <c r="AA157" s="125" t="n"/>
      <c r="AB157" s="140" t="n"/>
      <c r="AC157" s="117" t="n"/>
      <c r="AD157" s="123" t="inlineStr">
        <is>
          <t>Ajout import catalogue</t>
        </is>
      </c>
      <c r="AE157" s="125" t="n"/>
      <c r="AF157" s="127" t="n">
        <v>1669</v>
      </c>
      <c r="AG157" s="122" t="inlineStr">
        <is>
          <t>Le Valkyrie est présenté comme un portable haut de gamme très détaillé mais jamais agressif, avec une signature Burr-Brown douce et légèrement chaude. Il offre de nombreux traitements optionnels.</t>
        </is>
      </c>
      <c r="AH157" s="117" t="inlineStr">
        <is>
          <t>Neutre-chaude, lisse et raffinée</t>
        </is>
      </c>
      <c r="AI157" s="117" t="inlineStr">
        <is>
          <t>Scène très ouverte, ample et bien définie, excellente récupération des détails et des textures.</t>
        </is>
      </c>
      <c r="AJ157" s="117" t="inlineStr">
        <is>
          <t>Très gros et coûteux; les nombreux filtres/traitements peuvent compliquer le choix et certains modes colorent sensiblement le signal.</t>
        </is>
      </c>
      <c r="AK157" s="117" t="inlineStr">
        <is>
          <t>https://www.techradar.com/audio/hi-fi/ifi-idsd-valkyrie-review</t>
        </is>
      </c>
      <c r="AL157" s="125" t="n">
        <v>4</v>
      </c>
      <c r="AM157" s="123" t="inlineStr">
        <is>
          <t>Élevée — 3+ sources, domaines variés</t>
        </is>
      </c>
      <c r="AN157" s="117" t="inlineStr">
        <is>
          <t>https://www.headfonia.com/ifi-audio-valkyrie-review/</t>
        </is>
      </c>
      <c r="AO157" s="128" t="inlineStr">
        <is>
          <t>https://www.hifioasis.com/reviews/ifi-idsd-valkyrie-review/</t>
        </is>
      </c>
      <c r="AP157" s="117" t="inlineStr">
        <is>
          <t>https://www.ecoustics.com/reviews/ifi-idsd-valkyrie-2025/</t>
        </is>
      </c>
      <c r="AQ157" s="123" t="inlineStr">
        <is>
          <t>Objectif atteint</t>
        </is>
      </c>
      <c r="AR157" s="117" t="inlineStr">
        <is>
          <t>Review éditoriale: 4</t>
        </is>
      </c>
    </row>
    <row r="158" ht="54" customHeight="1">
      <c r="A158" s="129" t="inlineStr">
        <is>
          <t>FangSound</t>
        </is>
      </c>
      <c r="B158" s="129" t="inlineStr">
        <is>
          <t>Prometheus</t>
        </is>
      </c>
      <c r="C158" s="129" t="inlineStr">
        <is>
          <t>DAC / ampli portable</t>
        </is>
      </c>
      <c r="D158" s="129" t="inlineStr">
        <is>
          <t>Neutre à légèrement doux, propre, non agressif</t>
        </is>
      </c>
      <c r="E158" s="129" t="inlineStr">
        <is>
          <t>Propreté/contrôle, puissance, dynamique</t>
        </is>
      </c>
      <c r="F158" s="129" t="inlineStr">
        <is>
          <t>Chauffe et consommation élevées</t>
        </is>
      </c>
      <c r="G158" s="130" t="n">
        <v>9.4</v>
      </c>
      <c r="H158" s="131" t="n">
        <v>8.9</v>
      </c>
      <c r="I158" s="131" t="n">
        <v>8.800000000000001</v>
      </c>
      <c r="J158" s="131" t="n">
        <v>9</v>
      </c>
      <c r="K158" s="131" t="n">
        <v>8.9</v>
      </c>
      <c r="L158" s="131" t="n">
        <v>9.1</v>
      </c>
      <c r="M158" s="131" t="n">
        <v>9.1</v>
      </c>
      <c r="N158" s="131" t="n">
        <v>9.300000000000001</v>
      </c>
      <c r="O158" s="131" t="n">
        <v>9.300000000000001</v>
      </c>
      <c r="P158" s="131" t="n">
        <v>8.5</v>
      </c>
      <c r="Q158" s="158">
        <f>IF(COUNT(G158:P158)=10,ROUND((G158*'Pondérations'!$B$5+H158*'Pondérations'!$B$6+I158*'Pondérations'!$B$7+J158*'Pondérations'!$B$8+K158*'Pondérations'!$B$9+L158*'Pondérations'!$B$10+M158*'Pondérations'!$B$11+N158*'Pondérations'!$B$12+O158*'Pondérations'!$B$13+P158*'Pondérations'!$B$14)/'Pondérations'!$B$16,3),"")</f>
        <v/>
      </c>
      <c r="R158" s="159">
        <f>IF(Q158="","",1+COUNTIF($Q$7:$Q$178,"&gt;"&amp;Q158)+COUNTIF($Q$7:Q158,Q158)-1)</f>
        <v/>
      </c>
      <c r="S158" s="132" t="n"/>
      <c r="T158" s="129" t="n"/>
      <c r="U158" s="129" t="n"/>
      <c r="V158" s="133" t="inlineStr">
        <is>
          <t>Élevée</t>
        </is>
      </c>
      <c r="W158" s="129" t="inlineStr">
        <is>
          <t>Import catalogue</t>
        </is>
      </c>
      <c r="X158" s="130" t="n"/>
      <c r="Y158" s="133" t="n"/>
      <c r="Z158" s="134" t="n"/>
      <c r="AA158" s="135" t="n"/>
      <c r="AB158" s="141" t="n"/>
      <c r="AC158" s="129" t="n"/>
      <c r="AD158" s="133" t="inlineStr">
        <is>
          <t>Ajout import catalogue</t>
        </is>
      </c>
      <c r="AE158" s="135" t="n"/>
      <c r="AF158" s="127" t="n">
        <v>559</v>
      </c>
      <c r="AG158" s="132" t="inlineStr">
        <is>
          <t>Les avis convergent sur un rendu très propre, clair et détaillé, plutôt neutre, avec une puissance exceptionnelle pour un dongle. Mobile01 insiste davantage sur l’ampleur, la fluidité des grands écarts dynamiques et la sensation enveloppante, au prix d’une finesse d’imagerie un peu moindre que certains concurrents.</t>
        </is>
      </c>
      <c r="AH158" s="129" t="inlineStr">
        <is>
          <t>Neutre à légèrement doux, propre, non agressif</t>
        </is>
      </c>
      <c r="AI158" s="129" t="inlineStr">
        <is>
          <t>Scène large et enveloppante, excellente macro-dynamique et énergie; très bon détail global, mais contours et microtexture pas toujours les plus incisifs.</t>
        </is>
      </c>
      <c r="AJ158" s="129" t="inlineStr">
        <is>
          <t>Chauffe et consommation élevées; prix très élevé; finesse d’imagerie parfois derrière des dongles plus analytiques; puissance à manier avec prudence sur IEM sensibles.</t>
        </is>
      </c>
      <c r="AK158" s="129" t="inlineStr">
        <is>
          <t>https://headphonesnstuff.blog/2026/07/24/fangsound-prometheus-quick-impressions/</t>
        </is>
      </c>
      <c r="AL158" s="135" t="n">
        <v>3</v>
      </c>
      <c r="AM158" s="133" t="inlineStr">
        <is>
          <t>Élevée — 3+ sources, domaines variés</t>
        </is>
      </c>
      <c r="AN158" s="129" t="inlineStr">
        <is>
          <t>https://www.reddit.com/r/mobileaudiophile/comments/1v6cofh/fangsound_prometheus_the_portable_powerhouse/</t>
        </is>
      </c>
      <c r="AO158" s="137" t="inlineStr">
        <is>
          <t>https://www.mobile01.com/topicdetail.php?f=180&amp;t=7255482</t>
        </is>
      </c>
      <c r="AP158" s="129" t="n"/>
      <c r="AQ158" s="133" t="inlineStr">
        <is>
          <t>Objectif atteint</t>
        </is>
      </c>
      <c r="AR158" s="129" t="inlineStr">
        <is>
          <t>Communauté Reddit: 1; Forum / communauté: 1; Review éditoriale: 1</t>
        </is>
      </c>
    </row>
    <row r="159" ht="54" customHeight="1">
      <c r="A159" s="117" t="inlineStr">
        <is>
          <t>xDuoo</t>
        </is>
      </c>
      <c r="B159" s="117" t="inlineStr">
        <is>
          <t>XD05T</t>
        </is>
      </c>
      <c r="C159" s="117" t="inlineStr">
        <is>
          <t>DAC / ampli portable</t>
        </is>
      </c>
      <c r="D159" s="117" t="inlineStr">
        <is>
          <t>Chaude-neutre, organique</t>
        </is>
      </c>
      <c r="E159" s="117" t="inlineStr">
        <is>
          <t>Image 3d, matière/timbres, profondeur</t>
        </is>
      </c>
      <c r="F159" s="117" t="inlineStr">
        <is>
          <t>Plus volumineux qu'un dongle et plus coloré</t>
        </is>
      </c>
      <c r="G159" s="118" t="n">
        <v>8.699999999999999</v>
      </c>
      <c r="H159" s="119" t="n">
        <v>8.6</v>
      </c>
      <c r="I159" s="119" t="n">
        <v>9.4</v>
      </c>
      <c r="J159" s="119" t="n">
        <v>9.6</v>
      </c>
      <c r="K159" s="119" t="n">
        <v>9.300000000000001</v>
      </c>
      <c r="L159" s="119" t="n">
        <v>9.699999999999999</v>
      </c>
      <c r="M159" s="119" t="n">
        <v>8.800000000000001</v>
      </c>
      <c r="N159" s="119" t="n">
        <v>8.9</v>
      </c>
      <c r="O159" s="119" t="n">
        <v>8</v>
      </c>
      <c r="P159" s="119" t="n">
        <v>9.1</v>
      </c>
      <c r="Q159" s="158">
        <f>IF(COUNT(G159:P159)=10,ROUND((G159*'Pondérations'!$B$5+H159*'Pondérations'!$B$6+I159*'Pondérations'!$B$7+J159*'Pondérations'!$B$8+K159*'Pondérations'!$B$9+L159*'Pondérations'!$B$10+M159*'Pondérations'!$B$11+N159*'Pondérations'!$B$12+O159*'Pondérations'!$B$13+P159*'Pondérations'!$B$14)/'Pondérations'!$B$16,3),"")</f>
        <v/>
      </c>
      <c r="R159" s="159">
        <f>IF(Q159="","",1+COUNTIF($Q$7:$Q$178,"&gt;"&amp;Q159)+COUNTIF($Q$7:Q159,Q159)-1)</f>
        <v/>
      </c>
      <c r="S159" s="122" t="n"/>
      <c r="T159" s="117" t="n"/>
      <c r="U159" s="117" t="n"/>
      <c r="V159" s="123" t="inlineStr">
        <is>
          <t>Élevée</t>
        </is>
      </c>
      <c r="W159" s="117" t="inlineStr">
        <is>
          <t>Import catalogue</t>
        </is>
      </c>
      <c r="X159" s="118" t="n"/>
      <c r="Y159" s="123" t="n"/>
      <c r="Z159" s="124" t="n"/>
      <c r="AA159" s="125" t="n"/>
      <c r="AB159" s="140" t="n"/>
      <c r="AC159" s="117" t="n"/>
      <c r="AD159" s="123" t="inlineStr">
        <is>
          <t>Ajout import catalogue</t>
        </is>
      </c>
      <c r="AE159" s="125" t="n"/>
      <c r="AF159" s="127" t="n">
        <v>549</v>
      </c>
      <c r="AG159" s="122" t="inlineStr">
        <is>
          <t>Le XD05T combine une signature chaude avec une bonne transparence: grave plein mais tendu, timbres naturels et tubes utilisés pour ajouter texture plutôt que voile.</t>
        </is>
      </c>
      <c r="AH159" s="117" t="inlineStr">
        <is>
          <t>Chaude-neutre, organique</t>
        </is>
      </c>
      <c r="AI159" s="117" t="inlineStr">
        <is>
          <t>Scène panoramique avec profondeur et layering subtils, séparation naturelle et bonne sensation 3D.</t>
        </is>
      </c>
      <c r="AJ159" s="117" t="inlineStr">
        <is>
          <t>Plus volumineux qu'un dongle et plus coloré; le rendu dépend du mode/tube choisi.</t>
        </is>
      </c>
      <c r="AK159" s="117" t="inlineStr">
        <is>
          <t>https://headfonics.com/xduoo-xd05t-review/</t>
        </is>
      </c>
      <c r="AL159" s="125" t="n">
        <v>4</v>
      </c>
      <c r="AM159" s="123" t="inlineStr">
        <is>
          <t>Élevée — 3+ sources, domaines variés</t>
        </is>
      </c>
      <c r="AN159" s="117" t="inlineStr">
        <is>
          <t>https://www.head-fi.org/threads/xduoo-xd05t-portable-dac-tube-amp.974289/</t>
        </is>
      </c>
      <c r="AO159" s="128" t="inlineStr">
        <is>
          <t>https://www.techpowerup.com/review/xduoo-xd05t-portable-dac-and-tube-amplifier/</t>
        </is>
      </c>
      <c r="AP159" s="117" t="inlineStr">
        <is>
          <t>https://www.youtube.com/watch?v=EGP1yEA4QdU</t>
        </is>
      </c>
      <c r="AQ159" s="123" t="inlineStr">
        <is>
          <t>Objectif atteint</t>
        </is>
      </c>
      <c r="AR159" s="117" t="inlineStr">
        <is>
          <t>Head-Fi forum: 1; Review éditoriale: 2; Vidéo review: 1</t>
        </is>
      </c>
    </row>
    <row r="160" ht="54" customHeight="1">
      <c r="A160" s="129" t="inlineStr">
        <is>
          <t>iFi audio</t>
        </is>
      </c>
      <c r="B160" s="129" t="inlineStr">
        <is>
          <t>iDSD GR 2</t>
        </is>
      </c>
      <c r="C160" s="129" t="inlineStr">
        <is>
          <t>DAC / ampli portable</t>
        </is>
      </c>
      <c r="D160" s="129" t="inlineStr">
        <is>
          <t>Neutre-chaude, naturelle</t>
        </is>
      </c>
      <c r="E160" s="129" t="inlineStr">
        <is>
          <t>Image 3d, matière/timbres, profondeur</t>
        </is>
      </c>
      <c r="F160" s="129" t="inlineStr">
        <is>
          <t>Très récent, encore peu de recul</t>
        </is>
      </c>
      <c r="G160" s="130" t="n">
        <v>9.1</v>
      </c>
      <c r="H160" s="131" t="n">
        <v>9.1</v>
      </c>
      <c r="I160" s="131" t="n">
        <v>9.1</v>
      </c>
      <c r="J160" s="131" t="n">
        <v>9.4</v>
      </c>
      <c r="K160" s="131" t="n">
        <v>9.1</v>
      </c>
      <c r="L160" s="131" t="n">
        <v>9.4</v>
      </c>
      <c r="M160" s="131" t="n">
        <v>9</v>
      </c>
      <c r="N160" s="131" t="n">
        <v>8.699999999999999</v>
      </c>
      <c r="O160" s="131" t="n">
        <v>6.5</v>
      </c>
      <c r="P160" s="131" t="n">
        <v>9.1</v>
      </c>
      <c r="Q160" s="158">
        <f>IF(COUNT(G160:P160)=10,ROUND((G160*'Pondérations'!$B$5+H160*'Pondérations'!$B$6+I160*'Pondérations'!$B$7+J160*'Pondérations'!$B$8+K160*'Pondérations'!$B$9+L160*'Pondérations'!$B$10+M160*'Pondérations'!$B$11+N160*'Pondérations'!$B$12+O160*'Pondérations'!$B$13+P160*'Pondérations'!$B$14)/'Pondérations'!$B$16,3),"")</f>
        <v/>
      </c>
      <c r="R160" s="159">
        <f>IF(Q160="","",1+COUNTIF($Q$7:$Q$178,"&gt;"&amp;Q160)+COUNTIF($Q$7:Q160,Q160)-1)</f>
        <v/>
      </c>
      <c r="S160" s="132" t="n"/>
      <c r="T160" s="129" t="n"/>
      <c r="U160" s="129" t="n"/>
      <c r="V160" s="133" t="inlineStr">
        <is>
          <t>Élevée</t>
        </is>
      </c>
      <c r="W160" s="129" t="inlineStr">
        <is>
          <t>Import catalogue</t>
        </is>
      </c>
      <c r="X160" s="130" t="n"/>
      <c r="Y160" s="133" t="n"/>
      <c r="Z160" s="134" t="n"/>
      <c r="AA160" s="135" t="n"/>
      <c r="AB160" s="141" t="n"/>
      <c r="AC160" s="129" t="n"/>
      <c r="AD160" s="133" t="inlineStr">
        <is>
          <t>Ajout import catalogue</t>
        </is>
      </c>
      <c r="AE160" s="135" t="n"/>
      <c r="AF160" s="127" t="n">
        <v>549</v>
      </c>
      <c r="AG160" s="132" t="inlineStr">
        <is>
          <t>Le GR 2 améliore nettement le Gryphon: son plus naturel, moins granuleux, imagerie plus forte et puissance presque doublée. Il garde le côté warm/neutral d'iFi sans devenir mou.</t>
        </is>
      </c>
      <c r="AH160" s="129" t="inlineStr">
        <is>
          <t>Neutre-chaude, naturelle</t>
        </is>
      </c>
      <c r="AI160" s="129" t="inlineStr">
        <is>
          <t>Image plus structurée et profonde que le Gryphon, bonne autorité et échelle; XBass/XSpace/K2HD permettent de modifier la présentation.</t>
        </is>
      </c>
      <c r="AJ160" s="129" t="inlineStr">
        <is>
          <t>Très récent, encore peu de recul; fonctionnalités nombreuses et format plus transportable que réellement nomade.</t>
        </is>
      </c>
      <c r="AK160" s="129" t="inlineStr">
        <is>
          <t>https://bloomaudio.com/blogs/articles/is-gr2-gr8-ifi-idsd-gr-2-gryphon-2-review</t>
        </is>
      </c>
      <c r="AL160" s="135" t="n">
        <v>3</v>
      </c>
      <c r="AM160" s="133" t="inlineStr">
        <is>
          <t>Élevée — 3+ sources, domaines variés</t>
        </is>
      </c>
      <c r="AN160" s="129" t="inlineStr">
        <is>
          <t>https://audio46.com/pt/blogs/headphones/ifi-idsd-gr-2-dacamp-review-a-new-portable-hi-fi-upgrade</t>
        </is>
      </c>
      <c r="AO160" s="129" t="inlineStr">
        <is>
          <t>https://www.techradar.com/audio/dacs/ifi-idsd-gr-2-hands-on</t>
        </is>
      </c>
      <c r="AP160" s="129" t="n"/>
      <c r="AQ160" s="133" t="inlineStr">
        <is>
          <t>Objectif atteint</t>
        </is>
      </c>
      <c r="AR160" s="129" t="inlineStr">
        <is>
          <t>Review éditoriale: 3</t>
        </is>
      </c>
    </row>
    <row r="161" ht="54" customHeight="1">
      <c r="A161" s="117" t="inlineStr">
        <is>
          <t>xDuoo</t>
        </is>
      </c>
      <c r="B161" s="117" t="inlineStr">
        <is>
          <t>XD05 BAL</t>
        </is>
      </c>
      <c r="C161" s="117" t="inlineStr">
        <is>
          <t>DAC / ampli portable</t>
        </is>
      </c>
      <c r="D161" s="117" t="inlineStr">
        <is>
          <t>Neutre à légèrement chaleureuse</t>
        </is>
      </c>
      <c r="E161" s="117" t="inlineStr">
        <is>
          <t>Microdétail, layering, propreté/contrôle</t>
        </is>
      </c>
      <c r="F161" s="117" t="inlineStr">
        <is>
          <t>Très encombrant</t>
        </is>
      </c>
      <c r="G161" s="118" t="n">
        <v>9.199999999999999</v>
      </c>
      <c r="H161" s="119" t="n">
        <v>9.1</v>
      </c>
      <c r="I161" s="119" t="n">
        <v>8.800000000000001</v>
      </c>
      <c r="J161" s="119" t="n">
        <v>8.699999999999999</v>
      </c>
      <c r="K161" s="119" t="n">
        <v>9</v>
      </c>
      <c r="L161" s="119" t="n">
        <v>9</v>
      </c>
      <c r="M161" s="119" t="n">
        <v>9</v>
      </c>
      <c r="N161" s="119" t="n">
        <v>9</v>
      </c>
      <c r="O161" s="119" t="n">
        <v>6.5</v>
      </c>
      <c r="P161" s="119" t="n">
        <v>8.6</v>
      </c>
      <c r="Q161" s="158">
        <f>IF(COUNT(G161:P161)=10,ROUND((G161*'Pondérations'!$B$5+H161*'Pondérations'!$B$6+I161*'Pondérations'!$B$7+J161*'Pondérations'!$B$8+K161*'Pondérations'!$B$9+L161*'Pondérations'!$B$10+M161*'Pondérations'!$B$11+N161*'Pondérations'!$B$12+O161*'Pondérations'!$B$13+P161*'Pondérations'!$B$14)/'Pondérations'!$B$16,3),"")</f>
        <v/>
      </c>
      <c r="R161" s="159">
        <f>IF(Q161="","",1+COUNTIF($Q$7:$Q$178,"&gt;"&amp;Q161)+COUNTIF($Q$7:Q161,Q161)-1)</f>
        <v/>
      </c>
      <c r="S161" s="122" t="n"/>
      <c r="T161" s="117" t="n"/>
      <c r="U161" s="117" t="n"/>
      <c r="V161" s="123" t="inlineStr">
        <is>
          <t>Élevée</t>
        </is>
      </c>
      <c r="W161" s="117" t="inlineStr">
        <is>
          <t>Import catalogue</t>
        </is>
      </c>
      <c r="X161" s="118" t="n"/>
      <c r="Y161" s="123" t="n"/>
      <c r="Z161" s="124" t="n"/>
      <c r="AA161" s="125" t="n"/>
      <c r="AB161" s="140" t="n"/>
      <c r="AC161" s="117" t="n"/>
      <c r="AD161" s="123" t="inlineStr">
        <is>
          <t>Ajout import catalogue</t>
        </is>
      </c>
      <c r="AE161" s="125" t="n"/>
      <c r="AF161" s="127" t="n">
        <v>399</v>
      </c>
      <c r="AG161" s="122" t="inlineStr">
        <is>
          <t>Le XD05 BAL est apprécié pour sa puissance, sa musicalité et sa restitution linéaire mais charnue. Il reste détaillé tout en sonnant moins clinique qu'un pur dongle ESS.</t>
        </is>
      </c>
      <c r="AH161" s="117" t="inlineStr">
        <is>
          <t>Neutre à légèrement chaleureuse</t>
        </is>
      </c>
      <c r="AI161" s="117" t="inlineStr">
        <is>
          <t>Scène large et bonne quantité de détails; image solide, avec marge d'amélioration possible via changement d'op-amps.</t>
        </is>
      </c>
      <c r="AJ161" s="117" t="inlineStr">
        <is>
          <t>Très encombrant; la précision et le microdétail ne sont pas son avantage principal face aux dongles haut de gamme modernes.</t>
        </is>
      </c>
      <c r="AK161" s="117" t="inlineStr">
        <is>
          <t>https://www.headfonia.com/xduoo-xd-05-bal-review/</t>
        </is>
      </c>
      <c r="AL161" s="125" t="n">
        <v>4</v>
      </c>
      <c r="AM161" s="123" t="inlineStr">
        <is>
          <t>Élevée — 3+ sources, domaines variés</t>
        </is>
      </c>
      <c r="AN161" s="117" t="inlineStr">
        <is>
          <t>https://www.head-fi.org/showcase/xduoo-xd-05-bal.25415/</t>
        </is>
      </c>
      <c r="AO161" s="128" t="inlineStr">
        <is>
          <t>https://primeaudio.org/xduoo-xd05-bal-review/</t>
        </is>
      </c>
      <c r="AP161" s="117" t="inlineStr">
        <is>
          <t>https://soundnews.net/sources/dacs/xduoo-xd05-bal-review-deskop-power-on-the-go-v2-0/</t>
        </is>
      </c>
      <c r="AQ161" s="123" t="inlineStr">
        <is>
          <t>Objectif atteint</t>
        </is>
      </c>
      <c r="AR161" s="117" t="inlineStr">
        <is>
          <t>Head-Fi reviews: 1; Review éditoriale: 3</t>
        </is>
      </c>
    </row>
    <row r="162" ht="54" customHeight="1">
      <c r="A162" s="129" t="inlineStr">
        <is>
          <t>FiiO</t>
        </is>
      </c>
      <c r="B162" s="129" t="inlineStr">
        <is>
          <t>BTR7</t>
        </is>
      </c>
      <c r="C162" s="129" t="inlineStr">
        <is>
          <t>DAC / ampli portable</t>
        </is>
      </c>
      <c r="D162" s="129" t="inlineStr">
        <is>
          <t>Neutre, légèrement vive</t>
        </is>
      </c>
      <c r="E162" s="129" t="inlineStr">
        <is>
          <t>Image 3d, propreté/contrôle, microdétail</t>
        </is>
      </c>
      <c r="F162" s="129" t="inlineStr">
        <is>
          <t>Moins résolvant/puissant que les meilleurs appareils récents</t>
        </is>
      </c>
      <c r="G162" s="130" t="n">
        <v>9.199999999999999</v>
      </c>
      <c r="H162" s="131" t="n">
        <v>8.9</v>
      </c>
      <c r="I162" s="131" t="n">
        <v>8.6</v>
      </c>
      <c r="J162" s="131" t="n">
        <v>8.9</v>
      </c>
      <c r="K162" s="131" t="n">
        <v>8.800000000000001</v>
      </c>
      <c r="L162" s="131" t="n">
        <v>8.4</v>
      </c>
      <c r="M162" s="131" t="n">
        <v>8.9</v>
      </c>
      <c r="N162" s="131" t="n">
        <v>8.699999999999999</v>
      </c>
      <c r="O162" s="131" t="n">
        <v>7.8</v>
      </c>
      <c r="P162" s="131" t="n">
        <v>8.300000000000001</v>
      </c>
      <c r="Q162" s="158">
        <f>IF(COUNT(G162:P162)=10,ROUND((G162*'Pondérations'!$B$5+H162*'Pondérations'!$B$6+I162*'Pondérations'!$B$7+J162*'Pondérations'!$B$8+K162*'Pondérations'!$B$9+L162*'Pondérations'!$B$10+M162*'Pondérations'!$B$11+N162*'Pondérations'!$B$12+O162*'Pondérations'!$B$13+P162*'Pondérations'!$B$14)/'Pondérations'!$B$16,3),"")</f>
        <v/>
      </c>
      <c r="R162" s="159">
        <f>IF(Q162="","",1+COUNTIF($Q$7:$Q$178,"&gt;"&amp;Q162)+COUNTIF($Q$7:Q162,Q162)-1)</f>
        <v/>
      </c>
      <c r="S162" s="132" t="n"/>
      <c r="T162" s="129" t="n"/>
      <c r="U162" s="129" t="n"/>
      <c r="V162" s="133" t="inlineStr">
        <is>
          <t>Élevée</t>
        </is>
      </c>
      <c r="W162" s="129" t="inlineStr">
        <is>
          <t>Import catalogue</t>
        </is>
      </c>
      <c r="X162" s="130" t="n"/>
      <c r="Y162" s="133" t="n"/>
      <c r="Z162" s="134" t="n"/>
      <c r="AA162" s="135" t="n"/>
      <c r="AB162" s="141" t="n"/>
      <c r="AC162" s="129" t="n"/>
      <c r="AD162" s="133" t="inlineStr">
        <is>
          <t>Ajout import catalogue</t>
        </is>
      </c>
      <c r="AE162" s="135" t="n"/>
      <c r="AF162" s="127" t="n">
        <v>209</v>
      </c>
      <c r="AG162" s="132" t="inlineStr">
        <is>
          <t>Le BTR7 est un récepteur DAC/amp propre et vivant, avec une restitution équilibrée et suffisamment de puissance pour de nombreux casques. Le filaire reste le mode le plus résolvant.</t>
        </is>
      </c>
      <c r="AH162" s="129" t="inlineStr">
        <is>
          <t>Neutre, légèrement vive</t>
        </is>
      </c>
      <c r="AI162" s="129" t="inlineStr">
        <is>
          <t>Bonne scène et séparation, avec une impression assez sphérique selon les associations; Bluetooth conserve une bonne cohérence mais perd un peu de finesse.</t>
        </is>
      </c>
      <c r="AJ162" s="129" t="inlineStr">
        <is>
          <t>Moins résolvant/puissant que les meilleurs appareils récents; autonomie et chauffe dépendent fortement du mode.</t>
        </is>
      </c>
      <c r="AK162" s="129" t="inlineStr">
        <is>
          <t>https://www.ear-fidelity.com/fiio-btr7-review/</t>
        </is>
      </c>
      <c r="AL162" s="135" t="n">
        <v>4</v>
      </c>
      <c r="AM162" s="133" t="inlineStr">
        <is>
          <t>Élevée — 3+ sources, domaines variés</t>
        </is>
      </c>
      <c r="AN162" s="129" t="inlineStr">
        <is>
          <t>https://www.head-fi.org/showcase/fiio-btr7.25949/reviews</t>
        </is>
      </c>
      <c r="AO162" s="137" t="inlineStr">
        <is>
          <t>https://www.headphonesty.com/2023/01/review-fiio-btr7/</t>
        </is>
      </c>
      <c r="AP162" s="129" t="inlineStr">
        <is>
          <t>https://www.headfonia.com/fiio-btr7-review/</t>
        </is>
      </c>
      <c r="AQ162" s="133" t="inlineStr">
        <is>
          <t>Objectif atteint</t>
        </is>
      </c>
      <c r="AR162" s="129" t="inlineStr">
        <is>
          <t>Head-Fi reviews: 1; Review éditoriale: 3</t>
        </is>
      </c>
    </row>
    <row r="163" ht="54" customHeight="1">
      <c r="A163" s="117" t="inlineStr">
        <is>
          <t>E1DA</t>
        </is>
      </c>
      <c r="B163" s="117" t="inlineStr">
        <is>
          <t>9039S</t>
        </is>
      </c>
      <c r="C163" s="117" t="inlineStr">
        <is>
          <t>DAC / ampli portable</t>
        </is>
      </c>
      <c r="D163" s="117" t="inlineStr">
        <is>
          <t>Très neutre, transparente</t>
        </is>
      </c>
      <c r="E163" s="117" t="inlineStr">
        <is>
          <t>Propreté/contrôle, microdétail, dynamique</t>
        </is>
      </c>
      <c r="F163" s="117" t="inlineStr">
        <is>
          <t>Peu de reviews subjectives approfondies</t>
        </is>
      </c>
      <c r="G163" s="118" t="n">
        <v>9.699999999999999</v>
      </c>
      <c r="H163" s="119" t="n">
        <v>9.199999999999999</v>
      </c>
      <c r="I163" s="119" t="n">
        <v>8.6</v>
      </c>
      <c r="J163" s="119" t="n">
        <v>8.5</v>
      </c>
      <c r="K163" s="119" t="n">
        <v>8.9</v>
      </c>
      <c r="L163" s="119" t="n">
        <v>8.800000000000001</v>
      </c>
      <c r="M163" s="119" t="n">
        <v>9</v>
      </c>
      <c r="N163" s="119" t="n">
        <v>8.4</v>
      </c>
      <c r="O163" s="119" t="n">
        <v>7.8</v>
      </c>
      <c r="P163" s="119" t="n">
        <v>8.4</v>
      </c>
      <c r="Q163" s="158">
        <f>IF(COUNT(G163:P163)=10,ROUND((G163*'Pondérations'!$B$5+H163*'Pondérations'!$B$6+I163*'Pondérations'!$B$7+J163*'Pondérations'!$B$8+K163*'Pondérations'!$B$9+L163*'Pondérations'!$B$10+M163*'Pondérations'!$B$11+N163*'Pondérations'!$B$12+O163*'Pondérations'!$B$13+P163*'Pondérations'!$B$14)/'Pondérations'!$B$16,3),"")</f>
        <v/>
      </c>
      <c r="R163" s="159">
        <f>IF(Q163="","",1+COUNTIF($Q$7:$Q$178,"&gt;"&amp;Q163)+COUNTIF($Q$7:Q163,Q163)-1)</f>
        <v/>
      </c>
      <c r="S163" s="122" t="n"/>
      <c r="T163" s="117" t="n"/>
      <c r="U163" s="117" t="n"/>
      <c r="V163" s="123" t="inlineStr">
        <is>
          <t>Élevée</t>
        </is>
      </c>
      <c r="W163" s="117" t="inlineStr">
        <is>
          <t>Import catalogue</t>
        </is>
      </c>
      <c r="X163" s="118" t="n"/>
      <c r="Y163" s="123" t="n"/>
      <c r="Z163" s="124" t="n"/>
      <c r="AA163" s="125" t="n"/>
      <c r="AB163" s="140" t="n"/>
      <c r="AC163" s="117" t="n"/>
      <c r="AD163" s="123" t="inlineStr">
        <is>
          <t>Ajout import catalogue</t>
        </is>
      </c>
      <c r="AE163" s="125" t="n"/>
      <c r="AF163" s="127" t="n">
        <v>179</v>
      </c>
      <c r="AG163" s="122" t="inlineStr">
        <is>
          <t>Le 9039S vise avant tout la transparence et la très faible distorsion. Les retours disponibles parlent d'un son propre, fluide et très haute résolution plutôt que d'une coloration particulière.</t>
        </is>
      </c>
      <c r="AH163" s="117" t="inlineStr">
        <is>
          <t>Très neutre, transparente</t>
        </is>
      </c>
      <c r="AI163" s="117" t="inlineStr">
        <is>
          <t>Très forte lisibilité et séparation; spatialisation peu commentée dans les reviews sérieuses, souvent centrées sur les mesures.</t>
        </is>
      </c>
      <c r="AJ163" s="117" t="inlineStr">
        <is>
          <t>Peu de reviews subjectives approfondies; chauffe notable et ergonomie minimaliste.</t>
        </is>
      </c>
      <c r="AK163" s="117" t="inlineStr">
        <is>
          <t>https://www.head-fi.org/threads/new-e1da-9039s-dongle.974377/</t>
        </is>
      </c>
      <c r="AL163" s="125" t="n">
        <v>3</v>
      </c>
      <c r="AM163" s="123" t="inlineStr">
        <is>
          <t>Élevée — 3+ sources, domaines variés</t>
        </is>
      </c>
      <c r="AN163" s="117" t="inlineStr">
        <is>
          <t>https://archimago.blogspot.com/2024/03/early-look-part-i-e1da-9039s-usb.html</t>
        </is>
      </c>
      <c r="AO163" s="128" t="inlineStr">
        <is>
          <t>https://www.audiophonics.fr/fr/avis-produits/e1da-9039s-dac-usb-amplificateur-casque-symetrique-es9039q2m-32bit-384khz-dsd256-20971</t>
        </is>
      </c>
      <c r="AP163" s="117" t="n"/>
      <c r="AQ163" s="123" t="inlineStr">
        <is>
          <t>Objectif atteint</t>
        </is>
      </c>
      <c r="AR163" s="117" t="inlineStr">
        <is>
          <t>Avis utilisateurs revendeur: 1; Head-Fi forum: 1; Mesures / technique: 1</t>
        </is>
      </c>
    </row>
    <row r="164" ht="54" customHeight="1">
      <c r="A164" s="129" t="inlineStr">
        <is>
          <t>Aune</t>
        </is>
      </c>
      <c r="B164" s="129" t="inlineStr">
        <is>
          <t>Yuki</t>
        </is>
      </c>
      <c r="C164" s="129" t="inlineStr">
        <is>
          <t>DAC / ampli portable</t>
        </is>
      </c>
      <c r="D164" s="129" t="inlineStr">
        <is>
          <t>Neutre à chaude selon les reviews</t>
        </is>
      </c>
      <c r="E164" s="129" t="inlineStr">
        <is>
          <t>Profondeur, layering, propreté/contrôle</t>
        </is>
      </c>
      <c r="F164" s="129" t="inlineStr">
        <is>
          <t>Consensus tonal moins stable</t>
        </is>
      </c>
      <c r="G164" s="130" t="n">
        <v>9.300000000000001</v>
      </c>
      <c r="H164" s="131" t="n">
        <v>8.9</v>
      </c>
      <c r="I164" s="131" t="n">
        <v>9.1</v>
      </c>
      <c r="J164" s="131" t="n">
        <v>8.800000000000001</v>
      </c>
      <c r="K164" s="131" t="n">
        <v>9.1</v>
      </c>
      <c r="L164" s="131" t="n">
        <v>9.1</v>
      </c>
      <c r="M164" s="131" t="n">
        <v>8.6</v>
      </c>
      <c r="N164" s="131" t="n">
        <v>8.699999999999999</v>
      </c>
      <c r="O164" s="131" t="n">
        <v>8</v>
      </c>
      <c r="P164" s="131" t="n">
        <v>8.6</v>
      </c>
      <c r="Q164" s="158">
        <f>IF(COUNT(G164:P164)=10,ROUND((G164*'Pondérations'!$B$5+H164*'Pondérations'!$B$6+I164*'Pondérations'!$B$7+J164*'Pondérations'!$B$8+K164*'Pondérations'!$B$9+L164*'Pondérations'!$B$10+M164*'Pondérations'!$B$11+N164*'Pondérations'!$B$12+O164*'Pondérations'!$B$13+P164*'Pondérations'!$B$14)/'Pondérations'!$B$16,3),"")</f>
        <v/>
      </c>
      <c r="R164" s="159">
        <f>IF(Q164="","",1+COUNTIF($Q$7:$Q$178,"&gt;"&amp;Q164)+COUNTIF($Q$7:Q164,Q164)-1)</f>
        <v/>
      </c>
      <c r="S164" s="132" t="n"/>
      <c r="T164" s="129" t="n"/>
      <c r="U164" s="129" t="n"/>
      <c r="V164" s="133" t="inlineStr">
        <is>
          <t>Élevée</t>
        </is>
      </c>
      <c r="W164" s="129" t="inlineStr">
        <is>
          <t>Import catalogue</t>
        </is>
      </c>
      <c r="X164" s="130" t="n"/>
      <c r="Y164" s="133" t="n"/>
      <c r="Z164" s="134" t="n"/>
      <c r="AA164" s="135" t="n"/>
      <c r="AB164" s="141" t="n"/>
      <c r="AC164" s="129" t="n"/>
      <c r="AD164" s="133" t="inlineStr">
        <is>
          <t>Ajout import catalogue</t>
        </is>
      </c>
      <c r="AE164" s="135" t="n"/>
      <c r="AF164" s="127" t="n">
        <v>169</v>
      </c>
      <c r="AG164" s="132" t="inlineStr">
        <is>
          <t>Le Yuki reçoit des avis assez variés sur la tonalité, mais le consensus porte sur une restitution fluide, détaillée et une scène particulièrement ouverte. Certains le trouvent chaud/analogique, d'autres très transparent.</t>
        </is>
      </c>
      <c r="AH164" s="129" t="inlineStr">
        <is>
          <t>Neutre à chaude selon les reviews</t>
        </is>
      </c>
      <c r="AI164" s="129" t="inlineStr">
        <is>
          <t>Très bonne largeur, profondeur et séparation; layering et image sont parmi ses points forts à son prix.</t>
        </is>
      </c>
      <c r="AJ164" s="129" t="inlineStr">
        <is>
          <t>Consensus tonal moins stable; puissance modérée et peut manquer de dynamique face à des modèles plus musclés.</t>
        </is>
      </c>
      <c r="AK164" s="129" t="inlineStr">
        <is>
          <t>https://mobileaudiophile.com/dacs/aune-yuki-review-transparent-precise-and-refined/</t>
        </is>
      </c>
      <c r="AL164" s="135" t="n">
        <v>4</v>
      </c>
      <c r="AM164" s="133" t="inlineStr">
        <is>
          <t>Élevée — 3+ sources, domaines variés</t>
        </is>
      </c>
      <c r="AN164" s="129" t="inlineStr">
        <is>
          <t>https://www.head-fi.org/showcase/aune-yuki.26866/reviews</t>
        </is>
      </c>
      <c r="AO164" s="137" t="inlineStr">
        <is>
          <t>https://ichos-reviews.com/aune-yuki-review/</t>
        </is>
      </c>
      <c r="AP164" s="129" t="inlineStr">
        <is>
          <t>https://www.reddit.com/r/headphones/comments/1ane18b</t>
        </is>
      </c>
      <c r="AQ164" s="133" t="inlineStr">
        <is>
          <t>Objectif atteint</t>
        </is>
      </c>
      <c r="AR164" s="129" t="inlineStr">
        <is>
          <t>Communauté Reddit: 1; Head-Fi reviews: 1; Review éditoriale: 2</t>
        </is>
      </c>
    </row>
    <row r="165" ht="54" customHeight="1">
      <c r="A165" s="117" t="inlineStr">
        <is>
          <t>E1DA</t>
        </is>
      </c>
      <c r="B165" s="117" t="inlineStr">
        <is>
          <t>9038D6K</t>
        </is>
      </c>
      <c r="C165" s="117" t="inlineStr">
        <is>
          <t>DAC / ampli portable</t>
        </is>
      </c>
      <c r="D165" s="117" t="inlineStr">
        <is>
          <t>Très neutre, transparente</t>
        </is>
      </c>
      <c r="E165" s="117" t="inlineStr">
        <is>
          <t>Propreté/contrôle, microdétail, dynamique</t>
        </is>
      </c>
      <c r="F165" s="117" t="inlineStr">
        <is>
          <t>Ergonomie spartiate</t>
        </is>
      </c>
      <c r="G165" s="118" t="n">
        <v>9.6</v>
      </c>
      <c r="H165" s="119" t="n">
        <v>9.199999999999999</v>
      </c>
      <c r="I165" s="119" t="n">
        <v>8.6</v>
      </c>
      <c r="J165" s="119" t="n">
        <v>8.5</v>
      </c>
      <c r="K165" s="119" t="n">
        <v>8.800000000000001</v>
      </c>
      <c r="L165" s="119" t="n">
        <v>8.699999999999999</v>
      </c>
      <c r="M165" s="119" t="n">
        <v>9</v>
      </c>
      <c r="N165" s="119" t="n">
        <v>8.699999999999999</v>
      </c>
      <c r="O165" s="119" t="n">
        <v>8</v>
      </c>
      <c r="P165" s="119" t="n">
        <v>8.300000000000001</v>
      </c>
      <c r="Q165" s="158">
        <f>IF(COUNT(G165:P165)=10,ROUND((G165*'Pondérations'!$B$5+H165*'Pondérations'!$B$6+I165*'Pondérations'!$B$7+J165*'Pondérations'!$B$8+K165*'Pondérations'!$B$9+L165*'Pondérations'!$B$10+M165*'Pondérations'!$B$11+N165*'Pondérations'!$B$12+O165*'Pondérations'!$B$13+P165*'Pondérations'!$B$14)/'Pondérations'!$B$16,3),"")</f>
        <v/>
      </c>
      <c r="R165" s="159">
        <f>IF(Q165="","",1+COUNTIF($Q$7:$Q$178,"&gt;"&amp;Q165)+COUNTIF($Q$7:Q165,Q165)-1)</f>
        <v/>
      </c>
      <c r="S165" s="122" t="n"/>
      <c r="T165" s="117" t="n"/>
      <c r="U165" s="117" t="n"/>
      <c r="V165" s="123" t="inlineStr">
        <is>
          <t>Élevée</t>
        </is>
      </c>
      <c r="W165" s="117" t="inlineStr">
        <is>
          <t>Import catalogue</t>
        </is>
      </c>
      <c r="X165" s="118" t="n"/>
      <c r="Y165" s="123" t="n"/>
      <c r="Z165" s="124" t="n"/>
      <c r="AA165" s="125" t="n"/>
      <c r="AB165" s="140" t="n"/>
      <c r="AC165" s="117" t="n"/>
      <c r="AD165" s="123" t="inlineStr">
        <is>
          <t>Ajout import catalogue</t>
        </is>
      </c>
      <c r="AE165" s="125" t="n"/>
      <c r="AF165" s="127" t="n">
        <v>169</v>
      </c>
      <c r="AG165" s="122" t="inlineStr">
        <is>
          <t>Le 9038D6K est essentiellement évalué comme une source extrêmement transparente et performante en mesures; l'auteur de la review insiste sur l'absence de coloration audible attendue en écoute contrôlée.</t>
        </is>
      </c>
      <c r="AH165" s="117" t="inlineStr">
        <is>
          <t>Très neutre, transparente</t>
        </is>
      </c>
      <c r="AI165" s="117" t="inlineStr">
        <is>
          <t>Haute résolution et bruit très faible; les reviews sérieuses donnent peu de descriptions subjectives de scène.</t>
        </is>
      </c>
      <c r="AJ165" s="117" t="inlineStr">
        <is>
          <t>Ergonomie spartiate; signature spatiale peu documentée et intérêt surtout technique/mesures.</t>
        </is>
      </c>
      <c r="AK165" s="117" t="inlineStr">
        <is>
          <t>https://archimago.blogspot.com/2022/12/review-e1da-9038d6k-dongle-dac.html</t>
        </is>
      </c>
      <c r="AL165" s="125" t="n">
        <v>4</v>
      </c>
      <c r="AM165" s="123" t="inlineStr">
        <is>
          <t>Élevée — 3+ sources, domaines variés</t>
        </is>
      </c>
      <c r="AN165" s="117" t="inlineStr">
        <is>
          <t>https://archimago.blogspot.com/2022/12/review-e1da-9038d6k-dongle-dac_11.html</t>
        </is>
      </c>
      <c r="AO165" s="128" t="inlineStr">
        <is>
          <t>https://www.head-fi.org/threads/usb-c-to-3-5mm-adapters-dac-lets-find-the-best.908839/page-322</t>
        </is>
      </c>
      <c r="AP165" s="117" t="inlineStr">
        <is>
          <t>https://www.audiophonics.fr/en/products-reviews/e1da-9038d6k-balanced-headphone-amplifier-usb-dac-es9038q2m-ad8397-32bit-384khz-dsd256-17305</t>
        </is>
      </c>
      <c r="AQ165" s="123" t="inlineStr">
        <is>
          <t>Objectif atteint</t>
        </is>
      </c>
      <c r="AR165" s="117" t="inlineStr">
        <is>
          <t>Avis utilisateurs revendeur: 1; Head-Fi forum: 1; Mesures / technique: 2</t>
        </is>
      </c>
    </row>
    <row r="166" ht="54" customHeight="1">
      <c r="A166" s="129" t="inlineStr">
        <is>
          <t>iFi audio</t>
        </is>
      </c>
      <c r="B166" s="129" t="inlineStr">
        <is>
          <t>GO Blu Air</t>
        </is>
      </c>
      <c r="C166" s="129" t="inlineStr">
        <is>
          <t>DAC / ampli portable</t>
        </is>
      </c>
      <c r="D166" s="129" t="inlineStr">
        <is>
          <t>Légèrement chaude, musicale</t>
        </is>
      </c>
      <c r="E166" s="129" t="inlineStr">
        <is>
          <t>Dynamique, matière/timbres, profondeur</t>
        </is>
      </c>
      <c r="F166" s="129" t="inlineStr">
        <is>
          <t>Pas d'audio USB, construction plus simple et résolution limitée par le Bluetooth/codecs</t>
        </is>
      </c>
      <c r="G166" s="130" t="n">
        <v>9</v>
      </c>
      <c r="H166" s="131" t="n">
        <v>8.4</v>
      </c>
      <c r="I166" s="131" t="n">
        <v>8.699999999999999</v>
      </c>
      <c r="J166" s="131" t="n">
        <v>8.6</v>
      </c>
      <c r="K166" s="131" t="n">
        <v>8.800000000000001</v>
      </c>
      <c r="L166" s="131" t="n">
        <v>9</v>
      </c>
      <c r="M166" s="131" t="n">
        <v>9</v>
      </c>
      <c r="N166" s="131" t="n">
        <v>8.6</v>
      </c>
      <c r="O166" s="131" t="n">
        <v>9.6</v>
      </c>
      <c r="P166" s="131" t="n">
        <v>8.1</v>
      </c>
      <c r="Q166" s="158">
        <f>IF(COUNT(G166:P166)=10,ROUND((G166*'Pondérations'!$B$5+H166*'Pondérations'!$B$6+I166*'Pondérations'!$B$7+J166*'Pondérations'!$B$8+K166*'Pondérations'!$B$9+L166*'Pondérations'!$B$10+M166*'Pondérations'!$B$11+N166*'Pondérations'!$B$12+O166*'Pondérations'!$B$13+P166*'Pondérations'!$B$14)/'Pondérations'!$B$16,3),"")</f>
        <v/>
      </c>
      <c r="R166" s="159">
        <f>IF(Q166="","",1+COUNTIF($Q$7:$Q$178,"&gt;"&amp;Q166)+COUNTIF($Q$7:Q166,Q166)-1)</f>
        <v/>
      </c>
      <c r="S166" s="132" t="n"/>
      <c r="T166" s="129" t="n"/>
      <c r="U166" s="129" t="n"/>
      <c r="V166" s="133" t="inlineStr">
        <is>
          <t>Élevée</t>
        </is>
      </c>
      <c r="W166" s="129" t="inlineStr">
        <is>
          <t>Import catalogue</t>
        </is>
      </c>
      <c r="X166" s="130" t="n"/>
      <c r="Y166" s="133" t="n"/>
      <c r="Z166" s="134" t="n"/>
      <c r="AA166" s="135" t="n"/>
      <c r="AB166" s="141" t="n"/>
      <c r="AC166" s="129" t="n"/>
      <c r="AD166" s="133" t="inlineStr">
        <is>
          <t>Ajout import catalogue</t>
        </is>
      </c>
      <c r="AE166" s="135" t="n"/>
      <c r="AF166" s="127" t="n">
        <v>149</v>
      </c>
      <c r="AG166" s="132" t="inlineStr">
        <is>
          <t>Le GO Blu Air conserve la maison iFi: une légère chaleur dans le grave/médium, avec une restitution dynamique et révélatrice pour un appareil Bluetooth très compact.</t>
        </is>
      </c>
      <c r="AH166" s="129" t="inlineStr">
        <is>
          <t>Légèrement chaude, musicale</t>
        </is>
      </c>
      <c r="AI166" s="129" t="inlineStr">
        <is>
          <t>Bonne clarté et dynamique en Bluetooth; XSpace peut augmenter l'ouverture mais ce n'est pas un remplaçant d'un DAC USB filaire haut de gamme.</t>
        </is>
      </c>
      <c r="AJ166" s="129" t="inlineStr">
        <is>
          <t>Pas d'audio USB, construction plus simple et résolution limitée par le Bluetooth/codecs.</t>
        </is>
      </c>
      <c r="AK166" s="129" t="inlineStr">
        <is>
          <t>https://www.techradar.com/audio/dacs/ifi-go-blu-air-review</t>
        </is>
      </c>
      <c r="AL166" s="135" t="n">
        <v>4</v>
      </c>
      <c r="AM166" s="133" t="inlineStr">
        <is>
          <t>Élevée — 3+ sources, domaines variés</t>
        </is>
      </c>
      <c r="AN166" s="129" t="inlineStr">
        <is>
          <t>https://www.audioreviews.org/ifi-go-blu-air-review/</t>
        </is>
      </c>
      <c r="AO166" s="137" t="inlineStr">
        <is>
          <t>https://primeaudio.org/ifi-go-blu-air-review/</t>
        </is>
      </c>
      <c r="AP166" s="129" t="inlineStr">
        <is>
          <t>https://theheadphonelist.com/ifi-go-blu-air-review-excellent-wireless-dac-amp/</t>
        </is>
      </c>
      <c r="AQ166" s="133" t="inlineStr">
        <is>
          <t>Objectif atteint</t>
        </is>
      </c>
      <c r="AR166" s="129" t="inlineStr">
        <is>
          <t>Review éditoriale: 4</t>
        </is>
      </c>
    </row>
    <row r="167" ht="54" customHeight="1">
      <c r="A167" s="117" t="inlineStr">
        <is>
          <t>E1DA</t>
        </is>
      </c>
      <c r="B167" s="117" t="inlineStr">
        <is>
          <t>9038S Gen 3</t>
        </is>
      </c>
      <c r="C167" s="117" t="inlineStr">
        <is>
          <t>DAC / ampli portable</t>
        </is>
      </c>
      <c r="D167" s="117" t="inlineStr">
        <is>
          <t>Neutre, incisive et transparente</t>
        </is>
      </c>
      <c r="E167" s="117" t="inlineStr">
        <is>
          <t>Propreté/contrôle, microdétail, layering</t>
        </is>
      </c>
      <c r="F167" s="117" t="inlineStr">
        <is>
          <t>Retours subjectifs principalement communautaires</t>
        </is>
      </c>
      <c r="G167" s="118" t="n">
        <v>9.699999999999999</v>
      </c>
      <c r="H167" s="119" t="n">
        <v>9.300000000000001</v>
      </c>
      <c r="I167" s="119" t="n">
        <v>8.800000000000001</v>
      </c>
      <c r="J167" s="119" t="n">
        <v>8.699999999999999</v>
      </c>
      <c r="K167" s="119" t="n">
        <v>9.199999999999999</v>
      </c>
      <c r="L167" s="119" t="n">
        <v>8.9</v>
      </c>
      <c r="M167" s="119" t="n">
        <v>9</v>
      </c>
      <c r="N167" s="119" t="n">
        <v>9.300000000000001</v>
      </c>
      <c r="O167" s="119" t="n">
        <v>8</v>
      </c>
      <c r="P167" s="119" t="n">
        <v>8.800000000000001</v>
      </c>
      <c r="Q167" s="158">
        <f>IF(COUNT(G167:P167)=10,ROUND((G167*'Pondérations'!$B$5+H167*'Pondérations'!$B$6+I167*'Pondérations'!$B$7+J167*'Pondérations'!$B$8+K167*'Pondérations'!$B$9+L167*'Pondérations'!$B$10+M167*'Pondérations'!$B$11+N167*'Pondérations'!$B$12+O167*'Pondérations'!$B$13+P167*'Pondérations'!$B$14)/'Pondérations'!$B$16,3),"")</f>
        <v/>
      </c>
      <c r="R167" s="159">
        <f>IF(Q167="","",1+COUNTIF($Q$7:$Q$178,"&gt;"&amp;Q167)+COUNTIF($Q$7:Q167,Q167)-1)</f>
        <v/>
      </c>
      <c r="S167" s="122" t="n"/>
      <c r="T167" s="117" t="n"/>
      <c r="U167" s="117" t="n"/>
      <c r="V167" s="123" t="inlineStr">
        <is>
          <t>Élevée</t>
        </is>
      </c>
      <c r="W167" s="117" t="inlineStr">
        <is>
          <t>Import catalogue</t>
        </is>
      </c>
      <c r="X167" s="118" t="n"/>
      <c r="Y167" s="123" t="n"/>
      <c r="Z167" s="124" t="n"/>
      <c r="AA167" s="125" t="n"/>
      <c r="AB167" s="140" t="n"/>
      <c r="AC167" s="117" t="n"/>
      <c r="AD167" s="123" t="inlineStr">
        <is>
          <t>Ajout import catalogue</t>
        </is>
      </c>
      <c r="AE167" s="125" t="n"/>
      <c r="AF167" s="127" t="n">
        <v>139</v>
      </c>
      <c r="AG167" s="122" t="inlineStr">
        <is>
          <t>Le 9038S Gen 3 est décrit comme très propre, puissant et détaillé. Un comparatif à niveau ajusté rapporte un rendu plus serré, spacieux et séparé qu'une source desktop plus douce.</t>
        </is>
      </c>
      <c r="AH167" s="117" t="inlineStr">
        <is>
          <t>Neutre, incisive et transparente</t>
        </is>
      </c>
      <c r="AI167" s="117" t="inlineStr">
        <is>
          <t>Très bonne définition des notes, séparation et impression d'espace; forte capacité de drive pour son format.</t>
        </is>
      </c>
      <c r="AJ167" s="117" t="inlineStr">
        <is>
          <t>Retours subjectifs principalement communautaires; sortie 2,5 mm uniquement et ergonomie minimale.</t>
        </is>
      </c>
      <c r="AK167" s="117" t="inlineStr">
        <is>
          <t>https://www.audioreviews.org/e1da-9038sg3-and-9038d-review/</t>
        </is>
      </c>
      <c r="AL167" s="125" t="n">
        <v>3</v>
      </c>
      <c r="AM167" s="123" t="inlineStr">
        <is>
          <t>Élevée — 3+ sources, domaines variés</t>
        </is>
      </c>
      <c r="AN167" s="117" t="inlineStr">
        <is>
          <t>https://www.l7audiolab.com/f/e1da-9038sg3/</t>
        </is>
      </c>
      <c r="AO167" s="117" t="inlineStr">
        <is>
          <t>https://porta.fi/e1da-9038s-third-generation-dac-review/</t>
        </is>
      </c>
      <c r="AP167" s="117" t="n"/>
      <c r="AQ167" s="123" t="inlineStr">
        <is>
          <t>Objectif atteint</t>
        </is>
      </c>
      <c r="AR167" s="117" t="inlineStr">
        <is>
          <t>Communauté Reddit: 1; Head-Fi reviews: 1; Review éditoriale: 1</t>
        </is>
      </c>
    </row>
    <row r="168" ht="54" customHeight="1">
      <c r="A168" s="129" t="inlineStr">
        <is>
          <t>iBasso</t>
        </is>
      </c>
      <c r="B168" s="129" t="inlineStr">
        <is>
          <t>DC04U Ultra</t>
        </is>
      </c>
      <c r="C168" s="129" t="inlineStr">
        <is>
          <t>DAC / ampli portable</t>
        </is>
      </c>
      <c r="D168" s="129" t="inlineStr">
        <is>
          <t>Neutre, propre, technique</t>
        </is>
      </c>
      <c r="E168" s="129" t="inlineStr">
        <is>
          <t>Layering, propreté/contrôle, microdétail</t>
        </is>
      </c>
      <c r="F168" s="129" t="inlineStr">
        <is>
          <t>Peut paraître un peu sage ou émotionnellement distant</t>
        </is>
      </c>
      <c r="G168" s="130" t="n">
        <v>9.300000000000001</v>
      </c>
      <c r="H168" s="131" t="n">
        <v>9</v>
      </c>
      <c r="I168" s="131" t="n">
        <v>8.9</v>
      </c>
      <c r="J168" s="131" t="n">
        <v>8.699999999999999</v>
      </c>
      <c r="K168" s="131" t="n">
        <v>9.1</v>
      </c>
      <c r="L168" s="131" t="n">
        <v>9</v>
      </c>
      <c r="M168" s="131" t="n">
        <v>9</v>
      </c>
      <c r="N168" s="131" t="n">
        <v>8.800000000000001</v>
      </c>
      <c r="O168" s="131" t="n">
        <v>9.5</v>
      </c>
      <c r="P168" s="131" t="n">
        <v>8.699999999999999</v>
      </c>
      <c r="Q168" s="158">
        <f>IF(COUNT(G168:P168)=10,ROUND((G168*'Pondérations'!$B$5+H168*'Pondérations'!$B$6+I168*'Pondérations'!$B$7+J168*'Pondérations'!$B$8+K168*'Pondérations'!$B$9+L168*'Pondérations'!$B$10+M168*'Pondérations'!$B$11+N168*'Pondérations'!$B$12+O168*'Pondérations'!$B$13+P168*'Pondérations'!$B$14)/'Pondérations'!$B$16,3),"")</f>
        <v/>
      </c>
      <c r="R168" s="159">
        <f>IF(Q168="","",1+COUNTIF($Q$7:$Q$178,"&gt;"&amp;Q168)+COUNTIF($Q$7:Q168,Q168)-1)</f>
        <v/>
      </c>
      <c r="S168" s="132" t="n"/>
      <c r="T168" s="129" t="n"/>
      <c r="U168" s="129" t="n"/>
      <c r="V168" s="133" t="inlineStr">
        <is>
          <t>Élevée</t>
        </is>
      </c>
      <c r="W168" s="129" t="inlineStr">
        <is>
          <t>Import catalogue</t>
        </is>
      </c>
      <c r="X168" s="130" t="n"/>
      <c r="Y168" s="133" t="n"/>
      <c r="Z168" s="134" t="n"/>
      <c r="AA168" s="135" t="n"/>
      <c r="AB168" s="141" t="n"/>
      <c r="AC168" s="129" t="n"/>
      <c r="AD168" s="133" t="inlineStr">
        <is>
          <t>Ajout import catalogue</t>
        </is>
      </c>
      <c r="AE168" s="135" t="n"/>
      <c r="AF168" s="127" t="n">
        <v>119</v>
      </c>
      <c r="AG168" s="132" t="inlineStr">
        <is>
          <t>Le DC04 Ultra est décrit comme neutre, plat, propre et très technique. Il privilégie précision et puissance, tout en évitant une restitution agressive.</t>
        </is>
      </c>
      <c r="AH168" s="129" t="inlineStr">
        <is>
          <t>Neutre, propre, technique</t>
        </is>
      </c>
      <c r="AI168" s="129" t="inlineStr">
        <is>
          <t>Scène large et bien organisée avec une vraie profondeur; bonne séparation et puissance pour un dongle.</t>
        </is>
      </c>
      <c r="AJ168" s="129" t="inlineStr">
        <is>
          <t>Peut paraître un peu sage ou émotionnellement distant; moins de caractère organique que les sources R2R/1-bit.</t>
        </is>
      </c>
      <c r="AK168" s="129" t="inlineStr">
        <is>
          <t>https://www.headfonia.com/ibasso-dc04u-review/</t>
        </is>
      </c>
      <c r="AL168" s="135" t="n">
        <v>4</v>
      </c>
      <c r="AM168" s="133" t="inlineStr">
        <is>
          <t>Élevée — 3+ sources, domaines variés</t>
        </is>
      </c>
      <c r="AN168" s="129" t="inlineStr">
        <is>
          <t>https://moonstarreviews.net/ibasso-dc04-ultra-review/</t>
        </is>
      </c>
      <c r="AO168" s="137" t="inlineStr">
        <is>
          <t>https://www.reddit.com/r/iems/comments/1tfj68o/ibasso_dc04_ultra_my_experience/</t>
        </is>
      </c>
      <c r="AP168" s="129" t="inlineStr">
        <is>
          <t>https://www.youtube.com/watch?v=dJ1uJow2sqw</t>
        </is>
      </c>
      <c r="AQ168" s="133" t="inlineStr">
        <is>
          <t>Objectif atteint</t>
        </is>
      </c>
      <c r="AR168" s="129" t="inlineStr">
        <is>
          <t>Communauté Reddit: 1; Review éditoriale: 2; Vidéo review: 1</t>
        </is>
      </c>
    </row>
    <row r="169" ht="54" customHeight="1">
      <c r="A169" s="117" t="inlineStr">
        <is>
          <t>Aiyima</t>
        </is>
      </c>
      <c r="B169" s="117" t="inlineStr">
        <is>
          <t>H4</t>
        </is>
      </c>
      <c r="C169" s="117" t="inlineStr">
        <is>
          <t>DAC / ampli portable</t>
        </is>
      </c>
      <c r="D169" s="117" t="inlineStr">
        <is>
          <t>Neutre, équilibrée</t>
        </is>
      </c>
      <c r="E169" s="117" t="inlineStr">
        <is>
          <t>Dynamique, microdétail, propreté/contrôle</t>
        </is>
      </c>
      <c r="F169" s="117" t="inlineStr">
        <is>
          <t>Très peu de reviews indépendantes</t>
        </is>
      </c>
      <c r="G169" s="118" t="n">
        <v>9.199999999999999</v>
      </c>
      <c r="H169" s="119" t="n">
        <v>9</v>
      </c>
      <c r="I169" s="119" t="n">
        <v>8</v>
      </c>
      <c r="J169" s="119" t="n">
        <v>7.9</v>
      </c>
      <c r="K169" s="119" t="n">
        <v>8.5</v>
      </c>
      <c r="L169" s="119" t="n">
        <v>8.6</v>
      </c>
      <c r="M169" s="119" t="n">
        <v>9.1</v>
      </c>
      <c r="N169" s="119" t="n">
        <v>8.800000000000001</v>
      </c>
      <c r="O169" s="119" t="n">
        <v>7.8</v>
      </c>
      <c r="P169" s="119" t="n">
        <v>7.6</v>
      </c>
      <c r="Q169" s="158">
        <f>IF(COUNT(G169:P169)=10,ROUND((G169*'Pondérations'!$B$5+H169*'Pondérations'!$B$6+I169*'Pondérations'!$B$7+J169*'Pondérations'!$B$8+K169*'Pondérations'!$B$9+L169*'Pondérations'!$B$10+M169*'Pondérations'!$B$11+N169*'Pondérations'!$B$12+O169*'Pondérations'!$B$13+P169*'Pondérations'!$B$14)/'Pondérations'!$B$16,3),"")</f>
        <v/>
      </c>
      <c r="R169" s="159">
        <f>IF(Q169="","",1+COUNTIF($Q$7:$Q$178,"&gt;"&amp;Q169)+COUNTIF($Q$7:Q169,Q169)-1)</f>
        <v/>
      </c>
      <c r="S169" s="122" t="n"/>
      <c r="T169" s="117" t="n"/>
      <c r="U169" s="117" t="n"/>
      <c r="V169" s="123" t="inlineStr">
        <is>
          <t>Élevée</t>
        </is>
      </c>
      <c r="W169" s="117" t="inlineStr">
        <is>
          <t>Import catalogue</t>
        </is>
      </c>
      <c r="X169" s="118" t="n"/>
      <c r="Y169" s="123" t="n"/>
      <c r="Z169" s="124" t="n"/>
      <c r="AA169" s="125" t="n"/>
      <c r="AB169" s="140" t="n"/>
      <c r="AC169" s="117" t="n"/>
      <c r="AD169" s="123" t="inlineStr">
        <is>
          <t>Ajout import catalogue</t>
        </is>
      </c>
      <c r="AE169" s="125" t="n"/>
      <c r="AF169" s="127" t="n">
        <v>109</v>
      </c>
      <c r="AG169" s="122" t="inlineStr">
        <is>
          <t>Les rares retours disponibles trouvent le H4 propre, sans coloration marquée et silencieux, avec une restitution globalement équilibrée. Il semble surtout intéressant pour son rapport puissance/prix.</t>
        </is>
      </c>
      <c r="AH169" s="117" t="inlineStr">
        <is>
          <t>Neutre, équilibrée</t>
        </is>
      </c>
      <c r="AI169" s="117" t="inlineStr">
        <is>
          <t>Pas de problème évident de bruit ou de congestion rapporté; données insuffisantes pour juger précisément profondeur et holographie.</t>
        </is>
      </c>
      <c r="AJ169" s="117" t="inlineStr">
        <is>
          <t>Très peu de reviews indépendantes; chauffe, consommation élevée et quelques soucis de reconnaissance USB rapportés.</t>
        </is>
      </c>
      <c r="AK169" s="117" t="inlineStr">
        <is>
          <t>https://klein.tistory.com/8312</t>
        </is>
      </c>
      <c r="AL169" s="125" t="n">
        <v>3</v>
      </c>
      <c r="AM169" s="123" t="inlineStr">
        <is>
          <t>Élevée — 3+ sources, domaines variés</t>
        </is>
      </c>
      <c r="AN169" s="117" t="inlineStr">
        <is>
          <t>https://www.youtube.com/watch?v=R0sCeACSFhs</t>
        </is>
      </c>
      <c r="AO169" s="128" t="inlineStr">
        <is>
          <t>https://www.youtube.com/watch?v=uP1mge5SFmI</t>
        </is>
      </c>
      <c r="AP169" s="117" t="n"/>
      <c r="AQ169" s="123" t="inlineStr">
        <is>
          <t>Objectif atteint</t>
        </is>
      </c>
      <c r="AR169" s="117" t="inlineStr">
        <is>
          <t>Review éditoriale: 1; Vidéo review: 2</t>
        </is>
      </c>
    </row>
    <row r="170" ht="54" customHeight="1">
      <c r="A170" s="129" t="inlineStr">
        <is>
          <t>Aune</t>
        </is>
      </c>
      <c r="B170" s="129" t="inlineStr">
        <is>
          <t>Yuki SE</t>
        </is>
      </c>
      <c r="C170" s="129" t="inlineStr">
        <is>
          <t>DAC / ampli portable</t>
        </is>
      </c>
      <c r="D170" s="129" t="inlineStr">
        <is>
          <t>Neutre-claire, légèrement brillante</t>
        </is>
      </c>
      <c r="E170" s="129" t="inlineStr">
        <is>
          <t>Microdétail, layering, propreté/contrôle</t>
        </is>
      </c>
      <c r="F170" s="129" t="inlineStr">
        <is>
          <t>Très peu de tests professionnels</t>
        </is>
      </c>
      <c r="G170" s="130" t="n">
        <v>8.199999999999999</v>
      </c>
      <c r="H170" s="131" t="n">
        <v>9</v>
      </c>
      <c r="I170" s="131" t="n">
        <v>8.9</v>
      </c>
      <c r="J170" s="131" t="n">
        <v>8.800000000000001</v>
      </c>
      <c r="K170" s="131" t="n">
        <v>9</v>
      </c>
      <c r="L170" s="131" t="n">
        <v>9</v>
      </c>
      <c r="M170" s="131" t="n">
        <v>8.9</v>
      </c>
      <c r="N170" s="131" t="n">
        <v>7.8</v>
      </c>
      <c r="O170" s="131" t="n">
        <v>9.5</v>
      </c>
      <c r="P170" s="131" t="n">
        <v>8.699999999999999</v>
      </c>
      <c r="Q170" s="158">
        <f>IF(COUNT(G170:P170)=10,ROUND((G170*'Pondérations'!$B$5+H170*'Pondérations'!$B$6+I170*'Pondérations'!$B$7+J170*'Pondérations'!$B$8+K170*'Pondérations'!$B$9+L170*'Pondérations'!$B$10+M170*'Pondérations'!$B$11+N170*'Pondérations'!$B$12+O170*'Pondérations'!$B$13+P170*'Pondérations'!$B$14)/'Pondérations'!$B$16,3),"")</f>
        <v/>
      </c>
      <c r="R170" s="159">
        <f>IF(Q170="","",1+COUNTIF($Q$7:$Q$178,"&gt;"&amp;Q170)+COUNTIF($Q$7:Q170,Q170)-1)</f>
        <v/>
      </c>
      <c r="S170" s="132" t="n"/>
      <c r="T170" s="129" t="n"/>
      <c r="U170" s="129" t="n"/>
      <c r="V170" s="133" t="inlineStr">
        <is>
          <t>Élevée</t>
        </is>
      </c>
      <c r="W170" s="129" t="inlineStr">
        <is>
          <t>Import catalogue</t>
        </is>
      </c>
      <c r="X170" s="130" t="n"/>
      <c r="Y170" s="133" t="n"/>
      <c r="Z170" s="134" t="n"/>
      <c r="AA170" s="135" t="n"/>
      <c r="AB170" s="141" t="n"/>
      <c r="AC170" s="129" t="n"/>
      <c r="AD170" s="133" t="inlineStr">
        <is>
          <t>Ajout import catalogue</t>
        </is>
      </c>
      <c r="AE170" s="135" t="n"/>
      <c r="AF170" s="127" t="n">
        <v>109</v>
      </c>
      <c r="AG170" s="132" t="inlineStr">
        <is>
          <t>Les premiers retours sur le Yuki SE le décrivent comme plus clair et plus détaillé que des dongles Cirrus d'entrée de gamme, avec un aigu plus présent et un grave équilibré.</t>
        </is>
      </c>
      <c r="AH170" s="129" t="inlineStr">
        <is>
          <t>Neutre-claire, légèrement brillante</t>
        </is>
      </c>
      <c r="AI170" s="129" t="inlineStr">
        <is>
          <t>Bonne récupération de détails, séparation et scène; retours particulièrement positifs sur la clarté spatiale.</t>
        </is>
      </c>
      <c r="AJ170" s="129" t="inlineStr">
        <is>
          <t>Très peu de tests professionnels; aigu plus prononcé et conclusions basées surtout sur des comparaisons utilisateur.</t>
        </is>
      </c>
      <c r="AK170" s="129" t="inlineStr">
        <is>
          <t>https://www.reddit.com/r/headphones/comments/1ix3pwo</t>
        </is>
      </c>
      <c r="AL170" s="135" t="n">
        <v>3</v>
      </c>
      <c r="AM170" s="133" t="inlineStr">
        <is>
          <t>Élevée — 3+ sources, domaines variés</t>
        </is>
      </c>
      <c r="AN170" s="129" t="inlineStr">
        <is>
          <t>https://hifidudes.com/dac/aune-yuki-se-portable-dac-that-doubles-as-a-headphone-amplifier/</t>
        </is>
      </c>
      <c r="AO170" s="137" t="inlineStr">
        <is>
          <t>https://www.reddit.com/r/iems/comments/1ly3xc3</t>
        </is>
      </c>
      <c r="AP170" s="129" t="n"/>
      <c r="AQ170" s="133" t="inlineStr">
        <is>
          <t>Objectif atteint</t>
        </is>
      </c>
      <c r="AR170" s="129" t="inlineStr">
        <is>
          <t>Communauté Reddit: 2; Review éditoriale: 1</t>
        </is>
      </c>
    </row>
    <row r="171" ht="54" customHeight="1">
      <c r="A171" s="117" t="inlineStr">
        <is>
          <t>Tanchjim</t>
        </is>
      </c>
      <c r="B171" s="117" t="inlineStr">
        <is>
          <t>Space Pro</t>
        </is>
      </c>
      <c r="C171" s="117" t="inlineStr">
        <is>
          <t>DAC / ampli portable</t>
        </is>
      </c>
      <c r="D171" s="117" t="inlineStr">
        <is>
          <t>Neutre, propre, transparente</t>
        </is>
      </c>
      <c r="E171" s="117" t="inlineStr">
        <is>
          <t>Propreté/contrôle, dynamique, microdétail</t>
        </is>
      </c>
      <c r="F171" s="117" t="inlineStr">
        <is>
          <t>Produit récent et consensus encore limité</t>
        </is>
      </c>
      <c r="G171" s="118" t="n">
        <v>9.699999999999999</v>
      </c>
      <c r="H171" s="119" t="n">
        <v>9</v>
      </c>
      <c r="I171" s="119" t="n">
        <v>8.5</v>
      </c>
      <c r="J171" s="119" t="n">
        <v>8.4</v>
      </c>
      <c r="K171" s="119" t="n">
        <v>8.800000000000001</v>
      </c>
      <c r="L171" s="119" t="n">
        <v>8.699999999999999</v>
      </c>
      <c r="M171" s="119" t="n">
        <v>9.1</v>
      </c>
      <c r="N171" s="119" t="n">
        <v>9</v>
      </c>
      <c r="O171" s="119" t="n">
        <v>9.5</v>
      </c>
      <c r="P171" s="119" t="n">
        <v>8.199999999999999</v>
      </c>
      <c r="Q171" s="158">
        <f>IF(COUNT(G171:P171)=10,ROUND((G171*'Pondérations'!$B$5+H171*'Pondérations'!$B$6+I171*'Pondérations'!$B$7+J171*'Pondérations'!$B$8+K171*'Pondérations'!$B$9+L171*'Pondérations'!$B$10+M171*'Pondérations'!$B$11+N171*'Pondérations'!$B$12+O171*'Pondérations'!$B$13+P171*'Pondérations'!$B$14)/'Pondérations'!$B$16,3),"")</f>
        <v/>
      </c>
      <c r="R171" s="159">
        <f>IF(Q171="","",1+COUNTIF($Q$7:$Q$178,"&gt;"&amp;Q171)+COUNTIF($Q$7:Q171,Q171)-1)</f>
        <v/>
      </c>
      <c r="S171" s="122" t="n"/>
      <c r="T171" s="117" t="n"/>
      <c r="U171" s="117" t="n"/>
      <c r="V171" s="123" t="inlineStr">
        <is>
          <t>Élevée</t>
        </is>
      </c>
      <c r="W171" s="117" t="inlineStr">
        <is>
          <t>Import catalogue</t>
        </is>
      </c>
      <c r="X171" s="118" t="n"/>
      <c r="Y171" s="123" t="n"/>
      <c r="Z171" s="124" t="n"/>
      <c r="AA171" s="125" t="n"/>
      <c r="AB171" s="140" t="n"/>
      <c r="AC171" s="117" t="n"/>
      <c r="AD171" s="123" t="inlineStr">
        <is>
          <t>Ajout import catalogue</t>
        </is>
      </c>
      <c r="AE171" s="125" t="n"/>
      <c r="AF171" s="127" t="n">
        <v>99</v>
      </c>
      <c r="AG171" s="122" t="inlineStr">
        <is>
          <t>Le Space Pro est présenté comme un dongle puissant et très propre, orienté neutralité et transparence, avec des fonctions logicielles/PEQ utiles sans sacrifier le fond silencieux.</t>
        </is>
      </c>
      <c r="AH171" s="117" t="inlineStr">
        <is>
          <t>Neutre, propre, transparente</t>
        </is>
      </c>
      <c r="AI171" s="117" t="inlineStr">
        <is>
          <t>Bonne organisation, séparation et scène pour le prix; les retours récents parlent d'une image précise mais davantage réaliste que surdimensionnée.</t>
        </is>
      </c>
      <c r="AJ171" s="117" t="inlineStr">
        <is>
          <t>Produit récent et consensus encore limité; caractère plutôt technique si l'on cherche chaleur et matière.</t>
        </is>
      </c>
      <c r="AK171" s="117" t="inlineStr">
        <is>
          <t>https://www.pragmaticaudio.com/reviews/2026/07/tanchjim-space-pro/</t>
        </is>
      </c>
      <c r="AL171" s="125" t="n">
        <v>4</v>
      </c>
      <c r="AM171" s="123" t="inlineStr">
        <is>
          <t>Élevée — 3+ sources, domaines variés</t>
        </is>
      </c>
      <c r="AN171" s="117" t="inlineStr">
        <is>
          <t>https://www.reddit.com/r/inearfidelity/comments/1sxa6ic/tiny_dongle_unreasonably_big_power_space_pro/</t>
        </is>
      </c>
      <c r="AO171" s="128" t="inlineStr">
        <is>
          <t>https://www.reddit.com/r/Chifi/comments/1sar6cg/tanchjim_space_pro_review_worthy_to_be_called_a/</t>
        </is>
      </c>
      <c r="AP171" s="117" t="inlineStr">
        <is>
          <t>https://www.reddit.com/r/IemReviews/comments/1uxym4s/tanchjim_space_pro_dac_amp_review_99_comparative/</t>
        </is>
      </c>
      <c r="AQ171" s="123" t="inlineStr">
        <is>
          <t>Objectif atteint</t>
        </is>
      </c>
      <c r="AR171" s="117" t="inlineStr">
        <is>
          <t>Communauté Reddit: 3; Review éditoriale: 1</t>
        </is>
      </c>
    </row>
    <row r="172" ht="54" customHeight="1">
      <c r="A172" s="129" t="inlineStr">
        <is>
          <t>Fosi Audio</t>
        </is>
      </c>
      <c r="B172" s="129" t="inlineStr">
        <is>
          <t>DS3</t>
        </is>
      </c>
      <c r="C172" s="129" t="inlineStr">
        <is>
          <t>DAC / ampli portable</t>
        </is>
      </c>
      <c r="D172" s="129" t="inlineStr">
        <is>
          <t>Neutre, transparente</t>
        </is>
      </c>
      <c r="E172" s="129" t="inlineStr">
        <is>
          <t>Propreté/contrôle, dynamique, microdétail</t>
        </is>
      </c>
      <c r="F172" s="129" t="inlineStr">
        <is>
          <t>Puissance insuffisante pour certains casques full-size</t>
        </is>
      </c>
      <c r="G172" s="130" t="n">
        <v>9.6</v>
      </c>
      <c r="H172" s="131" t="n">
        <v>8.9</v>
      </c>
      <c r="I172" s="131" t="n">
        <v>8.5</v>
      </c>
      <c r="J172" s="131" t="n">
        <v>8.699999999999999</v>
      </c>
      <c r="K172" s="131" t="n">
        <v>8.800000000000001</v>
      </c>
      <c r="L172" s="131" t="n">
        <v>8.699999999999999</v>
      </c>
      <c r="M172" s="131" t="n">
        <v>9.1</v>
      </c>
      <c r="N172" s="131" t="n">
        <v>7</v>
      </c>
      <c r="O172" s="131" t="n">
        <v>9.5</v>
      </c>
      <c r="P172" s="131" t="n">
        <v>8.4</v>
      </c>
      <c r="Q172" s="158">
        <f>IF(COUNT(G172:P172)=10,ROUND((G172*'Pondérations'!$B$5+H172*'Pondérations'!$B$6+I172*'Pondérations'!$B$7+J172*'Pondérations'!$B$8+K172*'Pondérations'!$B$9+L172*'Pondérations'!$B$10+M172*'Pondérations'!$B$11+N172*'Pondérations'!$B$12+O172*'Pondérations'!$B$13+P172*'Pondérations'!$B$14)/'Pondérations'!$B$16,3),"")</f>
        <v/>
      </c>
      <c r="R172" s="159">
        <f>IF(Q172="","",1+COUNTIF($Q$7:$Q$178,"&gt;"&amp;Q172)+COUNTIF($Q$7:Q172,Q172)-1)</f>
        <v/>
      </c>
      <c r="S172" s="132" t="n"/>
      <c r="T172" s="129" t="n"/>
      <c r="U172" s="129" t="n"/>
      <c r="V172" s="133" t="inlineStr">
        <is>
          <t>Élevée</t>
        </is>
      </c>
      <c r="W172" s="129" t="inlineStr">
        <is>
          <t>Import catalogue</t>
        </is>
      </c>
      <c r="X172" s="130" t="n"/>
      <c r="Y172" s="133" t="n"/>
      <c r="Z172" s="134" t="n"/>
      <c r="AA172" s="135" t="n"/>
      <c r="AB172" s="141" t="n"/>
      <c r="AC172" s="129" t="n"/>
      <c r="AD172" s="133" t="inlineStr">
        <is>
          <t>Ajout import catalogue</t>
        </is>
      </c>
      <c r="AE172" s="135" t="n"/>
      <c r="AF172" s="127" t="n">
        <v>93.48999999999999</v>
      </c>
      <c r="AG172" s="132" t="inlineStr">
        <is>
          <t>Le DS3 est généralement décrit comme propre, transparent et silencieux, avec un mode HiFi très neutre et une bonne polyvalence grâce au PEQ. Il représente un net progrès pour Fosi en dongle.</t>
        </is>
      </c>
      <c r="AH172" s="129" t="inlineStr">
        <is>
          <t>Neutre, transparente</t>
        </is>
      </c>
      <c r="AI172" s="129" t="inlineStr">
        <is>
          <t>Bonne clarté et séparation avec IEM/casques faciles; scène propre mais pas décrite comme particulièrement holographique.</t>
        </is>
      </c>
      <c r="AJ172" s="129" t="inlineStr">
        <is>
          <t>Puissance insuffisante pour certains casques full-size; fonctions gaming/7.1 pas toujours très précises.</t>
        </is>
      </c>
      <c r="AK172" s="129" t="inlineStr">
        <is>
          <t>https://mobileaudiophile.com/dacs/dongle/fosi-audio-ds3-dongle-dac-review-xmos-powered-sabre/</t>
        </is>
      </c>
      <c r="AL172" s="135" t="n">
        <v>4</v>
      </c>
      <c r="AM172" s="133" t="inlineStr">
        <is>
          <t>Élevée — 3+ sources, domaines variés</t>
        </is>
      </c>
      <c r="AN172" s="129" t="inlineStr">
        <is>
          <t>https://www.audiophile-heaven.com/2026/04/fosi-audio-ds3-dongle-dac-amp-review-they-got-me-twice.html</t>
        </is>
      </c>
      <c r="AO172" s="137" t="inlineStr">
        <is>
          <t>https://www.pragmaticaudio.com/reviews/2026/03/fosi-audio-ds3/</t>
        </is>
      </c>
      <c r="AP172" s="129" t="inlineStr">
        <is>
          <t>https://homestudiobasics.com/fosi-audio-ds3-review/</t>
        </is>
      </c>
      <c r="AQ172" s="133" t="inlineStr">
        <is>
          <t>Objectif atteint</t>
        </is>
      </c>
      <c r="AR172" s="129" t="inlineStr">
        <is>
          <t>Review éditoriale: 4</t>
        </is>
      </c>
    </row>
    <row r="173" ht="54" customHeight="1">
      <c r="A173" s="117" t="inlineStr">
        <is>
          <t>Fosi Audio</t>
        </is>
      </c>
      <c r="B173" s="117" t="inlineStr">
        <is>
          <t>SK02</t>
        </is>
      </c>
      <c r="C173" s="117" t="inlineStr">
        <is>
          <t>DAC / ampli portable</t>
        </is>
      </c>
      <c r="D173" s="117" t="inlineStr">
        <is>
          <t>Neutre, propre</t>
        </is>
      </c>
      <c r="E173" s="117" t="inlineStr">
        <is>
          <t>Puissance, propreté/contrôle, image 3d</t>
        </is>
      </c>
      <c r="F173" s="117" t="inlineStr">
        <is>
          <t>Format davantage desktop que nomade</t>
        </is>
      </c>
      <c r="G173" s="118" t="n">
        <v>9.1</v>
      </c>
      <c r="H173" s="119" t="n">
        <v>8.800000000000001</v>
      </c>
      <c r="I173" s="119" t="n">
        <v>8.1</v>
      </c>
      <c r="J173" s="119" t="n">
        <v>8.6</v>
      </c>
      <c r="K173" s="119" t="n">
        <v>8.699999999999999</v>
      </c>
      <c r="L173" s="119" t="n">
        <v>8.800000000000001</v>
      </c>
      <c r="M173" s="119" t="n">
        <v>8.9</v>
      </c>
      <c r="N173" s="119" t="n">
        <v>9.300000000000001</v>
      </c>
      <c r="O173" s="119" t="n">
        <v>6.5</v>
      </c>
      <c r="P173" s="119" t="n">
        <v>7.8</v>
      </c>
      <c r="Q173" s="158">
        <f>IF(COUNT(G173:P173)=10,ROUND((G173*'Pondérations'!$B$5+H173*'Pondérations'!$B$6+I173*'Pondérations'!$B$7+J173*'Pondérations'!$B$8+K173*'Pondérations'!$B$9+L173*'Pondérations'!$B$10+M173*'Pondérations'!$B$11+N173*'Pondérations'!$B$12+O173*'Pondérations'!$B$13+P173*'Pondérations'!$B$14)/'Pondérations'!$B$16,3),"")</f>
        <v/>
      </c>
      <c r="R173" s="159">
        <f>IF(Q173="","",1+COUNTIF($Q$7:$Q$178,"&gt;"&amp;Q173)+COUNTIF($Q$7:Q173,Q173)-1)</f>
        <v/>
      </c>
      <c r="S173" s="122" t="n"/>
      <c r="T173" s="117" t="n"/>
      <c r="U173" s="117" t="n"/>
      <c r="V173" s="123" t="inlineStr">
        <is>
          <t>Élevée</t>
        </is>
      </c>
      <c r="W173" s="117" t="inlineStr">
        <is>
          <t>Import catalogue</t>
        </is>
      </c>
      <c r="X173" s="118" t="n"/>
      <c r="Y173" s="123" t="n"/>
      <c r="Z173" s="124" t="n"/>
      <c r="AA173" s="125" t="n"/>
      <c r="AB173" s="140" t="n"/>
      <c r="AC173" s="117" t="n"/>
      <c r="AD173" s="123" t="inlineStr">
        <is>
          <t>Ajout import catalogue</t>
        </is>
      </c>
      <c r="AE173" s="125" t="n"/>
      <c r="AF173" s="127" t="n">
        <v>93.48999999999999</v>
      </c>
      <c r="AG173" s="122" t="inlineStr">
        <is>
          <t>Le SK02 est un DAC/amp compact très puissant pour son prix, généralement jugé propre et détaillé avec une restitution plutôt neutre. Son intérêt est surtout le rapport performances/fonctions.</t>
        </is>
      </c>
      <c r="AH173" s="117" t="inlineStr">
        <is>
          <t>Neutre, propre</t>
        </is>
      </c>
      <c r="AI173" s="117" t="inlineStr">
        <is>
          <t>Bonne scène et séparation pour le tarif; suffisamment de puissance pour de nombreux casques de bureau.</t>
        </is>
      </c>
      <c r="AJ173" s="117" t="inlineStr">
        <is>
          <t>Format davantage desktop que nomade; raffinement et profondeur restent sous les sources premium.</t>
        </is>
      </c>
      <c r="AK173" s="117" t="inlineStr">
        <is>
          <t>https://www.headfonia.com/fosi-sk02-review/</t>
        </is>
      </c>
      <c r="AL173" s="125" t="n">
        <v>4</v>
      </c>
      <c r="AM173" s="123" t="inlineStr">
        <is>
          <t>Élevée — 3+ sources, domaines variés</t>
        </is>
      </c>
      <c r="AN173" s="117" t="inlineStr">
        <is>
          <t>https://mobileaudiophile.com/dacs/fosi-audio-sk02-dac-amp-review-the-chunky-boy/</t>
        </is>
      </c>
      <c r="AO173" s="128" t="inlineStr">
        <is>
          <t>https://www.head-fi.org/showcase/fosi-audio-sk02.27000/reviews</t>
        </is>
      </c>
      <c r="AP173" s="117" t="inlineStr">
        <is>
          <t>https://www.hlplanet.com/fosi-audio-sk02-review/</t>
        </is>
      </c>
      <c r="AQ173" s="123" t="inlineStr">
        <is>
          <t>Objectif atteint</t>
        </is>
      </c>
      <c r="AR173" s="117" t="inlineStr">
        <is>
          <t>Head-Fi reviews: 1; Review éditoriale: 3</t>
        </is>
      </c>
    </row>
    <row r="174" ht="54" customHeight="1">
      <c r="A174" s="129" t="inlineStr">
        <is>
          <t>CrinEar</t>
        </is>
      </c>
      <c r="B174" s="129" t="inlineStr">
        <is>
          <t>Protocol Max</t>
        </is>
      </c>
      <c r="C174" s="129" t="inlineStr">
        <is>
          <t>DAC / ampli portable</t>
        </is>
      </c>
      <c r="D174" s="129" t="inlineStr">
        <is>
          <t>Neutre, clinique à légèrement ferme</t>
        </is>
      </c>
      <c r="E174" s="129" t="inlineStr">
        <is>
          <t>Puissance, image 3d, layering</t>
        </is>
      </c>
      <c r="F174" s="129" t="inlineStr">
        <is>
          <t>Quelques avis signalent un médium dur ou des problèmes de fiabilité</t>
        </is>
      </c>
      <c r="G174" s="130" t="n">
        <v>9.300000000000001</v>
      </c>
      <c r="H174" s="131" t="n">
        <v>9</v>
      </c>
      <c r="I174" s="131" t="n">
        <v>8.800000000000001</v>
      </c>
      <c r="J174" s="131" t="n">
        <v>9.1</v>
      </c>
      <c r="K174" s="131" t="n">
        <v>9.1</v>
      </c>
      <c r="L174" s="131" t="n">
        <v>8.699999999999999</v>
      </c>
      <c r="M174" s="131" t="n">
        <v>9</v>
      </c>
      <c r="N174" s="131" t="n">
        <v>9.300000000000001</v>
      </c>
      <c r="O174" s="131" t="n">
        <v>9.5</v>
      </c>
      <c r="P174" s="131" t="n">
        <v>8.699999999999999</v>
      </c>
      <c r="Q174" s="158">
        <f>IF(COUNT(G174:P174)=10,ROUND((G174*'Pondérations'!$B$5+H174*'Pondérations'!$B$6+I174*'Pondérations'!$B$7+J174*'Pondérations'!$B$8+K174*'Pondérations'!$B$9+L174*'Pondérations'!$B$10+M174*'Pondérations'!$B$11+N174*'Pondérations'!$B$12+O174*'Pondérations'!$B$13+P174*'Pondérations'!$B$14)/'Pondérations'!$B$16,3),"")</f>
        <v/>
      </c>
      <c r="R174" s="159">
        <f>IF(Q174="","",1+COUNTIF($Q$7:$Q$178,"&gt;"&amp;Q174)+COUNTIF($Q$7:Q174,Q174)-1)</f>
        <v/>
      </c>
      <c r="S174" s="132" t="n"/>
      <c r="T174" s="129" t="n"/>
      <c r="U174" s="129" t="n"/>
      <c r="V174" s="133" t="inlineStr">
        <is>
          <t>Moyenne</t>
        </is>
      </c>
      <c r="W174" s="129" t="inlineStr">
        <is>
          <t>Import catalogue</t>
        </is>
      </c>
      <c r="X174" s="130" t="n"/>
      <c r="Y174" s="133" t="n"/>
      <c r="Z174" s="134" t="n"/>
      <c r="AA174" s="135" t="n"/>
      <c r="AB174" s="141" t="n"/>
      <c r="AC174" s="129" t="n"/>
      <c r="AD174" s="133" t="inlineStr">
        <is>
          <t>Ajout import catalogue</t>
        </is>
      </c>
      <c r="AE174" s="135" t="n"/>
      <c r="AF174" s="127" t="n">
        <v>89.90000000000001</v>
      </c>
      <c r="AG174" s="132" t="inlineStr">
        <is>
          <t>Les retours disponibles décrivent le Protocol Max comme neutre, détaillé et très silencieux, avec beaucoup de puissance et un PEQ pratique. Certains utilisateurs constatent une scène plus 3D et un grave mieux défini que des dongles d'entrée de gamme.</t>
        </is>
      </c>
      <c r="AH174" s="129" t="inlineStr">
        <is>
          <t>Neutre, clinique à légèrement ferme</t>
        </is>
      </c>
      <c r="AI174" s="129" t="inlineStr">
        <is>
          <t>Très bonne clarté, focus et dynamique; plusieurs retours rapportent une scène plus grande/3D, mais pas encore de consensus professionnel solide.</t>
        </is>
      </c>
      <c r="AJ174" s="129" t="inlineStr">
        <is>
          <t>Quelques avis signalent un médium dur ou des problèmes de fiabilité; majorité des données provient d'utilisateurs/retailers.</t>
        </is>
      </c>
      <c r="AK174" s="129" t="inlineStr">
        <is>
          <t>https://www.headphonezone.in/products/crinear-protocol-max</t>
        </is>
      </c>
      <c r="AL174" s="135" t="n">
        <v>3</v>
      </c>
      <c r="AM174" s="133" t="inlineStr">
        <is>
          <t>Moyenne+ — 3+ sources, diversité limitée</t>
        </is>
      </c>
      <c r="AN174" s="129" t="inlineStr">
        <is>
          <t>https://eliseaudio.com/en-us/products/crinear-protocol-max</t>
        </is>
      </c>
      <c r="AO174" s="137" t="inlineStr">
        <is>
          <t>https://www.reddit.com/r/inearfidelity/comments/1oj13j1/crinear_protocol_max_shortcomings/</t>
        </is>
      </c>
      <c r="AP174" s="129" t="inlineStr">
        <is>
          <t>https://www.reddit.com/r/headphones/comments/1pa9wt8/is_the_crinear_protocol_max_shockingly/</t>
        </is>
      </c>
      <c r="AQ174" s="133" t="inlineStr">
        <is>
          <t>Objectif atteint</t>
        </is>
      </c>
      <c r="AR174" s="129" t="inlineStr">
        <is>
          <t>Communauté Reddit: 3</t>
        </is>
      </c>
    </row>
    <row r="175" ht="54" customHeight="1">
      <c r="A175" s="117" t="inlineStr">
        <is>
          <t>ROSESELSA</t>
        </is>
      </c>
      <c r="B175" s="117" t="inlineStr">
        <is>
          <t>RS9029</t>
        </is>
      </c>
      <c r="C175" s="117" t="inlineStr">
        <is>
          <t>DAC / ampli portable</t>
        </is>
      </c>
      <c r="D175" s="117" t="inlineStr">
        <is>
          <t>Données insuffisantes</t>
        </is>
      </c>
      <c r="E175" s="117" t="inlineStr">
        <is>
          <t>Aucune base indépendante suffisante</t>
        </is>
      </c>
      <c r="F175" s="117" t="inlineStr">
        <is>
          <t>Pas de base suffisante pour juger scène, détail, dynamique ou coloration</t>
        </is>
      </c>
      <c r="G175" s="118" t="n"/>
      <c r="H175" s="119" t="n"/>
      <c r="I175" s="119" t="n"/>
      <c r="J175" s="119" t="n"/>
      <c r="K175" s="119" t="n"/>
      <c r="L175" s="119" t="n"/>
      <c r="M175" s="119" t="n"/>
      <c r="N175" s="119" t="n"/>
      <c r="O175" s="119" t="n"/>
      <c r="P175" s="119" t="n"/>
      <c r="Q175" s="158">
        <f>IF(COUNT(G175:P175)=10,ROUND((G175*'Pondérations'!$B$5+H175*'Pondérations'!$B$6+I175*'Pondérations'!$B$7+J175*'Pondérations'!$B$8+K175*'Pondérations'!$B$9+L175*'Pondérations'!$B$10+M175*'Pondérations'!$B$11+N175*'Pondérations'!$B$12+O175*'Pondérations'!$B$13+P175*'Pondérations'!$B$14)/'Pondérations'!$B$16,3),"")</f>
        <v/>
      </c>
      <c r="R175" s="159">
        <f>IF(Q175="","",1+COUNTIF($Q$7:$Q$178,"&gt;"&amp;Q175)+COUNTIF($Q$7:Q175,Q175)-1)</f>
        <v/>
      </c>
      <c r="S175" s="122" t="n"/>
      <c r="T175" s="117" t="n"/>
      <c r="U175" s="117" t="n"/>
      <c r="V175" s="123" t="inlineStr">
        <is>
          <t>Très faible — non noté</t>
        </is>
      </c>
      <c r="W175" s="117" t="inlineStr">
        <is>
          <t>Import catalogue</t>
        </is>
      </c>
      <c r="X175" s="118" t="n"/>
      <c r="Y175" s="123" t="n"/>
      <c r="Z175" s="124" t="n"/>
      <c r="AA175" s="125" t="n"/>
      <c r="AB175" s="140" t="n"/>
      <c r="AC175" s="117" t="n"/>
      <c r="AD175" s="123" t="inlineStr">
        <is>
          <t>Ajout import catalogue</t>
        </is>
      </c>
      <c r="AE175" s="125" t="n"/>
      <c r="AF175" s="127" t="n">
        <v>89</v>
      </c>
      <c r="AG175" s="122" t="inlineStr">
        <is>
          <t>Aucun avis indépendant détaillé et exploitable n'a été repéré lors de la recherche du 07/08/2026. Conserver la référence, mais ne pas lui attribuer de note sonore tant que des tests sérieux ne sont pas disponibles.</t>
        </is>
      </c>
      <c r="AH175" s="117" t="inlineStr">
        <is>
          <t>Données insuffisantes</t>
        </is>
      </c>
      <c r="AI175" s="117" t="inlineStr">
        <is>
          <t>Données insuffisantes</t>
        </is>
      </c>
      <c r="AJ175" s="117" t="inlineStr">
        <is>
          <t>Pas de base suffisante pour juger scène, détail, dynamique ou coloration.</t>
        </is>
      </c>
      <c r="AK175" s="117" t="inlineStr"/>
      <c r="AL175" s="125" t="n">
        <v>0</v>
      </c>
      <c r="AM175" s="123" t="inlineStr">
        <is>
          <t>Très faible — aucune review indépendante</t>
        </is>
      </c>
      <c r="AN175" s="117" t="n"/>
      <c r="AO175" s="117" t="n"/>
      <c r="AP175" s="117" t="n"/>
      <c r="AQ175" s="123" t="inlineStr">
        <is>
          <t>Données insuffisantes</t>
        </is>
      </c>
      <c r="AR175" s="117" t="inlineStr">
        <is>
          <t>Aucune review comptée</t>
        </is>
      </c>
    </row>
    <row r="176" ht="54" customHeight="1">
      <c r="A176" s="129" t="inlineStr">
        <is>
          <t>iFi audio</t>
        </is>
      </c>
      <c r="B176" s="129" t="inlineStr">
        <is>
          <t>GO Link 2 Max</t>
        </is>
      </c>
      <c r="C176" s="129" t="inlineStr">
        <is>
          <t>DAC / ampli portable</t>
        </is>
      </c>
      <c r="D176" s="129" t="inlineStr">
        <is>
          <t>Probablement neutre à légèrement charnue (à confirmer)</t>
        </is>
      </c>
      <c r="E176" s="129" t="inlineStr">
        <is>
          <t>Aucune base indépendante suffisante</t>
        </is>
      </c>
      <c r="F176" s="129" t="inlineStr">
        <is>
          <t>Très récent: pas assez de reviews indépendantes approfondies au 07/08/2026</t>
        </is>
      </c>
      <c r="G176" s="130" t="n"/>
      <c r="H176" s="131" t="n"/>
      <c r="I176" s="131" t="n"/>
      <c r="J176" s="131" t="n"/>
      <c r="K176" s="131" t="n"/>
      <c r="L176" s="131" t="n"/>
      <c r="M176" s="131" t="n"/>
      <c r="N176" s="131" t="n"/>
      <c r="O176" s="131" t="n"/>
      <c r="P176" s="131" t="n"/>
      <c r="Q176" s="158">
        <f>IF(COUNT(G176:P176)=10,ROUND((G176*'Pondérations'!$B$5+H176*'Pondérations'!$B$6+I176*'Pondérations'!$B$7+J176*'Pondérations'!$B$8+K176*'Pondérations'!$B$9+L176*'Pondérations'!$B$10+M176*'Pondérations'!$B$11+N176*'Pondérations'!$B$12+O176*'Pondérations'!$B$13+P176*'Pondérations'!$B$14)/'Pondérations'!$B$16,3),"")</f>
        <v/>
      </c>
      <c r="R176" s="159">
        <f>IF(Q176="","",1+COUNTIF($Q$7:$Q$178,"&gt;"&amp;Q176)+COUNTIF($Q$7:Q176,Q176)-1)</f>
        <v/>
      </c>
      <c r="S176" s="132" t="n"/>
      <c r="T176" s="129" t="n"/>
      <c r="U176" s="129" t="n"/>
      <c r="V176" s="133" t="inlineStr">
        <is>
          <t>Très faible — non noté</t>
        </is>
      </c>
      <c r="W176" s="129" t="inlineStr">
        <is>
          <t>Import catalogue</t>
        </is>
      </c>
      <c r="X176" s="130" t="n"/>
      <c r="Y176" s="133" t="n"/>
      <c r="Z176" s="134" t="n"/>
      <c r="AA176" s="135" t="n"/>
      <c r="AB176" s="141" t="n"/>
      <c r="AC176" s="129" t="n"/>
      <c r="AD176" s="133" t="inlineStr">
        <is>
          <t>Ajout import catalogue</t>
        </is>
      </c>
      <c r="AE176" s="135" t="n"/>
      <c r="AF176" s="127" t="n">
        <v>89</v>
      </c>
      <c r="AG176" s="132" t="inlineStr">
        <is>
          <t>Le GO Link 2 Max est encore récent; les premières informations le positionnent comme une évolution plus puissante et polyvalente du GO Link Max/2. Le recul critique est encore limité.</t>
        </is>
      </c>
      <c r="AH176" s="129" t="inlineStr">
        <is>
          <t>Probablement neutre à légèrement charnue (à confirmer)</t>
        </is>
      </c>
      <c r="AI176" s="129" t="inlineStr">
        <is>
          <t>Données subjectives encore trop limitées pour noter sérieusement profondeur et layering.</t>
        </is>
      </c>
      <c r="AJ176" s="129" t="inlineStr">
        <is>
          <t>Très récent: pas assez de reviews indépendantes approfondies au 07/08/2026.</t>
        </is>
      </c>
      <c r="AK176" s="129" t="inlineStr">
        <is>
          <t>https://ifi-audio.com/products/go-link-2-max</t>
        </is>
      </c>
      <c r="AL176" s="135" t="n">
        <v>0</v>
      </c>
      <c r="AM176" s="133" t="inlineStr">
        <is>
          <t>Très faible — aucune review indépendante</t>
        </is>
      </c>
      <c r="AN176" s="129" t="inlineStr">
        <is>
          <t>https://www.techradar.com/tech/two-dacs-for-wildly-different-budgets-unveiled-at-high-end-from-ifis-pocketable-pal-to-amrs-price-on-request-hunk-of-hi-res-conversion</t>
        </is>
      </c>
      <c r="AO176" s="137" t="inlineStr">
        <is>
          <t>https://www.t3.com/tech/audio/you-can-upgrade-your-iphone-or-android-phone-audio-to-hi-res-standards-with-this-tiny-affordable-add-on</t>
        </is>
      </c>
      <c r="AP176" s="129" t="n"/>
      <c r="AQ176" s="133" t="inlineStr">
        <is>
          <t>Données insuffisantes</t>
        </is>
      </c>
      <c r="AR176" s="129" t="inlineStr">
        <is>
          <t>Aucune review comptée</t>
        </is>
      </c>
    </row>
    <row r="177" ht="54" customHeight="1">
      <c r="A177" s="117" t="inlineStr">
        <is>
          <t>Fosi Audio</t>
        </is>
      </c>
      <c r="B177" s="117" t="inlineStr">
        <is>
          <t>DS1</t>
        </is>
      </c>
      <c r="C177" s="117" t="inlineStr">
        <is>
          <t>DAC / ampli portable</t>
        </is>
      </c>
      <c r="D177" s="117" t="inlineStr">
        <is>
          <t>Neutre, légèrement révélatrice</t>
        </is>
      </c>
      <c r="E177" s="117" t="inlineStr">
        <is>
          <t>Dynamique, propreté/contrôle, microdétail</t>
        </is>
      </c>
      <c r="F177" s="117" t="inlineStr">
        <is>
          <t>Aigu un peu vif avec certaines associations</t>
        </is>
      </c>
      <c r="G177" s="118" t="n">
        <v>9.6</v>
      </c>
      <c r="H177" s="119" t="n">
        <v>9.300000000000001</v>
      </c>
      <c r="I177" s="119" t="n">
        <v>8.5</v>
      </c>
      <c r="J177" s="119" t="n">
        <v>8.4</v>
      </c>
      <c r="K177" s="119" t="n">
        <v>8.9</v>
      </c>
      <c r="L177" s="119" t="n">
        <v>8.699999999999999</v>
      </c>
      <c r="M177" s="119" t="n">
        <v>9.4</v>
      </c>
      <c r="N177" s="119" t="n">
        <v>9.300000000000001</v>
      </c>
      <c r="O177" s="119" t="n">
        <v>8</v>
      </c>
      <c r="P177" s="119" t="n">
        <v>8.300000000000001</v>
      </c>
      <c r="Q177" s="158">
        <f>IF(COUNT(G177:P177)=10,ROUND((G177*'Pondérations'!$B$5+H177*'Pondérations'!$B$6+I177*'Pondérations'!$B$7+J177*'Pondérations'!$B$8+K177*'Pondérations'!$B$9+L177*'Pondérations'!$B$10+M177*'Pondérations'!$B$11+N177*'Pondérations'!$B$12+O177*'Pondérations'!$B$13+P177*'Pondérations'!$B$14)/'Pondérations'!$B$16,3),"")</f>
        <v/>
      </c>
      <c r="R177" s="159">
        <f>IF(Q177="","",1+COUNTIF($Q$7:$Q$178,"&gt;"&amp;Q177)+COUNTIF($Q$7:Q177,Q177)-1)</f>
        <v/>
      </c>
      <c r="S177" s="122" t="n"/>
      <c r="T177" s="117" t="n"/>
      <c r="U177" s="117" t="n"/>
      <c r="V177" s="123" t="inlineStr">
        <is>
          <t>Élevée</t>
        </is>
      </c>
      <c r="W177" s="117" t="inlineStr">
        <is>
          <t>Import catalogue</t>
        </is>
      </c>
      <c r="X177" s="118" t="n"/>
      <c r="Y177" s="123" t="n"/>
      <c r="Z177" s="124" t="n"/>
      <c r="AA177" s="125" t="n"/>
      <c r="AB177" s="140" t="n"/>
      <c r="AC177" s="117" t="n"/>
      <c r="AD177" s="123" t="inlineStr">
        <is>
          <t>Ajout import catalogue</t>
        </is>
      </c>
      <c r="AE177" s="125" t="n"/>
      <c r="AF177" s="127" t="n">
        <v>75.65000000000001</v>
      </c>
      <c r="AG177" s="122" t="inlineStr">
        <is>
          <t>Le DS1 est généralement perçu comme linéaire et équilibré, avec un aigu légèrement révélateur, beaucoup de punch et une puissance élevée pour son prix.</t>
        </is>
      </c>
      <c r="AH177" s="117" t="inlineStr">
        <is>
          <t>Neutre, légèrement révélatrice</t>
        </is>
      </c>
      <c r="AI177" s="117" t="inlineStr">
        <is>
          <t>Scène étonnamment grande, fond noir et bonne résolution; dynamique et séparation solides en 4,4 mm.</t>
        </is>
      </c>
      <c r="AJ177" s="117" t="inlineStr">
        <is>
          <t>Aigu un peu vif avec certaines associations; produit ancien et ergonomie simple.</t>
        </is>
      </c>
      <c r="AK177" s="117" t="inlineStr">
        <is>
          <t>https://www.headphonesty.com/2023/07/review-fosi-audio-ds1/</t>
        </is>
      </c>
      <c r="AL177" s="125" t="n">
        <v>3</v>
      </c>
      <c r="AM177" s="123" t="inlineStr">
        <is>
          <t>Élevée — 3+ sources, domaines variés</t>
        </is>
      </c>
      <c r="AN177" s="117" t="inlineStr">
        <is>
          <t>https://androidbrick.com/fosi-audio-ds1-usb-dac-review/</t>
        </is>
      </c>
      <c r="AO177" s="117" t="inlineStr">
        <is>
          <t>https://www.head-fi.org/showcase/fosi-audio-ds1-dongle-dac-amplifier.26214/reviews</t>
        </is>
      </c>
      <c r="AP177" s="117" t="n"/>
      <c r="AQ177" s="123" t="inlineStr">
        <is>
          <t>Objectif atteint</t>
        </is>
      </c>
      <c r="AR177" s="117" t="inlineStr">
        <is>
          <t>Head-Fi reviews: 1; Review éditoriale: 2</t>
        </is>
      </c>
    </row>
    <row r="178" ht="54" customHeight="1">
      <c r="A178" s="129" t="inlineStr">
        <is>
          <t>Tanchjim</t>
        </is>
      </c>
      <c r="B178" s="129" t="inlineStr">
        <is>
          <t>Space</t>
        </is>
      </c>
      <c r="C178" s="129" t="inlineStr">
        <is>
          <t>DAC / ampli portable</t>
        </is>
      </c>
      <c r="D178" s="129" t="inlineStr">
        <is>
          <t>Neutre, transparente, analytique</t>
        </is>
      </c>
      <c r="E178" s="129" t="inlineStr">
        <is>
          <t>Layering, propreté/contrôle, profondeur</t>
        </is>
      </c>
      <c r="F178" s="129" t="inlineStr">
        <is>
          <t>Peut sembler un peu sobre/clinique</t>
        </is>
      </c>
      <c r="G178" s="130" t="n">
        <v>9.199999999999999</v>
      </c>
      <c r="H178" s="131" t="n">
        <v>8.800000000000001</v>
      </c>
      <c r="I178" s="131" t="n">
        <v>8.9</v>
      </c>
      <c r="J178" s="131" t="n">
        <v>8.800000000000001</v>
      </c>
      <c r="K178" s="131" t="n">
        <v>9.1</v>
      </c>
      <c r="L178" s="131" t="n">
        <v>8.800000000000001</v>
      </c>
      <c r="M178" s="131" t="n">
        <v>8.9</v>
      </c>
      <c r="N178" s="131" t="n">
        <v>8.9</v>
      </c>
      <c r="O178" s="131" t="n">
        <v>9.5</v>
      </c>
      <c r="P178" s="131" t="n">
        <v>8.5</v>
      </c>
      <c r="Q178" s="158">
        <f>IF(COUNT(G178:P178)=10,ROUND((G178*'Pondérations'!$B$5+H178*'Pondérations'!$B$6+I178*'Pondérations'!$B$7+J178*'Pondérations'!$B$8+K178*'Pondérations'!$B$9+L178*'Pondérations'!$B$10+M178*'Pondérations'!$B$11+N178*'Pondérations'!$B$12+O178*'Pondérations'!$B$13+P178*'Pondérations'!$B$14)/'Pondérations'!$B$16,3),"")</f>
        <v/>
      </c>
      <c r="R178" s="159">
        <f>IF(Q178="","",1+COUNTIF($Q$7:$Q$178,"&gt;"&amp;Q178)+COUNTIF($Q$7:Q178,Q178)-1)</f>
        <v/>
      </c>
      <c r="S178" s="132" t="n"/>
      <c r="T178" s="129" t="n"/>
      <c r="U178" s="129" t="n"/>
      <c r="V178" s="133" t="inlineStr">
        <is>
          <t>Élevée</t>
        </is>
      </c>
      <c r="W178" s="129" t="inlineStr">
        <is>
          <t>Import catalogue</t>
        </is>
      </c>
      <c r="X178" s="130" t="n"/>
      <c r="Y178" s="133" t="n"/>
      <c r="Z178" s="134" t="n"/>
      <c r="AA178" s="135" t="n"/>
      <c r="AB178" s="141" t="n"/>
      <c r="AC178" s="129" t="n"/>
      <c r="AD178" s="133" t="inlineStr">
        <is>
          <t>Ajout import catalogue</t>
        </is>
      </c>
      <c r="AE178" s="135" t="n"/>
      <c r="AF178" s="127" t="n">
        <v>72.90000000000001</v>
      </c>
      <c r="AG178" s="132" t="inlineStr">
        <is>
          <t>Le Tanchjim Space est largement décrit comme neutre, transparent et non coloré, avec une approche analytique qui laisse surtout le casque/IEM définir la signature.</t>
        </is>
      </c>
      <c r="AH178" s="129" t="inlineStr">
        <is>
          <t>Neutre, transparente, analytique</t>
        </is>
      </c>
      <c r="AI178" s="129" t="inlineStr">
        <is>
          <t>Scène ouverte avec bonne séparation et clarté; privilégie précision et propreté plutôt que matière ajoutée.</t>
        </is>
      </c>
      <c r="AJ178" s="129" t="inlineStr">
        <is>
          <t>Peut sembler un peu sobre/clinique; génération plus ancienne et puissance inférieure aux meilleurs dongles récents.</t>
        </is>
      </c>
      <c r="AK178" s="129" t="inlineStr">
        <is>
          <t>https://androidbrick.com/tanchjim-space-usb-dac-review/</t>
        </is>
      </c>
      <c r="AL178" s="135" t="n">
        <v>3</v>
      </c>
      <c r="AM178" s="133" t="inlineStr">
        <is>
          <t>Élevée — 3+ sources, domaines variés</t>
        </is>
      </c>
      <c r="AN178" s="129" t="inlineStr">
        <is>
          <t>https://www.head-fi.org/showcase/tanchjim-space.26232/reviews</t>
        </is>
      </c>
      <c r="AO178" s="129" t="inlineStr">
        <is>
          <t>https://www.reddit.com/r/IemReviews/comments/1s6qs5w/tanchjim_space_still_nails_basics_better_than/</t>
        </is>
      </c>
      <c r="AP178" s="129" t="n"/>
      <c r="AQ178" s="133" t="inlineStr">
        <is>
          <t>Objectif atteint</t>
        </is>
      </c>
      <c r="AR178" s="129" t="inlineStr">
        <is>
          <t>Communauté Reddit: 1; Head-Fi reviews: 1; Review éditoriale: 1</t>
        </is>
      </c>
    </row>
    <row r="179">
      <c r="A179" t="inlineStr">
        <is>
          <t>Qudelix</t>
        </is>
      </c>
      <c r="B179" t="inlineStr">
        <is>
          <t>5K</t>
        </is>
      </c>
      <c r="C179" t="inlineStr">
        <is>
          <t>BT DAC/amp</t>
        </is>
      </c>
      <c r="D179" t="inlineStr">
        <is>
          <t>Neutre-légèrement chaleureux, détaillé sans agressivité</t>
        </is>
      </c>
      <c r="E179" t="inlineStr">
        <is>
          <t>DSP/PEQ 20 bandes double précision 64-bit, le plus puissant du marché portable, avec app iOS/Android/Chrome</t>
        </is>
      </c>
      <c r="F179" t="inlineStr">
        <is>
          <t>USB DAC limité à 24-bit/96kHz (UAC 1.0) et pas de sortie 4.4mm</t>
        </is>
      </c>
      <c r="G179" t="n">
        <v>8.800000000000001</v>
      </c>
      <c r="H179" t="n">
        <v>8.6</v>
      </c>
      <c r="I179" t="n">
        <v>8.4</v>
      </c>
      <c r="J179" t="n">
        <v>8.199999999999999</v>
      </c>
      <c r="K179" t="n">
        <v>8.4</v>
      </c>
      <c r="L179" t="n">
        <v>8.300000000000001</v>
      </c>
      <c r="M179" t="n">
        <v>8.5</v>
      </c>
      <c r="N179" t="n">
        <v>8.199999999999999</v>
      </c>
      <c r="O179" t="n">
        <v>9</v>
      </c>
      <c r="P179" t="n">
        <v>9.4</v>
      </c>
      <c r="Q179">
        <f>IF(COUNT(G179:P179)=10,ROUND((G179*'Pondérations'!$B$5+H179*'Pondérations'!$B$6+I179*'Pondérations'!$B$7+J179*'Pondérations'!$B$8+K179*'Pondérations'!$B$9+L179*'Pondérations'!$B$10+M179*'Pondérations'!$B$11+N179*'Pondérations'!$B$12+O179*'Pondérations'!$B$13+P179*'Pondérations'!$B$14)/'Pondérations'!$B$16,3),"")</f>
        <v/>
      </c>
      <c r="R179">
        <f>IF(Q179="","",1+COUNTIF($Q$7:$Q$210,"&gt;"&amp;Q179)+COUNTIF($Q$7:Q179,Q179)-1)</f>
        <v/>
      </c>
      <c r="V179" t="inlineStr">
        <is>
          <t>Élevée</t>
        </is>
      </c>
      <c r="W179" t="inlineStr">
        <is>
          <t>Ajout catalogue</t>
        </is>
      </c>
      <c r="AF179" t="n">
        <v>110</v>
      </c>
      <c r="AG179" t="inlineStr">
        <is>
          <t>Le moins sexy des BT DAC/amp mais le plus intelligent : DSP pro-grade, app excellente, codecs BT complets. La qualité de base est très bonne, mais le vrai potentiel s'exprime après réglage du PEQ.</t>
        </is>
      </c>
      <c r="AH179" t="inlineStr">
        <is>
          <t>Neutre avec une chaleur subtile, jamais fatigant</t>
        </is>
      </c>
      <c r="AI179" t="inlineStr">
        <is>
          <t>Scène correcte, détail très bon ; le DSP permet de corriger les pics et d'ajouter du sparkle</t>
        </is>
      </c>
      <c r="AJ179" t="inlineStr">
        <is>
          <t>Le DSP épuise la batterie 500mAh en ~5h ; boutons faciles à mal-cliquer ; micro intégré médiocre</t>
        </is>
      </c>
      <c r="AK179" t="inlineStr">
        <is>
          <t>https://www.headphonesty.com/2023/03/review-qudelix-5k/</t>
        </is>
      </c>
      <c r="AL179" t="n">
        <v>2</v>
      </c>
      <c r="AM179" t="inlineStr">
        <is>
          <t>Moyenne — 2 sources</t>
        </is>
      </c>
      <c r="AN179" t="inlineStr">
        <is>
          <t>https://www.qudelix.com/products/qudelix-5k</t>
        </is>
      </c>
      <c r="AQ179" t="inlineStr">
        <is>
          <t>À compléter</t>
        </is>
      </c>
      <c r="AR179" t="inlineStr">
        <is>
          <t>Review éditoriale: 1; Fiche constructeur: 1</t>
        </is>
      </c>
    </row>
    <row r="180">
      <c r="A180" t="inlineStr">
        <is>
          <t>AudioQuest</t>
        </is>
      </c>
      <c r="B180" t="inlineStr">
        <is>
          <t>DragonFly Cobalt</t>
        </is>
      </c>
      <c r="C180" t="inlineStr">
        <is>
          <t>Dongle DAC/amp</t>
        </is>
      </c>
      <c r="D180" t="inlineStr">
        <is>
          <t>Naturel, expressif, chaleureux et détaillé</t>
        </is>
      </c>
      <c r="E180" t="inlineStr">
        <is>
          <t>DAC ESS ES9038Q2M + filtrage d'alimentation anti-bruit WiFi/BT/cellulaire, son naturel très engageant</t>
        </is>
      </c>
      <c r="F180" t="inlineStr">
        <is>
          <t>Prix élevé (~300 €) et résolution plafonnée à 24-bit/96kHz, pas de DSD</t>
        </is>
      </c>
      <c r="G180" t="n">
        <v>8.6</v>
      </c>
      <c r="H180" t="n">
        <v>8.5</v>
      </c>
      <c r="I180" t="n">
        <v>8.300000000000001</v>
      </c>
      <c r="J180" t="n">
        <v>8.4</v>
      </c>
      <c r="K180" t="n">
        <v>8.199999999999999</v>
      </c>
      <c r="L180" t="n">
        <v>8.800000000000001</v>
      </c>
      <c r="M180" t="n">
        <v>8.4</v>
      </c>
      <c r="N180" t="n">
        <v>8</v>
      </c>
      <c r="O180" t="n">
        <v>8.6</v>
      </c>
      <c r="P180" t="n">
        <v>8.5</v>
      </c>
      <c r="Q180">
        <f>IF(COUNT(G180:P180)=10,ROUND((G180*'Pondérations'!$B$5+H180*'Pondérations'!$B$6+I180*'Pondérations'!$B$7+J180*'Pondérations'!$B$8+K180*'Pondérations'!$B$9+L180*'Pondérations'!$B$10+M180*'Pondérations'!$B$11+N180*'Pondérations'!$B$12+O180*'Pondérations'!$B$13+P180*'Pondérations'!$B$14)/'Pondérations'!$B$16,3),"")</f>
        <v/>
      </c>
      <c r="R180">
        <f>IF(Q180="","",1+COUNTIF($Q$7:$Q$210,"&gt;"&amp;Q180)+COUNTIF($Q$7:Q180,Q180)-1)</f>
        <v/>
      </c>
      <c r="V180" t="inlineStr">
        <is>
          <t>Élevée</t>
        </is>
      </c>
      <c r="W180" t="inlineStr">
        <is>
          <t>Ajout catalogue</t>
        </is>
      </c>
      <c r="AF180" t="n">
        <v>300</v>
      </c>
      <c r="AG180" t="inlineStr">
        <is>
          <t>Le nouveau Red, plus raffiné : son naturel, mature et engageant, proche de systèmes bien plus chers. Mesures critiquées (distorsion plus élevée que le Red à haut volume), mais subjectivement supérieur.</t>
        </is>
      </c>
      <c r="AH180" t="inlineStr">
        <is>
          <t>Naturel, mature, jamais fatigant — beauté et chaleur</t>
        </is>
      </c>
      <c r="AI180" t="inlineStr">
        <is>
          <t>Scène spacieuse et aérée, détail très bon ; préféré au Chord Mojo par certains testeurs sur IEM</t>
        </is>
      </c>
      <c r="AJ180" t="inlineStr">
        <is>
          <t>Clips plus tôt que le Red dans les 10-20% de volume restants ; pas de DSD ; nécessite adaptateur Lightning/USB-C</t>
        </is>
      </c>
      <c r="AK180" t="inlineStr">
        <is>
          <t>https://www.headfonia.com/audioquest-dragonfly-cobalt-review/</t>
        </is>
      </c>
      <c r="AL180" t="n">
        <v>2</v>
      </c>
      <c r="AM180" t="inlineStr">
        <is>
          <t>Moyenne — 2 sources</t>
        </is>
      </c>
      <c r="AN180" t="inlineStr">
        <is>
          <t>https://www.audioquest.com/products/dragonfly-cobalt</t>
        </is>
      </c>
      <c r="AQ180" t="inlineStr">
        <is>
          <t>À compléter</t>
        </is>
      </c>
      <c r="AR180" t="inlineStr">
        <is>
          <t>Review éditoriale: 1; Fiche constructeur: 1</t>
        </is>
      </c>
    </row>
    <row r="181">
      <c r="A181" t="inlineStr">
        <is>
          <t>AudioQuest</t>
        </is>
      </c>
      <c r="B181" t="inlineStr">
        <is>
          <t>DragonFly Red</t>
        </is>
      </c>
      <c r="C181" t="inlineStr">
        <is>
          <t>Dongle DAC/amp</t>
        </is>
      </c>
      <c r="D181" t="inlineStr">
        <is>
          <t>Neutre, très légèrement chaleureux, détaillé et dynamique</t>
        </is>
      </c>
      <c r="E181" t="inlineStr">
        <is>
          <t>Sortie 2.1V + volume numérique bit-perfect 64-bit sur le DAC, excellent rapport qualité/prix</t>
        </is>
      </c>
      <c r="F181" t="inlineStr">
        <is>
          <t>Résolution 24-bit/96kHz max, pas de DSD, et moins raffiné que le Cobalt</t>
        </is>
      </c>
      <c r="G181" t="n">
        <v>8.4</v>
      </c>
      <c r="H181" t="n">
        <v>8.300000000000001</v>
      </c>
      <c r="I181" t="n">
        <v>8.1</v>
      </c>
      <c r="J181" t="n">
        <v>8.199999999999999</v>
      </c>
      <c r="K181" t="n">
        <v>8</v>
      </c>
      <c r="L181" t="n">
        <v>8.4</v>
      </c>
      <c r="M181" t="n">
        <v>8.300000000000001</v>
      </c>
      <c r="N181" t="n">
        <v>8.1</v>
      </c>
      <c r="O181" t="n">
        <v>8.5</v>
      </c>
      <c r="P181" t="n">
        <v>8.4</v>
      </c>
      <c r="Q181">
        <f>IF(COUNT(G181:P181)=10,ROUND((G181*'Pondérations'!$B$5+H181*'Pondérations'!$B$6+I181*'Pondérations'!$B$7+J181*'Pondérations'!$B$8+K181*'Pondérations'!$B$9+L181*'Pondérations'!$B$10+M181*'Pondérations'!$B$11+N181*'Pondérations'!$B$12+O181*'Pondérations'!$B$13+P181*'Pondérations'!$B$14)/'Pondérations'!$B$16,3),"")</f>
        <v/>
      </c>
      <c r="R181">
        <f>IF(Q181="","",1+COUNTIF($Q$7:$Q$210,"&gt;"&amp;Q181)+COUNTIF($Q$7:Q181,Q181)-1)</f>
        <v/>
      </c>
      <c r="V181" t="inlineStr">
        <is>
          <t>Élevée</t>
        </is>
      </c>
      <c r="W181" t="inlineStr">
        <is>
          <t>Ajout catalogue</t>
        </is>
      </c>
      <c r="AF181" t="n">
        <v>229</v>
      </c>
      <c r="AG181" t="inlineStr">
        <is>
          <t>Le Red est un excellent dongle neutre et puissant, capable de driver des casques exigeants (HD600). Considéré comme un best buy par Headfonia, très proche du Mojo en qualité.</t>
        </is>
      </c>
      <c r="AH181" t="inlineStr">
        <is>
          <t>Neutre, quasi transparente, très légèrement chaleureuse</t>
        </is>
      </c>
      <c r="AI181" t="inlineStr">
        <is>
          <t>Imaging supérieur au Black, scène spacieuse ; très bon détail</t>
        </is>
      </c>
      <c r="AJ181" t="inlineStr">
        <is>
          <t>Moins efficace que le Black en volume (10 dB de moins) ; le Cobalt le surpasse en raffinement</t>
        </is>
      </c>
      <c r="AK181" t="inlineStr">
        <is>
          <t>https://www.headfonia.com/review-audioquest-dragonfly-red-black/</t>
        </is>
      </c>
      <c r="AL181" t="n">
        <v>2</v>
      </c>
      <c r="AM181" t="inlineStr">
        <is>
          <t>Moyenne — 2 sources</t>
        </is>
      </c>
      <c r="AN181" t="inlineStr">
        <is>
          <t>https://www.audioquest.com/products/dragonfly-red</t>
        </is>
      </c>
      <c r="AQ181" t="inlineStr">
        <is>
          <t>À compléter</t>
        </is>
      </c>
      <c r="AR181" t="inlineStr">
        <is>
          <t>Review éditoriale: 1; Fiche constructeur: 1</t>
        </is>
      </c>
    </row>
    <row r="182">
      <c r="A182" t="inlineStr">
        <is>
          <t>Truthear</t>
        </is>
      </c>
      <c r="B182" t="inlineStr">
        <is>
          <t>SHIO</t>
        </is>
      </c>
      <c r="C182" t="inlineStr">
        <is>
          <t>Dongle DAC/amp</t>
        </is>
      </c>
      <c r="D182" t="inlineStr">
        <is>
          <t>Chaleureux, analogique, musical, bassé — analogue plutôt qu'analytique</t>
        </is>
      </c>
      <c r="E182" t="inlineStr">
        <is>
          <t>Double CS43198 (puce haut de gamme), sorties 3.5mm + 4.4mm, double gain, mesures excellentes (SINAD 117dB)</t>
        </is>
      </c>
      <c r="F182" t="inlineStr">
        <is>
          <t>Technicalités en dessous de la moyenne (voile, imaging flou), puissance limitée pour casques exigeants</t>
        </is>
      </c>
      <c r="G182" t="n">
        <v>8.199999999999999</v>
      </c>
      <c r="H182" t="n">
        <v>7.4</v>
      </c>
      <c r="I182" t="n">
        <v>7.6</v>
      </c>
      <c r="J182" t="n">
        <v>7.2</v>
      </c>
      <c r="K182" t="n">
        <v>7.3</v>
      </c>
      <c r="L182" t="n">
        <v>8.6</v>
      </c>
      <c r="M182" t="n">
        <v>7.5</v>
      </c>
      <c r="N182" t="n">
        <v>7.4</v>
      </c>
      <c r="O182" t="n">
        <v>8.300000000000001</v>
      </c>
      <c r="P182" t="n">
        <v>7.8</v>
      </c>
      <c r="Q182">
        <f>IF(COUNT(G182:P182)=10,ROUND((G182*'Pondérations'!$B$5+H182*'Pondérations'!$B$6+I182*'Pondérations'!$B$7+J182*'Pondérations'!$B$8+K182*'Pondérations'!$B$9+L182*'Pondérations'!$B$10+M182*'Pondérations'!$B$11+N182*'Pondérations'!$B$12+O182*'Pondérations'!$B$13+P182*'Pondérations'!$B$14)/'Pondérations'!$B$16,3),"")</f>
        <v/>
      </c>
      <c r="R182">
        <f>IF(Q182="","",1+COUNTIF($Q$7:$Q$210,"&gt;"&amp;Q182)+COUNTIF($Q$7:Q182,Q182)-1)</f>
        <v/>
      </c>
      <c r="V182" t="inlineStr">
        <is>
          <t>Élevée</t>
        </is>
      </c>
      <c r="W182" t="inlineStr">
        <is>
          <t>Ajout catalogue</t>
        </is>
      </c>
      <c r="AF182" t="n">
        <v>70</v>
      </c>
      <c r="AG182" t="inlineStr">
        <is>
          <t>Dongle musical et relaxant, timbre organique, sans harshness, fond noir sans hiss. Mais en retard sur les technicalités face aux champions récents et la sortie 3.5mm est en retrait.</t>
        </is>
      </c>
      <c r="AH182" t="inlineStr">
        <is>
          <t>Chaude, analogique, bassée, borderline sombre dans les aigus</t>
        </is>
      </c>
      <c r="AI182" t="inlineStr">
        <is>
          <t>Scène et micro-détails en retrait, imaging flou ; la sortie 4.4mm est nettement supérieure à la 3.5mm</t>
        </is>
      </c>
      <c r="AJ182" t="inlineStr">
        <is>
          <t>Trop coloré pour les puristes, pas assez de puissance pour Final E5000/HD650, pas de MQA</t>
        </is>
      </c>
      <c r="AK182" t="inlineStr">
        <is>
          <t>https://www.headphonesty.com/2023/02/review-truthear-shio/</t>
        </is>
      </c>
      <c r="AL182" t="n">
        <v>2</v>
      </c>
      <c r="AM182" t="inlineStr">
        <is>
          <t>Moyenne — 2 sources</t>
        </is>
      </c>
      <c r="AN182" t="inlineStr">
        <is>
          <t>https://www.truthear.com/products/shio</t>
        </is>
      </c>
      <c r="AQ182" t="inlineStr">
        <is>
          <t>À compléter</t>
        </is>
      </c>
      <c r="AR182" t="inlineStr">
        <is>
          <t>Review éditoriale: 1; Fiche constructeur: 1</t>
        </is>
      </c>
    </row>
    <row r="183">
      <c r="A183" t="inlineStr">
        <is>
          <t>Simgot</t>
        </is>
      </c>
      <c r="B183" t="inlineStr">
        <is>
          <t>Dew4x</t>
        </is>
      </c>
      <c r="C183" t="inlineStr">
        <is>
          <t>Dongle DAC/amp</t>
        </is>
      </c>
      <c r="D183" t="inlineStr">
        <is>
          <t>Propre, légèrement coloré, velours lisse, plus musical qu'analytique</t>
        </is>
      </c>
      <c r="E183" t="inlineStr">
        <is>
          <t>Double CS43198, très petit et léger, ne chauffe pas, excellent rapport qualité/prix à 79 $</t>
        </is>
      </c>
      <c r="F183" t="inlineStr">
        <is>
          <t>Moins de puissance que les dongles concurrents au même prix (suffisant pour IEM, pas pour casques exigeants)</t>
        </is>
      </c>
      <c r="G183" t="n">
        <v>8.5</v>
      </c>
      <c r="H183" t="n">
        <v>8</v>
      </c>
      <c r="I183" t="n">
        <v>7.9</v>
      </c>
      <c r="J183" t="n">
        <v>7.8</v>
      </c>
      <c r="K183" t="n">
        <v>7.9</v>
      </c>
      <c r="L183" t="n">
        <v>8.4</v>
      </c>
      <c r="M183" t="n">
        <v>7.8</v>
      </c>
      <c r="N183" t="n">
        <v>7.2</v>
      </c>
      <c r="O183" t="n">
        <v>8.800000000000001</v>
      </c>
      <c r="P183" t="n">
        <v>8.199999999999999</v>
      </c>
      <c r="Q183">
        <f>IF(COUNT(G183:P183)=10,ROUND((G183*'Pondérations'!$B$5+H183*'Pondérations'!$B$6+I183*'Pondérations'!$B$7+J183*'Pondérations'!$B$8+K183*'Pondérations'!$B$9+L183*'Pondérations'!$B$10+M183*'Pondérations'!$B$11+N183*'Pondérations'!$B$12+O183*'Pondérations'!$B$13+P183*'Pondérations'!$B$14)/'Pondérations'!$B$16,3),"")</f>
        <v/>
      </c>
      <c r="R183">
        <f>IF(Q183="","",1+COUNTIF($Q$7:$Q$210,"&gt;"&amp;Q183)+COUNTIF($Q$7:Q183,Q183)-1)</f>
        <v/>
      </c>
      <c r="V183" t="inlineStr">
        <is>
          <t>Élevée</t>
        </is>
      </c>
      <c r="W183" t="inlineStr">
        <is>
          <t>Ajout catalogue</t>
        </is>
      </c>
      <c r="AF183" t="n">
        <v>79</v>
      </c>
      <c r="AG183" t="inlineStr">
        <is>
          <t>Dongle compact et bien construit, son propre et musical avec un timbre velouté. Très bon choix sous 100 $, mais la puissance est en retrait face à la concurrence.</t>
        </is>
      </c>
      <c r="AH183" t="inlineStr">
        <is>
          <t>Propre, légèrement colorée, lisse et musicale</t>
        </is>
      </c>
      <c r="AI183" t="inlineStr">
        <is>
          <t>Scène correcte, détail bon ; son clean across the board</t>
        </is>
      </c>
      <c r="AJ183" t="inlineStr">
        <is>
          <t>Puissance limitée pour les casques exigeants ; pas de MQA</t>
        </is>
      </c>
      <c r="AK183" t="inlineStr">
        <is>
          <t>https://mobileaudiophile.com/dacs/simgot-dew4x-review/</t>
        </is>
      </c>
      <c r="AL183" t="n">
        <v>2</v>
      </c>
      <c r="AM183" t="inlineStr">
        <is>
          <t>Moyenne — 2 sources</t>
        </is>
      </c>
      <c r="AN183" t="inlineStr">
        <is>
          <t>https://mobileaudiophile.com/dacs/simgot-dew4x-review/</t>
        </is>
      </c>
      <c r="AQ183" t="inlineStr">
        <is>
          <t>À compléter</t>
        </is>
      </c>
      <c r="AR183" t="inlineStr">
        <is>
          <t>Review éditoriale: 1; Fiche constructeur: 1</t>
        </is>
      </c>
    </row>
    <row r="184">
      <c r="A184" t="inlineStr">
        <is>
          <t>iBasso</t>
        </is>
      </c>
      <c r="B184" t="inlineStr">
        <is>
          <t>DC01</t>
        </is>
      </c>
      <c r="C184" t="inlineStr">
        <is>
          <t>Dongle DAC/amp</t>
        </is>
      </c>
      <c r="D184" t="inlineStr">
        <is>
          <t>Équilibré entre définition et musicalité, rappelant l'AK320</t>
        </is>
      </c>
      <c r="E184" t="inlineStr">
        <is>
          <t>DAC AKM AK4493EQ (haut de gamme) à seulement 49 $, sortie 2.5mm balanced, design aluminium robuste</t>
        </is>
      </c>
      <c r="F184" t="inlineStr">
        <is>
          <t>Puissance modeste (113mW), pas pour les casques exigeants ; pas de batterie (dépend de la source)</t>
        </is>
      </c>
      <c r="G184" t="n">
        <v>8</v>
      </c>
      <c r="H184" t="n">
        <v>7.8</v>
      </c>
      <c r="I184" t="n">
        <v>7.7</v>
      </c>
      <c r="J184" t="n">
        <v>7.6</v>
      </c>
      <c r="K184" t="n">
        <v>7.6</v>
      </c>
      <c r="L184" t="n">
        <v>7.9</v>
      </c>
      <c r="M184" t="n">
        <v>7.6</v>
      </c>
      <c r="N184" t="n">
        <v>7</v>
      </c>
      <c r="O184" t="n">
        <v>8.199999999999999</v>
      </c>
      <c r="P184" t="n">
        <v>8</v>
      </c>
      <c r="Q184">
        <f>IF(COUNT(G184:P184)=10,ROUND((G184*'Pondérations'!$B$5+H184*'Pondérations'!$B$6+I184*'Pondérations'!$B$7+J184*'Pondérations'!$B$8+K184*'Pondérations'!$B$9+L184*'Pondérations'!$B$10+M184*'Pondérations'!$B$11+N184*'Pondérations'!$B$12+O184*'Pondérations'!$B$13+P184*'Pondérations'!$B$14)/'Pondérations'!$B$16,3),"")</f>
        <v/>
      </c>
      <c r="R184">
        <f>IF(Q184="","",1+COUNTIF($Q$7:$Q$210,"&gt;"&amp;Q184)+COUNTIF($Q$7:Q184,Q184)-1)</f>
        <v/>
      </c>
      <c r="V184" t="inlineStr">
        <is>
          <t>Élevée</t>
        </is>
      </c>
      <c r="W184" t="inlineStr">
        <is>
          <t>Ajout catalogue</t>
        </is>
      </c>
      <c r="AF184" t="n">
        <v>49</v>
      </c>
      <c r="AG184" t="inlineStr">
        <is>
          <t>Petit dongle balanced au DAC haut de gamme, son équilibré et musical, très bon rapport qualité/prix. Un all-rounder fiable, mais pas le plus puissant.</t>
        </is>
      </c>
      <c r="AH184" t="inlineStr">
        <is>
          <t>Équilibrée, musicale, rappelant les DAP AKM haut de gamme</t>
        </is>
      </c>
      <c r="AI184" t="inlineStr">
        <is>
          <t>Bonne définition et musicalité, scène correcte pour la taille</t>
        </is>
      </c>
      <c r="AJ184" t="inlineStr">
        <is>
          <t>Puissance limitée (pas pour HD800S), pas de batterie, app UAC Volume sans version iOS</t>
        </is>
      </c>
      <c r="AK184" t="inlineStr">
        <is>
          <t>https://www.headfonia.com/ibasso-dc01-first-look-sunday/</t>
        </is>
      </c>
      <c r="AL184" t="n">
        <v>2</v>
      </c>
      <c r="AM184" t="inlineStr">
        <is>
          <t>Moyenne — 2 sources</t>
        </is>
      </c>
      <c r="AN184" t="inlineStr">
        <is>
          <t>https://ibasso.com/product/dc01</t>
        </is>
      </c>
      <c r="AQ184" t="inlineStr">
        <is>
          <t>À compléter</t>
        </is>
      </c>
      <c r="AR184" t="inlineStr">
        <is>
          <t>Review éditoriale: 1; Fiche constructeur: 1</t>
        </is>
      </c>
    </row>
    <row r="185">
      <c r="A185" t="inlineStr">
        <is>
          <t>Kiwi Ears</t>
        </is>
      </c>
      <c r="B185" t="inlineStr">
        <is>
          <t>Allegro Pro</t>
        </is>
      </c>
      <c r="C185" t="inlineStr">
        <is>
          <t>Dongle DAC/amp</t>
        </is>
      </c>
      <c r="D185" t="inlineStr">
        <is>
          <t>Détail et clarté, aigus cristallins, basse profonde</t>
        </is>
      </c>
      <c r="E185" t="inlineStr">
        <is>
          <t>Double amp ES9603, sortie 4.4mm balanced, 3 modes sonores (Game/Movie/Music) avec RGB, compatibilité Nintendo Switch</t>
        </is>
      </c>
      <c r="F185" t="inlineStr">
        <is>
          <t>Pas d'accessoire de conversion fourni pour PC/iPhone, encombrement sur coque iPhone</t>
        </is>
      </c>
      <c r="G185" t="n">
        <v>8</v>
      </c>
      <c r="H185" t="n">
        <v>7.9</v>
      </c>
      <c r="I185" t="n">
        <v>7.7</v>
      </c>
      <c r="J185" t="n">
        <v>7.6</v>
      </c>
      <c r="K185" t="n">
        <v>7.6</v>
      </c>
      <c r="L185" t="n">
        <v>7.8</v>
      </c>
      <c r="M185" t="n">
        <v>7.7</v>
      </c>
      <c r="N185" t="n">
        <v>7.6</v>
      </c>
      <c r="O185" t="n">
        <v>8.4</v>
      </c>
      <c r="P185" t="n">
        <v>8</v>
      </c>
      <c r="Q185">
        <f>IF(COUNT(G185:P185)=10,ROUND((G185*'Pondérations'!$B$5+H185*'Pondérations'!$B$6+I185*'Pondérations'!$B$7+J185*'Pondérations'!$B$8+K185*'Pondérations'!$B$9+L185*'Pondérations'!$B$10+M185*'Pondérations'!$B$11+N185*'Pondérations'!$B$12+O185*'Pondérations'!$B$13+P185*'Pondérations'!$B$14)/'Pondérations'!$B$16,3),"")</f>
        <v/>
      </c>
      <c r="R185">
        <f>IF(Q185="","",1+COUNTIF($Q$7:$Q$210,"&gt;"&amp;Q185)+COUNTIF($Q$7:Q185,Q185)-1)</f>
        <v/>
      </c>
      <c r="V185" t="inlineStr">
        <is>
          <t>Élevée</t>
        </is>
      </c>
      <c r="W185" t="inlineStr">
        <is>
          <t>Ajout catalogue</t>
        </is>
      </c>
      <c r="AF185" t="n">
        <v>60</v>
      </c>
      <c r="AG185" t="inlineStr">
        <is>
          <t>Petit dongle compact et détaillé, son très clair qui améliore l'analyse et élargit la scène. Avis clients positifs (son détaillé, modes utiles), mais pas de review éditoriale trouvée sur les sites prioritaires.</t>
        </is>
      </c>
      <c r="AH185" t="inlineStr">
        <is>
          <t>Détail et clarté, aigus cristallins, basse profonde</t>
        </is>
      </c>
      <c r="AI185" t="inlineStr">
        <is>
          <t>Scène élargie, détail très bon selon les avis clients</t>
        </is>
      </c>
      <c r="AJ185" t="inlineStr">
        <is>
          <t>Pas d'adaptateur fourni pour PC/iPhone, connecteur USB-C large et court gênant sur coque iPhone</t>
        </is>
      </c>
      <c r="AK185" t="inlineStr">
        <is>
          <t>https://kiwiears.com/products/kiwi-ears-allegro-pro</t>
        </is>
      </c>
      <c r="AL185" t="n">
        <v>2</v>
      </c>
      <c r="AM185" t="inlineStr">
        <is>
          <t>Moyenne — 2 sources</t>
        </is>
      </c>
      <c r="AN185" t="inlineStr">
        <is>
          <t>https://www.linsoul.com/products/kiwi-ears-allegro-pro</t>
        </is>
      </c>
      <c r="AQ185" t="inlineStr">
        <is>
          <t>À compléter</t>
        </is>
      </c>
      <c r="AR185" t="inlineStr">
        <is>
          <t>Fiche constructeur: 1; Fiche marchand: 1</t>
        </is>
      </c>
    </row>
    <row r="186">
      <c r="A186" t="inlineStr">
        <is>
          <t>EPZ</t>
        </is>
      </c>
      <c r="B186" t="inlineStr">
        <is>
          <t>TP35 Pro</t>
        </is>
      </c>
      <c r="C186" t="inlineStr">
        <is>
          <t>Dongle DAC/amp</t>
        </is>
      </c>
      <c r="D186" t="inlineStr">
        <is>
          <t>Neutre/analytique, très propre et précis, avec un léger aigu finement affûté</t>
        </is>
      </c>
      <c r="E186" t="inlineStr">
        <is>
          <t>Le meilleur rapport fonctionnalités/prix de la catégorie : PEQ paramétrique 10 bandes (app Walk Play), 5 filtres son, 60 paliers de volume, gain, mode burn-in, UAC 1.0/2.0</t>
        </is>
      </c>
      <c r="F186" t="inlineStr">
        <is>
          <t>Soundstage moyen (peu d'expansion au-delà de la largeur gauche-droite) ; sans PEQ il reste neutre et un peu sec pour certains</t>
        </is>
      </c>
      <c r="G186" t="n">
        <v>8.6</v>
      </c>
      <c r="H186" t="n">
        <v>8.4</v>
      </c>
      <c r="I186" t="n">
        <v>7.8</v>
      </c>
      <c r="J186" t="n">
        <v>7.7</v>
      </c>
      <c r="K186" t="n">
        <v>8</v>
      </c>
      <c r="L186" t="n">
        <v>8.199999999999999</v>
      </c>
      <c r="M186" t="n">
        <v>8.300000000000001</v>
      </c>
      <c r="N186" t="n">
        <v>8.6</v>
      </c>
      <c r="O186" t="n">
        <v>8.800000000000001</v>
      </c>
      <c r="P186" t="n">
        <v>8.699999999999999</v>
      </c>
      <c r="Q186">
        <f>IF(COUNT(G186:P186)=10,ROUND((G186*'Pondérations'!$B$5+H186*'Pondérations'!$B$6+I186*'Pondérations'!$B$7+J186*'Pondérations'!$B$8+K186*'Pondérations'!$B$9+L186*'Pondérations'!$B$10+M186*'Pondérations'!$B$11+N186*'Pondérations'!$B$12+O186*'Pondérations'!$B$13+P186*'Pondérations'!$B$14)/'Pondérations'!$B$16,3),"")</f>
        <v/>
      </c>
      <c r="R186">
        <f>IF(Q186="","",1+COUNTIF($Q$7:$Q$210,"&gt;"&amp;Q186)+COUNTIF($Q$7:Q186,Q186)-1)</f>
        <v/>
      </c>
      <c r="V186" t="inlineStr">
        <is>
          <t>Élevée</t>
        </is>
      </c>
      <c r="W186" t="inlineStr">
        <is>
          <t>Ajout catalogue</t>
        </is>
      </c>
      <c r="AF186" t="n">
        <v>88</v>
      </c>
      <c r="AG186" t="inlineStr">
        <is>
          <t>One of the best purchases an IEM user can make sous $100. Upgrade du TP35 avec beaucoup plus de puissance (262 vs 150 mW), PEQ app efficace sans distorsion, et un son standard déjà très bon. Instant no-brainer.</t>
        </is>
      </c>
      <c r="AH186" t="inlineStr">
        <is>
          <t>Neutre, très propre, presque analytique, mais modulable à volonté</t>
        </is>
      </c>
      <c r="AI186" t="inlineStr">
        <is>
          <t>Stage gauche-droite correct avec un peu de profondeur, jamais compressé ; excellente séparation et micro-transitoires en sortie d'usine</t>
        </is>
      </c>
      <c r="AJ186" t="inlineStr">
        <is>
          <t>Stage moyen, signature par défaut un peu sèche/analytique pour les amateurs de chaleur</t>
        </is>
      </c>
      <c r="AK186" t="inlineStr">
        <is>
          <t>https://mobileaudiophile.com/dacs/dongle/epz-tp35-pro-review/</t>
        </is>
      </c>
      <c r="AL186" t="n">
        <v>2</v>
      </c>
      <c r="AM186" t="inlineStr">
        <is>
          <t>Moyenne — 2 sources</t>
        </is>
      </c>
      <c r="AN186" t="inlineStr">
        <is>
          <t>https://www.epzaudio.com/</t>
        </is>
      </c>
      <c r="AQ186" t="inlineStr">
        <is>
          <t>À compléter</t>
        </is>
      </c>
      <c r="AR186" t="inlineStr">
        <is>
          <t>Review éditoriale: 1; Fiche constructeur: 1</t>
        </is>
      </c>
    </row>
    <row r="187">
      <c r="A187" t="inlineStr">
        <is>
          <t>EPZ</t>
        </is>
      </c>
      <c r="B187" t="inlineStr">
        <is>
          <t>TP20 Pro</t>
        </is>
      </c>
      <c r="C187" t="inlineStr">
        <is>
          <t>Dongle DAC/amp</t>
        </is>
      </c>
      <c r="D187" t="inlineStr">
        <is>
          <t>Chaud/doux, warm-neutral avec une touche de velours ; graves avec du poids, aigus lissés</t>
        </is>
      </c>
      <c r="E187" t="inlineStr">
        <is>
          <t>Sonorité riche et musicale à prix mini, avec volume et gain physiques sur l'appareil, boutons pratiques</t>
        </is>
      </c>
      <c r="F187" t="inlineStr">
        <is>
          <t>Pas le plus précis techniquement — détail et micro-transitoires en retrait ; aigus trop lissés pour certains, et pas de support MQA</t>
        </is>
      </c>
      <c r="G187" t="n">
        <v>7.9</v>
      </c>
      <c r="H187" t="n">
        <v>7.5</v>
      </c>
      <c r="I187" t="n">
        <v>7.6</v>
      </c>
      <c r="J187" t="n">
        <v>7.4</v>
      </c>
      <c r="K187" t="n">
        <v>7.6</v>
      </c>
      <c r="L187" t="n">
        <v>8.1</v>
      </c>
      <c r="M187" t="n">
        <v>7.8</v>
      </c>
      <c r="N187" t="n">
        <v>7.6</v>
      </c>
      <c r="O187" t="n">
        <v>8.6</v>
      </c>
      <c r="P187" t="n">
        <v>8</v>
      </c>
      <c r="Q187">
        <f>IF(COUNT(G187:P187)=10,ROUND((G187*'Pondérations'!$B$5+H187*'Pondérations'!$B$6+I187*'Pondérations'!$B$7+J187*'Pondérations'!$B$8+K187*'Pondérations'!$B$9+L187*'Pondérations'!$B$10+M187*'Pondérations'!$B$11+N187*'Pondérations'!$B$12+O187*'Pondérations'!$B$13+P187*'Pondérations'!$B$14)/'Pondérations'!$B$16,3),"")</f>
        <v/>
      </c>
      <c r="R187">
        <f>IF(Q187="","",1+COUNTIF($Q$7:$Q$210,"&gt;"&amp;Q187)+COUNTIF($Q$7:Q187,Q187)-1)</f>
        <v/>
      </c>
      <c r="V187" t="inlineStr">
        <is>
          <t>Élevée</t>
        </is>
      </c>
      <c r="W187" t="inlineStr">
        <is>
          <t>Ajout catalogue</t>
        </is>
      </c>
      <c r="AF187" t="n">
        <v>80</v>
      </c>
      <c r="AG187" t="inlineStr">
        <is>
          <t>Un dongle budget qui vaut chaque centime : chaud, lusher et facile à écouter vs la Dawn 4.4 plus neutre/précise. Idéal pour adoucir des IEM brillants.</t>
        </is>
      </c>
      <c r="AH187" t="inlineStr">
        <is>
          <t>Warm/neutral, veloutée, aigus non agressifs</t>
        </is>
      </c>
      <c r="AI187" t="inlineStr">
        <is>
          <t>Stage convenable, notes aux contours plus chauds ; micro-détail un peu voilé</t>
        </is>
      </c>
      <c r="AJ187" t="inlineStr">
        <is>
          <t>Précision/détail limités, treble manquant d'énergie pour certains, pas de MQA</t>
        </is>
      </c>
      <c r="AK187" t="inlineStr">
        <is>
          <t>https://mobileaudiophile.com/dacs/dongle/epz-tp20-pro-review/</t>
        </is>
      </c>
      <c r="AL187" t="n">
        <v>2</v>
      </c>
      <c r="AM187" t="inlineStr">
        <is>
          <t>Moyenne — 2 sources</t>
        </is>
      </c>
      <c r="AN187" t="inlineStr">
        <is>
          <t>https://www.epzaudio.com/</t>
        </is>
      </c>
      <c r="AQ187" t="inlineStr">
        <is>
          <t>À compléter</t>
        </is>
      </c>
      <c r="AR187" t="inlineStr">
        <is>
          <t>Review éditoriale: 1; Fiche constructeur: 1</t>
        </is>
      </c>
    </row>
    <row r="188">
      <c r="A188" t="inlineStr">
        <is>
          <t>EPZ</t>
        </is>
      </c>
      <c r="B188" t="inlineStr">
        <is>
          <t>TP50</t>
        </is>
      </c>
      <c r="C188" t="inlineStr">
        <is>
          <t>Dongle DAC/amp</t>
        </is>
      </c>
      <c r="D188" t="inlineStr">
        <is>
          <t>Musical mais technique, équilibré, ne colore pas trop</t>
        </is>
      </c>
      <c r="E188" t="inlineStr">
        <is>
          <t>Écran intégré + contrôle gain/sonores, sortie SPDIF via la prise 3.5, puissance 240 mW BAL — une mini-suite complète ~$100</t>
        </is>
      </c>
      <c r="F188" t="inlineStr">
        <is>
          <t>Peut sembler terne/dull pour certains à cause de sa présentation moins colorée ; prix $109 un peu élevé</t>
        </is>
      </c>
      <c r="G188" t="n">
        <v>8.300000000000001</v>
      </c>
      <c r="H188" t="n">
        <v>8.199999999999999</v>
      </c>
      <c r="I188" t="n">
        <v>8</v>
      </c>
      <c r="J188" t="n">
        <v>7.9</v>
      </c>
      <c r="K188" t="n">
        <v>8.1</v>
      </c>
      <c r="L188" t="n">
        <v>8.199999999999999</v>
      </c>
      <c r="M188" t="n">
        <v>8.300000000000001</v>
      </c>
      <c r="N188" t="n">
        <v>8.5</v>
      </c>
      <c r="O188" t="n">
        <v>8.4</v>
      </c>
      <c r="P188" t="n">
        <v>8.4</v>
      </c>
      <c r="Q188">
        <f>IF(COUNT(G188:P188)=10,ROUND((G188*'Pondérations'!$B$5+H188*'Pondérations'!$B$6+I188*'Pondérations'!$B$7+J188*'Pondérations'!$B$8+K188*'Pondérations'!$B$9+L188*'Pondérations'!$B$10+M188*'Pondérations'!$B$11+N188*'Pondérations'!$B$12+O188*'Pondérations'!$B$13+P188*'Pondérations'!$B$14)/'Pondérations'!$B$16,3),"")</f>
        <v/>
      </c>
      <c r="R188">
        <f>IF(Q188="","",1+COUNTIF($Q$7:$Q$210,"&gt;"&amp;Q188)+COUNTIF($Q$7:Q188,Q188)-1)</f>
        <v/>
      </c>
      <c r="V188" t="inlineStr">
        <is>
          <t>Élevée</t>
        </is>
      </c>
      <c r="W188" t="inlineStr">
        <is>
          <t>Ajout catalogue</t>
        </is>
      </c>
      <c r="AF188" t="n">
        <v>100</v>
      </c>
      <c r="AG188" t="inlineStr">
        <is>
          <t>Un très bon dongle ~$100, difficile de trouver mieux selon la review. Moins coloré que la SnowyNight mais très propre, très puissant, avec un SPDIF rare.</t>
        </is>
      </c>
      <c r="AH188" t="inlineStr">
        <is>
          <t>Équilibrée/musicale, légèrement teintée mais non colorée</t>
        </is>
      </c>
      <c r="AI188" t="inlineStr">
        <is>
          <t>Bonne résolution, séparation correcte, stage moyen-large</t>
        </is>
      </c>
      <c r="AJ188" t="inlineStr">
        <is>
          <t>Présentation qui peut sembler terne face à des concurrents plus colorés</t>
        </is>
      </c>
      <c r="AK188" t="inlineStr">
        <is>
          <t>https://mobileaudiophile.com/dacs/dongle/epz-tp50-review/</t>
        </is>
      </c>
      <c r="AL188" t="n">
        <v>2</v>
      </c>
      <c r="AM188" t="inlineStr">
        <is>
          <t>Moyenne — 2 sources</t>
        </is>
      </c>
      <c r="AN188" t="inlineStr">
        <is>
          <t>https://www.epzaudio.com/</t>
        </is>
      </c>
      <c r="AQ188" t="inlineStr">
        <is>
          <t>À compléter</t>
        </is>
      </c>
      <c r="AR188" t="inlineStr">
        <is>
          <t>Review éditoriale: 1; Fiche constructeur: 1</t>
        </is>
      </c>
    </row>
    <row r="189">
      <c r="A189" t="inlineStr">
        <is>
          <t>Rose Technics</t>
        </is>
      </c>
      <c r="B189" t="inlineStr">
        <is>
          <t>RS9039</t>
        </is>
      </c>
      <c r="C189" t="inlineStr">
        <is>
          <t>Dongle DAC/amp</t>
        </is>
      </c>
      <c r="D189" t="inlineStr">
        <is>
          <t>Chaud et basse-renforcé, musical, organique, terreux — très orienté musicalité</t>
        </is>
      </c>
      <c r="E189" t="inlineStr">
        <is>
          <t>Nouveau chip ES9039Q2M et une puissance énorme (300 mW BAL) dans un boîtier aluminium très réussi</t>
        </is>
      </c>
      <c r="F189" t="inlineStr">
        <is>
          <t>Aucun bouton physique (pas de gain/filtres/volume sur l'appareil) et détail/treble en retrait, rolled-off</t>
        </is>
      </c>
      <c r="G189" t="n">
        <v>8</v>
      </c>
      <c r="H189" t="n">
        <v>7.6</v>
      </c>
      <c r="I189" t="n">
        <v>8</v>
      </c>
      <c r="J189" t="n">
        <v>7.8</v>
      </c>
      <c r="K189" t="n">
        <v>7.8</v>
      </c>
      <c r="L189" t="n">
        <v>8.4</v>
      </c>
      <c r="M189" t="n">
        <v>7.9</v>
      </c>
      <c r="N189" t="n">
        <v>8.800000000000001</v>
      </c>
      <c r="O189" t="n">
        <v>8.6</v>
      </c>
      <c r="P189" t="n">
        <v>8.199999999999999</v>
      </c>
      <c r="Q189">
        <f>IF(COUNT(G189:P189)=10,ROUND((G189*'Pondérations'!$B$5+H189*'Pondérations'!$B$6+I189*'Pondérations'!$B$7+J189*'Pondérations'!$B$8+K189*'Pondérations'!$B$9+L189*'Pondérations'!$B$10+M189*'Pondérations'!$B$11+N189*'Pondérations'!$B$12+O189*'Pondérations'!$B$13+P189*'Pondérations'!$B$14)/'Pondérations'!$B$16,3),"")</f>
        <v/>
      </c>
      <c r="R189">
        <f>IF(Q189="","",1+COUNTIF($Q$7:$Q$210,"&gt;"&amp;Q189)+COUNTIF($Q$7:Q189,Q189)-1)</f>
        <v/>
      </c>
      <c r="V189" t="inlineStr">
        <is>
          <t>Élevée</t>
        </is>
      </c>
      <c r="W189" t="inlineStr">
        <is>
          <t>Ajout catalogue</t>
        </is>
      </c>
      <c r="AF189" t="n">
        <v>65</v>
      </c>
      <c r="AG189" t="inlineStr">
        <is>
          <t>Un dongle situationnel : idéal pour adoucir des IEM brillants et muscler le bas du spectre, à condition de connaître sa signature chaude. Build comme une voiture de sport. Vaut son prix.</t>
        </is>
      </c>
      <c r="AH189" t="inlineStr">
        <is>
          <t>Chaude, riche, basse profonde, treble modéré</t>
        </is>
      </c>
      <c r="AI189" t="inlineStr">
        <is>
          <t>Stage un peu plus large et profond que la Dawn 4.4, mais séparation plus resserrée et moins de luminosité</t>
        </is>
      </c>
      <c r="AJ189" t="inlineStr">
        <is>
          <t>Détail limité, treble moins étendu, absence totale de boutons</t>
        </is>
      </c>
      <c r="AK189" t="inlineStr">
        <is>
          <t>https://mobileaudiophile.com/dacs/dongle/roseselsa-rs9039-review/</t>
        </is>
      </c>
      <c r="AL189" t="n">
        <v>2</v>
      </c>
      <c r="AM189" t="inlineStr">
        <is>
          <t>Moyenne — 2 sources</t>
        </is>
      </c>
      <c r="AN189" t="inlineStr">
        <is>
          <t>https://hifigo.com/products/roseselsa-rs9039</t>
        </is>
      </c>
      <c r="AQ189" t="inlineStr">
        <is>
          <t>À compléter</t>
        </is>
      </c>
      <c r="AR189" t="inlineStr">
        <is>
          <t>Review éditoriale: 1; Fiche marchand: 1</t>
        </is>
      </c>
    </row>
    <row r="190">
      <c r="A190" t="inlineStr">
        <is>
          <t>AFUL</t>
        </is>
      </c>
      <c r="B190" t="inlineStr">
        <is>
          <t>SnowyNight</t>
        </is>
      </c>
      <c r="C190" t="inlineStr">
        <is>
          <t>Dongle DAC/amp</t>
        </is>
      </c>
      <c r="D190" t="inlineStr">
        <is>
          <t>Ouvert, musical et équilibré avec un très bon équilibre spectre complet ; son très ouvert, micro-détails préservés avec un timbre naturel</t>
        </is>
      </c>
      <c r="E190" t="inlineStr">
        <is>
          <t>300 mW BAL + dual CS43198 + background mortellement silencieux pour ~$109 ; son naturellement résolu, top in class</t>
        </is>
      </c>
      <c r="F190" t="inlineStr">
        <is>
          <t>Notes aux contours un peu émoussés (moins de bite que certains), et prix plus élevé que la concurrence directe</t>
        </is>
      </c>
      <c r="G190" t="n">
        <v>8.5</v>
      </c>
      <c r="H190" t="n">
        <v>7.9</v>
      </c>
      <c r="I190" t="n">
        <v>8.300000000000001</v>
      </c>
      <c r="J190" t="n">
        <v>8.4</v>
      </c>
      <c r="K190" t="n">
        <v>8.300000000000001</v>
      </c>
      <c r="L190" t="n">
        <v>8.5</v>
      </c>
      <c r="M190" t="n">
        <v>8.199999999999999</v>
      </c>
      <c r="N190" t="n">
        <v>8.699999999999999</v>
      </c>
      <c r="O190" t="n">
        <v>8.5</v>
      </c>
      <c r="P190" t="n">
        <v>8.6</v>
      </c>
      <c r="Q190">
        <f>IF(COUNT(G190:P190)=10,ROUND((G190*'Pondérations'!$B$5+H190*'Pondérations'!$B$6+I190*'Pondérations'!$B$7+J190*'Pondérations'!$B$8+K190*'Pondérations'!$B$9+L190*'Pondérations'!$B$10+M190*'Pondérations'!$B$11+N190*'Pondérations'!$B$12+O190*'Pondérations'!$B$13+P190*'Pondérations'!$B$14)/'Pondérations'!$B$16,3),"")</f>
        <v/>
      </c>
      <c r="R190">
        <f>IF(Q190="","",1+COUNTIF($Q$7:$Q$210,"&gt;"&amp;Q190)+COUNTIF($Q$7:Q190,Q190)-1)</f>
        <v/>
      </c>
      <c r="V190" t="inlineStr">
        <is>
          <t>Élevée</t>
        </is>
      </c>
      <c r="W190" t="inlineStr">
        <is>
          <t>Ajout catalogue</t>
        </is>
      </c>
      <c r="AF190" t="n">
        <v>100</v>
      </c>
      <c r="AG190" t="inlineStr">
        <is>
          <t>Premier dongle d'AFUL, réussi : son très ouvert et musical, très bon timbre, micro-détails préservés, grande puissance. Concurrence sérieuse pour la Moondrop Dawn 4.4 et l'Hidizs S9 Pro Plus.</t>
        </is>
      </c>
      <c r="AH190" t="inlineStr">
        <is>
          <t>Équilibrée, musicale, naturellement résolue</t>
        </is>
      </c>
      <c r="AI190" t="inlineStr">
        <is>
          <t>Scène large et ouverte avec un excellent espace entre instruments et voix, détail fin sans agressivité</t>
        </is>
      </c>
      <c r="AJ190" t="inlineStr">
        <is>
          <t>Contours de notes moins nets/crisp que certains rivaux analytiques</t>
        </is>
      </c>
      <c r="AK190" t="inlineStr">
        <is>
          <t>https://mobileaudiophile.com/dacs/dongle/aful-snowynight-review/</t>
        </is>
      </c>
      <c r="AL190" t="n">
        <v>2</v>
      </c>
      <c r="AM190" t="inlineStr">
        <is>
          <t>Moyenne — 2 sources</t>
        </is>
      </c>
      <c r="AN190" t="inlineStr">
        <is>
          <t>https://www.afulaudio.com/</t>
        </is>
      </c>
      <c r="AQ190" t="inlineStr">
        <is>
          <t>À compléter</t>
        </is>
      </c>
      <c r="AR190" t="inlineStr">
        <is>
          <t>Review éditoriale: 1; Fiche constructeur: 1</t>
        </is>
      </c>
    </row>
    <row r="191">
      <c r="A191" t="inlineStr">
        <is>
          <t>iKKO</t>
        </is>
      </c>
      <c r="B191" t="inlineStr">
        <is>
          <t>Zerda ITM01</t>
        </is>
      </c>
      <c r="C191" t="inlineStr">
        <is>
          <t>Dongle DAC/amp</t>
        </is>
      </c>
      <c r="D191" t="inlineStr">
        <is>
          <t>Neutre avec un léger bass boost pour rester fun ; 3 modes (musique, film, jeu)</t>
        </is>
      </c>
      <c r="E191" t="inlineStr">
        <is>
          <t>Couteau suisse du dongle budget : connecteur magnétique propriétaire, boutons volume, 3 modes DSP, très faible impédance de sortie (&lt;0.8Ω)</t>
        </is>
      </c>
      <c r="F191" t="inlineStr">
        <is>
          <t>Sortie uniquement 3.5mm (pas de balance), chauffe légèrement, sauts de volume entre modes</t>
        </is>
      </c>
      <c r="G191" t="n">
        <v>7.8</v>
      </c>
      <c r="H191" t="n">
        <v>7.4</v>
      </c>
      <c r="I191" t="n">
        <v>7.5</v>
      </c>
      <c r="J191" t="n">
        <v>7.3</v>
      </c>
      <c r="K191" t="n">
        <v>7.5</v>
      </c>
      <c r="L191" t="n">
        <v>7.6</v>
      </c>
      <c r="M191" t="n">
        <v>7.7</v>
      </c>
      <c r="N191" t="n">
        <v>7.4</v>
      </c>
      <c r="O191" t="n">
        <v>8.199999999999999</v>
      </c>
      <c r="P191" t="n">
        <v>7.8</v>
      </c>
      <c r="Q191">
        <f>IF(COUNT(G191:P191)=10,ROUND((G191*'Pondérations'!$B$5+H191*'Pondérations'!$B$6+I191*'Pondérations'!$B$7+J191*'Pondérations'!$B$8+K191*'Pondérations'!$B$9+L191*'Pondérations'!$B$10+M191*'Pondérations'!$B$11+N191*'Pondérations'!$B$12+O191*'Pondérations'!$B$13+P191*'Pondérations'!$B$14)/'Pondérations'!$B$16,3),"")</f>
        <v/>
      </c>
      <c r="R191">
        <f>IF(Q191="","",1+COUNTIF($Q$7:$Q$210,"&gt;"&amp;Q191)+COUNTIF($Q$7:Q191,Q191)-1)</f>
        <v/>
      </c>
      <c r="V191" t="inlineStr">
        <is>
          <t>Élevée</t>
        </is>
      </c>
      <c r="W191" t="inlineStr">
        <is>
          <t>Ajout catalogue</t>
        </is>
      </c>
      <c r="AF191" t="n">
        <v>55</v>
      </c>
      <c r="AG191" t="inlineStr">
        <is>
          <t>Excellent rapport qualité/prix à $59, polyvalent (3 modes, câble magnétique), peut driver des IEM très sensibles sans hiss et des casques 300Ω correctement. Recommandé.</t>
        </is>
      </c>
      <c r="AH191" t="inlineStr">
        <is>
          <t>Neutre avec légère basse, un peu fun</t>
        </is>
      </c>
      <c r="AI191" t="inlineStr">
        <is>
          <t>Scène correcte en mode musique ; le mode jeu élargit artificiellement, le mode film compresse un peu</t>
        </is>
      </c>
      <c r="AJ191" t="inlineStr">
        <is>
          <t>Single-ended uniquement, volume saute en changeant de mode, chauffe légère</t>
        </is>
      </c>
      <c r="AK191" t="inlineStr">
        <is>
          <t>https://hiendportable.com/ikko-zerda-itm01-english-review/</t>
        </is>
      </c>
      <c r="AL191" t="n">
        <v>2</v>
      </c>
      <c r="AM191" t="inlineStr">
        <is>
          <t>Moyenne — 2 sources</t>
        </is>
      </c>
      <c r="AN191" t="inlineStr">
        <is>
          <t>https://www.ikkoaudio.com/</t>
        </is>
      </c>
      <c r="AQ191" t="inlineStr">
        <is>
          <t>À compléter</t>
        </is>
      </c>
      <c r="AR191" t="inlineStr">
        <is>
          <t>Review éditoriale: 1; Fiche constructeur: 1</t>
        </is>
      </c>
    </row>
    <row r="192">
      <c r="A192" t="inlineStr">
        <is>
          <t>EarMen</t>
        </is>
      </c>
      <c r="B192" t="inlineStr">
        <is>
          <t>Eagle</t>
        </is>
      </c>
      <c r="C192" t="inlineStr">
        <is>
          <t>Dongle DAC/amp</t>
        </is>
      </c>
      <c r="D192" t="inlineStr">
        <is>
          <t>Neutre avec une pointe de chaleur, très musical et organique, sans grain ni dureté</t>
        </is>
      </c>
      <c r="E192" t="inlineStr">
        <is>
          <t>Le dongle le moins cher à offrir un son premium (~$129) ; connecteur USB-A très pratique avec iPhone, timbre naturel</t>
        </is>
      </c>
      <c r="F192" t="inlineStr">
        <is>
          <t>Peu de puissance (pas fait pour des casques gourmands comme les HD 600 300Ω), pas de boutons physiques, driver requis sous Windows</t>
        </is>
      </c>
      <c r="G192" t="n">
        <v>8.4</v>
      </c>
      <c r="H192" t="n">
        <v>8.199999999999999</v>
      </c>
      <c r="I192" t="n">
        <v>8</v>
      </c>
      <c r="J192" t="n">
        <v>8.1</v>
      </c>
      <c r="K192" t="n">
        <v>8.199999999999999</v>
      </c>
      <c r="L192" t="n">
        <v>8.699999999999999</v>
      </c>
      <c r="M192" t="n">
        <v>8.300000000000001</v>
      </c>
      <c r="N192" t="n">
        <v>7.3</v>
      </c>
      <c r="O192" t="n">
        <v>8.300000000000001</v>
      </c>
      <c r="P192" t="n">
        <v>8.5</v>
      </c>
      <c r="Q192">
        <f>IF(COUNT(G192:P192)=10,ROUND((G192*'Pondérations'!$B$5+H192*'Pondérations'!$B$6+I192*'Pondérations'!$B$7+J192*'Pondérations'!$B$8+K192*'Pondérations'!$B$9+L192*'Pondérations'!$B$10+M192*'Pondérations'!$B$11+N192*'Pondérations'!$B$12+O192*'Pondérations'!$B$13+P192*'Pondérations'!$B$14)/'Pondérations'!$B$16,3),"")</f>
        <v/>
      </c>
      <c r="R192">
        <f>IF(Q192="","",1+COUNTIF($Q$7:$Q$210,"&gt;"&amp;Q192)+COUNTIF($Q$7:Q192,Q192)-1)</f>
        <v/>
      </c>
      <c r="V192" t="inlineStr">
        <is>
          <t>Élevée</t>
        </is>
      </c>
      <c r="W192" t="inlineStr">
        <is>
          <t>Ajout catalogue</t>
        </is>
      </c>
      <c r="AF192" t="n">
        <v>120</v>
      </c>
      <c r="AG192" t="inlineStr">
        <is>
          <t>Son rien à redire, très naturel et musical, timbre proche du Sparrow (SE) ; meilleur son qu'une DragonFly Red en linéarité, moins puissant. Préféré au Sparrow par le reviewer pour son USB-A.</t>
        </is>
      </c>
      <c r="AH192" t="inlineStr">
        <is>
          <t>Neutre-chaleureuse, organique, sans dureté</t>
        </is>
      </c>
      <c r="AI192" t="inlineStr">
        <is>
          <t>Stage plutôt large mais un peu plat ; imaging aisé, voix douces, transparence et clarté bonnes</t>
        </is>
      </c>
      <c r="AJ192" t="inlineStr">
        <is>
          <t>Puissance limitée, pas de contrôle physique, consommation batterie un peu élevée</t>
        </is>
      </c>
      <c r="AK192" t="inlineStr">
        <is>
          <t>https://www.audioreviews.org/earmen-eagle-review/</t>
        </is>
      </c>
      <c r="AL192" t="n">
        <v>2</v>
      </c>
      <c r="AM192" t="inlineStr">
        <is>
          <t>Moyenne — 2 sources</t>
        </is>
      </c>
      <c r="AN192" t="inlineStr">
        <is>
          <t>https://earmen-shop.com/</t>
        </is>
      </c>
      <c r="AQ192" t="inlineStr">
        <is>
          <t>À compléter</t>
        </is>
      </c>
      <c r="AR192" t="inlineStr">
        <is>
          <t>Review éditoriale: 1; Fiche constructeur: 1</t>
        </is>
      </c>
    </row>
    <row r="193">
      <c r="A193" t="inlineStr">
        <is>
          <t>EarMen</t>
        </is>
      </c>
      <c r="B193" t="inlineStr">
        <is>
          <t>Sparrow</t>
        </is>
      </c>
      <c r="C193" t="inlineStr">
        <is>
          <t>Dongle DAC/amp</t>
        </is>
      </c>
      <c r="D193" t="inlineStr">
        <is>
          <t>Neutre-chaleureux (plus neutre que chaud), son quasi-analogique, plein et dynamique</t>
        </is>
      </c>
      <c r="E193" t="inlineStr">
        <is>
          <t>Sortie BAL 2.5mm redoutable : la plus puissante de sa catégorie (~200$, 4 Vrms/600Ω), qui ouvre headroom et clarté de façon spectaculaire</t>
        </is>
      </c>
      <c r="F193" t="inlineStr">
        <is>
          <t>Consomme beaucoup de batterie sur les iPhone (throttle), pas de boutons, et prix $199 élevé pour un dongle</t>
        </is>
      </c>
      <c r="G193" t="n">
        <v>8.699999999999999</v>
      </c>
      <c r="H193" t="n">
        <v>8.6</v>
      </c>
      <c r="I193" t="n">
        <v>8.4</v>
      </c>
      <c r="J193" t="n">
        <v>8.4</v>
      </c>
      <c r="K193" t="n">
        <v>8.6</v>
      </c>
      <c r="L193" t="n">
        <v>8.800000000000001</v>
      </c>
      <c r="M193" t="n">
        <v>8.6</v>
      </c>
      <c r="N193" t="n">
        <v>8.6</v>
      </c>
      <c r="O193" t="n">
        <v>7.9</v>
      </c>
      <c r="P193" t="n">
        <v>8.800000000000001</v>
      </c>
      <c r="Q193">
        <f>IF(COUNT(G193:P193)=10,ROUND((G193*'Pondérations'!$B$5+H193*'Pondérations'!$B$6+I193*'Pondérations'!$B$7+J193*'Pondérations'!$B$8+K193*'Pondérations'!$B$9+L193*'Pondérations'!$B$10+M193*'Pondérations'!$B$11+N193*'Pondérations'!$B$12+O193*'Pondérations'!$B$13+P193*'Pondérations'!$B$14)/'Pondérations'!$B$16,3),"")</f>
        <v/>
      </c>
      <c r="R193">
        <f>IF(Q193="","",1+COUNTIF($Q$7:$Q$210,"&gt;"&amp;Q193)+COUNTIF($Q$7:Q193,Q193)-1)</f>
        <v/>
      </c>
      <c r="V193" t="inlineStr">
        <is>
          <t>Élevée</t>
        </is>
      </c>
      <c r="W193" t="inlineStr">
        <is>
          <t>Ajout catalogue</t>
        </is>
      </c>
      <c r="AF193" t="n">
        <v>185</v>
      </c>
      <c r="AG193" t="inlineStr">
        <is>
          <t>Le meilleur dongle testé à ce jour (catégorie ≤$200) — le circuit BAL rivalise avec un ampli desktop pour IEM. Sans batterie donc sans obsolescence programmée. Sur la liste des favoris 2020/2021.</t>
        </is>
      </c>
      <c r="AH193" t="inlineStr">
        <is>
          <t>Neutre-chaleureuse, quasi-analogique, équilibrée pour tous types d'IEM</t>
        </is>
      </c>
      <c r="AI193" t="inlineStr">
        <is>
          <t>En BAL, headroom et clarté spectaculaires, médiums mis en avant, son riche et analogique</t>
        </is>
      </c>
      <c r="AJ193" t="inlineStr">
        <is>
          <t>Grosse consommation batterie sur iPhone, pas de contrôle physique, cher</t>
        </is>
      </c>
      <c r="AK193" t="inlineStr">
        <is>
          <t>https://www.audioreviews.org/earmen-sparrow-review/</t>
        </is>
      </c>
      <c r="AL193" t="n">
        <v>2</v>
      </c>
      <c r="AM193" t="inlineStr">
        <is>
          <t>Moyenne — 2 sources</t>
        </is>
      </c>
      <c r="AN193" t="inlineStr">
        <is>
          <t>https://www.audiosciencereview.com/forum/index.php?threads/earmen-sparrow-review.21800/</t>
        </is>
      </c>
      <c r="AQ193" t="inlineStr">
        <is>
          <t>À compléter</t>
        </is>
      </c>
      <c r="AR193" t="inlineStr">
        <is>
          <t>Review éditoriale: 1; Mesures: 1</t>
        </is>
      </c>
    </row>
    <row r="194">
      <c r="A194" t="inlineStr">
        <is>
          <t>Audirect</t>
        </is>
      </c>
      <c r="B194" t="inlineStr">
        <is>
          <t>Atom 2</t>
        </is>
      </c>
      <c r="C194" t="inlineStr">
        <is>
          <t>Dongle DAC/amp</t>
        </is>
      </c>
      <c r="D194" t="inlineStr">
        <is>
          <t>Chaud et formel, épaissit les notes, renforce les médiums, adoucit les aigus</t>
        </is>
      </c>
      <c r="E194" t="inlineStr">
        <is>
          <t>Design rectangulaire aluminium premium + LED colorée par bitrate + décodage MQA à $75 ; Tabasco auditif qui vivifie les IEM ternes</t>
        </is>
      </c>
      <c r="F194" t="inlineStr">
        <is>
          <t>Signature qui brouille les détails (cymbales, nuances vocales lissées) — à réserver à des IEM brillants ; pas pour les transparents</t>
        </is>
      </c>
      <c r="G194" t="n">
        <v>7.7</v>
      </c>
      <c r="H194" t="n">
        <v>7.3</v>
      </c>
      <c r="I194" t="n">
        <v>7.6</v>
      </c>
      <c r="J194" t="n">
        <v>7.6</v>
      </c>
      <c r="K194" t="n">
        <v>7.5</v>
      </c>
      <c r="L194" t="n">
        <v>8</v>
      </c>
      <c r="M194" t="n">
        <v>7.6</v>
      </c>
      <c r="N194" t="n">
        <v>7.2</v>
      </c>
      <c r="O194" t="n">
        <v>8.4</v>
      </c>
      <c r="P194" t="n">
        <v>7.7</v>
      </c>
      <c r="Q194">
        <f>IF(COUNT(G194:P194)=10,ROUND((G194*'Pondérations'!$B$5+H194*'Pondérations'!$B$6+I194*'Pondérations'!$B$7+J194*'Pondérations'!$B$8+K194*'Pondérations'!$B$9+L194*'Pondérations'!$B$10+M194*'Pondérations'!$B$11+N194*'Pondérations'!$B$12+O194*'Pondérations'!$B$13+P194*'Pondérations'!$B$14)/'Pondérations'!$B$16,3),"")</f>
        <v/>
      </c>
      <c r="R194">
        <f>IF(Q194="","",1+COUNTIF($Q$7:$Q$210,"&gt;"&amp;Q194)+COUNTIF($Q$7:Q194,Q194)-1)</f>
        <v/>
      </c>
      <c r="V194" t="inlineStr">
        <is>
          <t>Élevée</t>
        </is>
      </c>
      <c r="W194" t="inlineStr">
        <is>
          <t>Ajout catalogue</t>
        </is>
      </c>
      <c r="AF194" t="n">
        <v>70</v>
      </c>
      <c r="AG194" t="inlineStr">
        <is>
          <t>Un dongle qui enjolive le son de façon notable : riche et chaud, très bon avec IEM brillants, à éviter avec des IEM déjà pleins. Bonne valeur, mais pairing obligatoire.</t>
        </is>
      </c>
      <c r="AH194" t="inlineStr">
        <is>
          <t>Chaude, riche, médiums présents, aigus adoucis</t>
        </is>
      </c>
      <c r="AI194" t="inlineStr">
        <is>
          <t>Stage élargi, richesse médium ; détail et séparation en retrait</t>
        </is>
      </c>
      <c r="AJ194" t="inlineStr">
        <is>
          <t>Voile léger sur les détails, puissance modeste, réservé aux IEM brillants</t>
        </is>
      </c>
      <c r="AK194" t="inlineStr">
        <is>
          <t>https://www.audioreviews.org/audirect-atom-2-review/</t>
        </is>
      </c>
      <c r="AL194" t="n">
        <v>2</v>
      </c>
      <c r="AM194" t="inlineStr">
        <is>
          <t>Moyenne — 2 sources</t>
        </is>
      </c>
      <c r="AN194" t="inlineStr">
        <is>
          <t>https://majorhifi.com/audirect-atom-2-mqa-dac-review/</t>
        </is>
      </c>
      <c r="AQ194" t="inlineStr">
        <is>
          <t>À compléter</t>
        </is>
      </c>
      <c r="AR194" t="inlineStr">
        <is>
          <t>Review éditoriale: 1; Fiche constructeur: 1</t>
        </is>
      </c>
    </row>
    <row r="195">
      <c r="A195" t="inlineStr">
        <is>
          <t>Audirect</t>
        </is>
      </c>
      <c r="B195" t="inlineStr">
        <is>
          <t>Atom 3</t>
        </is>
      </c>
      <c r="C195" t="inlineStr">
        <is>
          <t>Dongle DAC/amp</t>
        </is>
      </c>
      <c r="D195" t="inlineStr">
        <is>
          <t>Agressif et vivant, ajoute du poids, de la dynamique et de la matière aux notes, avec une tonalité naturelle vinyle</t>
        </is>
      </c>
      <c r="E195" t="inlineStr">
        <is>
          <t>Format minuscule (5 g), cool, économe, avec une puissance de pilotage étonnamment robuste et un son analogique fun</t>
        </is>
      </c>
      <c r="F195" t="inlineStr">
        <is>
          <t>Stage étroit, midbass qui déborde et brouille le détail aigu sur casques efficients</t>
        </is>
      </c>
      <c r="G195" t="n">
        <v>7.5</v>
      </c>
      <c r="H195" t="n">
        <v>6.5</v>
      </c>
      <c r="I195" t="n">
        <v>6.5</v>
      </c>
      <c r="J195" t="n">
        <v>6</v>
      </c>
      <c r="K195" t="n">
        <v>6</v>
      </c>
      <c r="L195" t="n">
        <v>7.5</v>
      </c>
      <c r="M195" t="n">
        <v>8.5</v>
      </c>
      <c r="N195" t="n">
        <v>7</v>
      </c>
      <c r="O195" t="n">
        <v>9.5</v>
      </c>
      <c r="P195" t="n">
        <v>8</v>
      </c>
      <c r="Q195">
        <f>IF(COUNT(G195:P195)=10,ROUND((G195*'Pondérations'!$B$5+H195*'Pondérations'!$B$6+I195*'Pondérations'!$B$7+J195*'Pondérations'!$B$8+K195*'Pondérations'!$B$9+L195*'Pondérations'!$B$10+M195*'Pondérations'!$B$11+N195*'Pondérations'!$B$12+O195*'Pondérations'!$B$13+P195*'Pondérations'!$B$14)/'Pondérations'!$B$16,3),"")</f>
        <v/>
      </c>
      <c r="R195">
        <f>IF(Q195="","",1+COUNTIF($Q$7:$Q$210,"&gt;"&amp;Q195)+COUNTIF($Q$7:Q195,Q195)-1)</f>
        <v/>
      </c>
      <c r="V195" t="inlineStr">
        <is>
          <t>Élevée</t>
        </is>
      </c>
      <c r="W195" t="inlineStr">
        <is>
          <t>Ajout catalogue</t>
        </is>
      </c>
      <c r="AF195" t="n">
        <v>44</v>
      </c>
      <c r="AG195" t="inlineStr">
        <is>
          <t>Dongle budget réussi, dynamique et chaleureux, idéal pour enlivenner des casques neutres (SHP9500, Momentum) ; meilleur sur charges moyennes, pas un daily-driver absolu.</t>
        </is>
      </c>
      <c r="AH195" t="inlineStr">
        <is>
          <t>Naturelle, vinyle, midbass en avant</t>
        </is>
      </c>
      <c r="AI195" t="inlineStr">
        <is>
          <t>Stage bien arrondi mais étroit, séparation imprécise, détails fins floutés</t>
        </is>
      </c>
      <c r="AJ195" t="inlineStr">
        <is>
          <t>Bass overhang sur IEMs efficients, pas de sortie balancée</t>
        </is>
      </c>
      <c r="AK195" t="inlineStr">
        <is>
          <t>https://www.audioreviews.org/audirect-atom-3-review/</t>
        </is>
      </c>
      <c r="AL195" t="n">
        <v>2</v>
      </c>
      <c r="AM195" t="inlineStr">
        <is>
          <t>Moyenne — 2 sources</t>
        </is>
      </c>
      <c r="AN195" t="inlineStr">
        <is>
          <t>https://audirect.vip/</t>
        </is>
      </c>
      <c r="AQ195" t="inlineStr">
        <is>
          <t>À compléter</t>
        </is>
      </c>
      <c r="AR195" t="inlineStr">
        <is>
          <t>Review éditoriale: 1; Fiche constructeur: 1</t>
        </is>
      </c>
    </row>
    <row r="196">
      <c r="A196" t="inlineStr">
        <is>
          <t>Audirect</t>
        </is>
      </c>
      <c r="B196" t="inlineStr">
        <is>
          <t>Team 1</t>
        </is>
      </c>
      <c r="C196" t="inlineStr">
        <is>
          <t>DAC/amp portable</t>
        </is>
      </c>
      <c r="D196" t="inlineStr">
        <is>
          <t>Neutre et propre, sans coloration ni empreinte artificielle, avec un léger épaississement de la texture des notes</t>
        </is>
      </c>
      <c r="E196" t="inlineStr">
        <is>
          <t>Ampli très puissant (surtout en 4.4 mm balancé), séparation des instruments quasi parfaite et fond noir quasi absent de bruit</t>
        </is>
      </c>
      <c r="F196" t="inlineStr">
        <is>
          <t>Encombrant et lourd (67 g), boutons minuscules frustrants, ergonomie entre-deux (ni dongle, ni desktop)</t>
        </is>
      </c>
      <c r="G196" t="n">
        <v>9.199999999999999</v>
      </c>
      <c r="H196" t="n">
        <v>8.5</v>
      </c>
      <c r="I196" t="n">
        <v>8</v>
      </c>
      <c r="J196" t="n">
        <v>8</v>
      </c>
      <c r="K196" t="n">
        <v>8.5</v>
      </c>
      <c r="L196" t="n">
        <v>7.5</v>
      </c>
      <c r="M196" t="n">
        <v>9</v>
      </c>
      <c r="N196" t="n">
        <v>9.5</v>
      </c>
      <c r="O196" t="n">
        <v>5.5</v>
      </c>
      <c r="P196" t="n">
        <v>8.5</v>
      </c>
      <c r="Q196">
        <f>IF(COUNT(G196:P196)=10,ROUND((G196*'Pondérations'!$B$5+H196*'Pondérations'!$B$6+I196*'Pondérations'!$B$7+J196*'Pondérations'!$B$8+K196*'Pondérations'!$B$9+L196*'Pondérations'!$B$10+M196*'Pondérations'!$B$11+N196*'Pondérations'!$B$12+O196*'Pondérations'!$B$13+P196*'Pondérations'!$B$14)/'Pondérations'!$B$16,3),"")</f>
        <v/>
      </c>
      <c r="R196">
        <f>IF(Q196="","",1+COUNTIF($Q$7:$Q$210,"&gt;"&amp;Q196)+COUNTIF($Q$7:Q196,Q196)-1)</f>
        <v/>
      </c>
      <c r="V196" t="inlineStr">
        <is>
          <t>Élevée</t>
        </is>
      </c>
      <c r="W196" t="inlineStr">
        <is>
          <t>Ajout catalogue</t>
        </is>
      </c>
      <c r="AF196" t="n">
        <v>300</v>
      </c>
      <c r="AG196" t="inlineStr">
        <is>
          <t>Soniquement difficile à critiquer, à la hauteur d'unités plus grosses et plus chères ; la sortie balancée est très puissante.</t>
        </is>
      </c>
      <c r="AH196" t="inlineStr">
        <is>
          <t>Neutre/transparente, un peu plus brute et moins étendue dans les aigus que du SMSL</t>
        </is>
      </c>
      <c r="AI196" t="inlineStr">
        <is>
          <t>Très bonne séparation sans bleed, stage élargi, musique plus grande mais sans adrénaline artificielle</t>
        </is>
      </c>
      <c r="AJ196" t="inlineStr">
        <is>
          <t>Ergonomie (boutons, poids), aigus moins étendus, volume seulement sur entrée USB</t>
        </is>
      </c>
      <c r="AK196" t="inlineStr">
        <is>
          <t>https://www.audioreviews.org/audirect-team-1-review/</t>
        </is>
      </c>
      <c r="AL196" t="n">
        <v>2</v>
      </c>
      <c r="AM196" t="inlineStr">
        <is>
          <t>Moyenne — 2 sources</t>
        </is>
      </c>
      <c r="AN196" t="inlineStr">
        <is>
          <t>https://audirect.vip/</t>
        </is>
      </c>
      <c r="AQ196" t="inlineStr">
        <is>
          <t>À compléter</t>
        </is>
      </c>
      <c r="AR196" t="inlineStr">
        <is>
          <t>Review éditoriale: 1; Fiche constructeur: 1</t>
        </is>
      </c>
    </row>
    <row r="197">
      <c r="A197" t="inlineStr">
        <is>
          <t>Venture Electronics</t>
        </is>
      </c>
      <c r="B197" t="inlineStr">
        <is>
          <t>Odyssey HD</t>
        </is>
      </c>
      <c r="C197" t="inlineStr">
        <is>
          <t>Dongle DAC/amp</t>
        </is>
      </c>
      <c r="D197" t="inlineStr">
        <is>
          <t>Plus basseux que neutre, amplifié et musclé, mais sans la finesse de détail du dongle Apple</t>
        </is>
      </c>
      <c r="E197" t="inlineStr">
        <is>
          <t>Excellente construction/haptique (Oyaide 102 SSC), plus de puissance que le dongle Apple, connecteurs interchangeables 3.5/2.5/4.4, adaptateur Type-C vers USB-A inclus</t>
        </is>
      </c>
      <c r="F197" t="inlineStr">
        <is>
          <t>Hiss &gt;11 kHz sur IEMs sensibles, scène sonore étroite, attaque douce, consommation 2,5× supérieure au dongle Apple</t>
        </is>
      </c>
      <c r="G197" t="n">
        <v>7.5</v>
      </c>
      <c r="H197" t="n">
        <v>7</v>
      </c>
      <c r="I197" t="n">
        <v>7</v>
      </c>
      <c r="J197" t="n">
        <v>6.8</v>
      </c>
      <c r="K197" t="n">
        <v>7</v>
      </c>
      <c r="L197" t="n">
        <v>7.2</v>
      </c>
      <c r="M197" t="n">
        <v>7.2</v>
      </c>
      <c r="N197" t="n">
        <v>6.8</v>
      </c>
      <c r="O197" t="n">
        <v>8</v>
      </c>
      <c r="P197" t="n">
        <v>6.5</v>
      </c>
      <c r="Q197">
        <f>IF(COUNT(G197:P197)=10,ROUND((G197*'Pondérations'!$B$5+H197*'Pondérations'!$B$6+I197*'Pondérations'!$B$7+J197*'Pondérations'!$B$8+K197*'Pondérations'!$B$9+L197*'Pondérations'!$B$10+M197*'Pondérations'!$B$11+N197*'Pondérations'!$B$12+O197*'Pondérations'!$B$13+P197*'Pondérations'!$B$14)/'Pondérations'!$B$16,3),"")</f>
        <v/>
      </c>
      <c r="R197">
        <f>IF(Q197="","",1+COUNTIF($Q$7:$Q$210,"&gt;"&amp;Q197)+COUNTIF($Q$7:Q197,Q197)-1)</f>
        <v/>
      </c>
      <c r="V197" t="inlineStr">
        <is>
          <t>Élevée</t>
        </is>
      </c>
      <c r="W197" t="inlineStr">
        <is>
          <t>Ajout catalogue</t>
        </is>
      </c>
      <c r="AF197" t="n">
        <v>9</v>
      </c>
      <c r="AG197" t="inlineStr">
        <is>
          <t>Pas de miracle à 10 $ ; bon et décent, mais ne bat pas le dongle Apple (subventionné) en qualité sonore, seulement en puissance et en haptique.</t>
        </is>
      </c>
      <c r="AH197" t="inlineStr">
        <is>
          <t>Basseuse, non neutre</t>
        </is>
      </c>
      <c r="AI197" t="inlineStr">
        <is>
          <t>Stage étroit, attaque molle, manque de crispness, distorsion sur IEMs 16 Ω</t>
        </is>
      </c>
      <c r="AJ197" t="inlineStr">
        <is>
          <t>Hiss, bruit de fond élevé (admis par le CEO), inefficace avec casques 300 Ω</t>
        </is>
      </c>
      <c r="AK197" t="inlineStr">
        <is>
          <t>https://www.soundphilereview.com/reviews/venture-electronics-odyssey-hd-review-4580/</t>
        </is>
      </c>
      <c r="AL197" t="n">
        <v>2</v>
      </c>
      <c r="AM197" t="inlineStr">
        <is>
          <t>Moyenne — 2 sources</t>
        </is>
      </c>
      <c r="AN197" t="inlineStr">
        <is>
          <t>https://veclan.com/</t>
        </is>
      </c>
      <c r="AQ197" t="inlineStr">
        <is>
          <t>À compléter</t>
        </is>
      </c>
      <c r="AR197" t="inlineStr">
        <is>
          <t>Review éditoriale: 1; Fiche constructeur: 1</t>
        </is>
      </c>
    </row>
    <row r="198">
      <c r="A198" t="inlineStr">
        <is>
          <t>TempoTec</t>
        </is>
      </c>
      <c r="B198" t="inlineStr">
        <is>
          <t>Sonata HD II</t>
        </is>
      </c>
      <c r="C198" t="inlineStr">
        <is>
          <t>Dongle DAC/amp</t>
        </is>
      </c>
      <c r="D198" t="inlineStr">
        <is>
          <t>Propre et globalement transparent, avec une légère emphase médium ; le haut est lissé</t>
        </is>
      </c>
      <c r="E198" t="inlineStr">
        <is>
          <t>Tout petit, quasi sans bruit, consommation minimale (~4,9 %/h), prise en charge DSD et Hi-Res, upgrade simple pour smartphone/tablette</t>
        </is>
      </c>
      <c r="F198" t="inlineStr">
        <is>
          <t>Seulement 15 pas de volume (grossiers), pas assez de headroom pour casques haute impédance &gt;150 Ω, manque de dimensions 3D</t>
        </is>
      </c>
      <c r="G198" t="n">
        <v>8</v>
      </c>
      <c r="H198" t="n">
        <v>7.5</v>
      </c>
      <c r="I198" t="n">
        <v>7</v>
      </c>
      <c r="J198" t="n">
        <v>6.8</v>
      </c>
      <c r="K198" t="n">
        <v>6</v>
      </c>
      <c r="L198" t="n">
        <v>6.5</v>
      </c>
      <c r="M198" t="n">
        <v>6.5</v>
      </c>
      <c r="N198" t="n">
        <v>6</v>
      </c>
      <c r="O198" t="n">
        <v>9</v>
      </c>
      <c r="P198" t="n">
        <v>7.5</v>
      </c>
      <c r="Q198">
        <f>IF(COUNT(G198:P198)=10,ROUND((G198*'Pondérations'!$B$5+H198*'Pondérations'!$B$6+I198*'Pondérations'!$B$7+J198*'Pondérations'!$B$8+K198*'Pondérations'!$B$9+L198*'Pondérations'!$B$10+M198*'Pondérations'!$B$11+N198*'Pondérations'!$B$12+O198*'Pondérations'!$B$13+P198*'Pondérations'!$B$14)/'Pondérations'!$B$16,3),"")</f>
        <v/>
      </c>
      <c r="R198">
        <f>IF(Q198="","",1+COUNTIF($Q$7:$Q$210,"&gt;"&amp;Q198)+COUNTIF($Q$7:Q198,Q198)-1)</f>
        <v/>
      </c>
      <c r="V198" t="inlineStr">
        <is>
          <t>Élevée</t>
        </is>
      </c>
      <c r="W198" t="inlineStr">
        <is>
          <t>Ajout catalogue</t>
        </is>
      </c>
      <c r="AF198" t="n">
        <v>80</v>
      </c>
      <c r="AG198" t="inlineStr">
        <is>
          <t>Petit dongle budget recommandé pour l'usage mobile actif ; propre et transparent en 16-bit.</t>
        </is>
      </c>
      <c r="AH198" t="inlineStr">
        <is>
          <t>Clean, légère emphase médium, basses un peu molles, aigus lissés</t>
        </is>
      </c>
      <c r="AI198" t="inlineStr">
        <is>
          <t>Staging limité (E35 bien supérieur), détail moyen</t>
        </is>
      </c>
      <c r="AJ198" t="inlineStr">
        <is>
          <t>15 pas de volume, USB-C only (pas de version Lightning), faible pour casques &gt;150 Ω</t>
        </is>
      </c>
      <c r="AK198" t="inlineStr">
        <is>
          <t>https://www.audiophile-heaven.com/2022/05/tempotec-sonata-hd-ii-music-tail.html</t>
        </is>
      </c>
      <c r="AL198" t="n">
        <v>2</v>
      </c>
      <c r="AM198" t="inlineStr">
        <is>
          <t>Moyenne — 2 sources</t>
        </is>
      </c>
      <c r="AN198" t="inlineStr">
        <is>
          <t>https://www.tempotec.net/</t>
        </is>
      </c>
      <c r="AQ198" t="inlineStr">
        <is>
          <t>À compléter</t>
        </is>
      </c>
      <c r="AR198" t="inlineStr">
        <is>
          <t>Review éditoriale: 1; Fiche constructeur: 1</t>
        </is>
      </c>
    </row>
    <row r="199">
      <c r="A199" t="inlineStr">
        <is>
          <t>BGVP</t>
        </is>
      </c>
      <c r="B199" t="inlineStr">
        <is>
          <t>T01s</t>
        </is>
      </c>
      <c r="C199" t="inlineStr">
        <is>
          <t>Dongle DAC/amp</t>
        </is>
      </c>
      <c r="D199" t="inlineStr">
        <is>
          <t>Plein et sombre, sub-bass sismique et serré, médiums riches, très puissant</t>
        </is>
      </c>
      <c r="E199" t="inlineStr">
        <is>
          <t>Op-amp robuste → puissance remarquable (très fort à 45 % de volume) ; soundstage très large, dégagé même en arrangements denses</t>
        </is>
      </c>
      <c r="F199" t="inlineStr">
        <is>
          <t>Aigus un peu bruts, microdetail manquant et cymbales/guitares arrondies sur IEMs sensibles (mismatch d'impédance), pairing délicat</t>
        </is>
      </c>
      <c r="G199" t="n">
        <v>6.5</v>
      </c>
      <c r="H199" t="n">
        <v>6</v>
      </c>
      <c r="I199" t="n">
        <v>7</v>
      </c>
      <c r="J199" t="n">
        <v>6.5</v>
      </c>
      <c r="K199" t="n">
        <v>7</v>
      </c>
      <c r="L199" t="n">
        <v>7</v>
      </c>
      <c r="M199" t="n">
        <v>8.5</v>
      </c>
      <c r="N199" t="n">
        <v>8.5</v>
      </c>
      <c r="O199" t="n">
        <v>8</v>
      </c>
      <c r="P199" t="n">
        <v>7</v>
      </c>
      <c r="Q199">
        <f>IF(COUNT(G199:P199)=10,ROUND((G199*'Pondérations'!$B$5+H199*'Pondérations'!$B$6+I199*'Pondérations'!$B$7+J199*'Pondérations'!$B$8+K199*'Pondérations'!$B$9+L199*'Pondérations'!$B$10+M199*'Pondérations'!$B$11+N199*'Pondérations'!$B$12+O199*'Pondérations'!$B$13+P199*'Pondérations'!$B$14)/'Pondérations'!$B$16,3),"")</f>
        <v/>
      </c>
      <c r="R199">
        <f>IF(Q199="","",1+COUNTIF($Q$7:$Q$210,"&gt;"&amp;Q199)+COUNTIF($Q$7:Q199,Q199)-1)</f>
        <v/>
      </c>
      <c r="V199" t="inlineStr">
        <is>
          <t>Élevée</t>
        </is>
      </c>
      <c r="W199" t="inlineStr">
        <is>
          <t>Ajout catalogue</t>
        </is>
      </c>
      <c r="AF199" t="n">
        <v>16</v>
      </c>
      <c r="AG199" t="inlineStr">
        <is>
          <t>Pas un giant killer mais un budget dongle plein d'énergie et de puissance, excellent sur EDM/trance (kick et basses énormes mais contrôlés), pilote crédiblement les Beyer 250 Ω et HD600 300 Ω.</t>
        </is>
      </c>
      <c r="AH199" t="inlineStr">
        <is>
          <t>Sombre, pleine</t>
        </is>
      </c>
      <c r="AI199" t="inlineStr">
        <is>
          <t>Très large, bon air entre les instruments</t>
        </is>
      </c>
      <c r="AJ199" t="inlineStr">
        <is>
          <t>Haut non raffiné, pairing critique</t>
        </is>
      </c>
      <c r="AK199" t="inlineStr">
        <is>
          <t>https://www.audioreviews.org/bgvp-t01s-review/</t>
        </is>
      </c>
      <c r="AL199" t="n">
        <v>2</v>
      </c>
      <c r="AM199" t="inlineStr">
        <is>
          <t>Moyenne — 2 sources</t>
        </is>
      </c>
      <c r="AN199" t="inlineStr">
        <is>
          <t>https://www.bgvp.com/</t>
        </is>
      </c>
      <c r="AQ199" t="inlineStr">
        <is>
          <t>À compléter</t>
        </is>
      </c>
      <c r="AR199" t="inlineStr">
        <is>
          <t>Review éditoriale: 1; Fiche constructeur: 1</t>
        </is>
      </c>
    </row>
    <row r="200">
      <c r="A200" t="inlineStr">
        <is>
          <t>Campfire Audio</t>
        </is>
      </c>
      <c r="B200" t="inlineStr">
        <is>
          <t>Relay</t>
        </is>
      </c>
      <c r="C200" t="inlineStr">
        <is>
          <t>Dongle DAC/amp</t>
        </is>
      </c>
      <c r="D200" t="inlineStr">
        <is>
          <t>Très neutre et précis, analytique avec un tranchant ; imaging holographique exceptionnel</t>
        </is>
      </c>
      <c r="E200" t="inlineStr">
        <is>
          <t>Imagerie holographique de premier ordre (localisation des musiciens étonnamment précise), très puissant (pilote le HD600 300 Ω sans effort), 3.5 + 4.4 mm, minuscule et bien accessoirisé</t>
        </is>
      </c>
      <c r="F200" t="inlineStr">
        <is>
          <t>Caractère analytique/crisp qui peut devenir dur et fatigant (vocaux pointus) à volume élevé ; courant élevé (139 mA) ; ne contrôle pas le volume de l'iPhone</t>
        </is>
      </c>
      <c r="G200" t="n">
        <v>9</v>
      </c>
      <c r="H200" t="n">
        <v>9</v>
      </c>
      <c r="I200" t="n">
        <v>8.5</v>
      </c>
      <c r="J200" t="n">
        <v>8.5</v>
      </c>
      <c r="K200" t="n">
        <v>9.5</v>
      </c>
      <c r="L200" t="n">
        <v>8.300000000000001</v>
      </c>
      <c r="M200" t="n">
        <v>8.5</v>
      </c>
      <c r="N200" t="n">
        <v>9.5</v>
      </c>
      <c r="O200" t="n">
        <v>8.5</v>
      </c>
      <c r="P200" t="n">
        <v>8</v>
      </c>
      <c r="Q200">
        <f>IF(COUNT(G200:P200)=10,ROUND((G200*'Pondérations'!$B$5+H200*'Pondérations'!$B$6+I200*'Pondérations'!$B$7+J200*'Pondérations'!$B$8+K200*'Pondérations'!$B$9+L200*'Pondérations'!$B$10+M200*'Pondérations'!$B$11+N200*'Pondérations'!$B$12+O200*'Pondérations'!$B$13+P200*'Pondérations'!$B$14)/'Pondérations'!$B$16,3),"")</f>
        <v/>
      </c>
      <c r="R200">
        <f>IF(Q200="","",1+COUNTIF($Q$7:$Q$210,"&gt;"&amp;Q200)+COUNTIF($Q$7:Q200,Q200)-1)</f>
        <v/>
      </c>
      <c r="V200" t="inlineStr">
        <is>
          <t>Élevée</t>
        </is>
      </c>
      <c r="W200" t="inlineStr">
        <is>
          <t>Ajout catalogue</t>
        </is>
      </c>
      <c r="AF200" t="n">
        <v>210</v>
      </c>
      <c r="AG200" t="inlineStr">
        <is>
          <t>Rivalise avec des stacks desktop malgré sa taille ; meilleure résolution d'image jamais entendue par le reviewer à n'importe quel prix pour la scène.</t>
        </is>
      </c>
      <c r="AH200" t="inlineStr">
        <is>
          <t>Neutre/analytique, notes légères et bien contrôlées, transients rapides</t>
        </is>
      </c>
      <c r="AI200" t="inlineStr">
        <is>
          <t>Holographique, localisation précise, résolution et clarté excellentes</t>
        </is>
      </c>
      <c r="AJ200" t="inlineStr">
        <is>
          <t>Dureté/pointes vocales, fatigue à haut volume, fort tirage sur la source</t>
        </is>
      </c>
      <c r="AK200" t="inlineStr">
        <is>
          <t>https://majorhifi.com/campfire-audio-relay-review/</t>
        </is>
      </c>
      <c r="AL200" t="n">
        <v>2</v>
      </c>
      <c r="AM200" t="inlineStr">
        <is>
          <t>Moyenne — 2 sources</t>
        </is>
      </c>
      <c r="AN200" t="inlineStr">
        <is>
          <t>https://campfireaudio.com/products/relay</t>
        </is>
      </c>
      <c r="AQ200" t="inlineStr">
        <is>
          <t>À compléter</t>
        </is>
      </c>
      <c r="AR200" t="inlineStr">
        <is>
          <t>Review éditoriale: 1; Fiche constructeur: 1</t>
        </is>
      </c>
    </row>
    <row r="201">
      <c r="A201" t="inlineStr">
        <is>
          <t>Cozoy</t>
        </is>
      </c>
      <c r="B201" t="inlineStr">
        <is>
          <t>Takt-C</t>
        </is>
      </c>
      <c r="C201" t="inlineStr">
        <is>
          <t>Dongle DAC/amp</t>
        </is>
      </c>
      <c r="D201" t="inlineStr">
        <is>
          <t>Signature chaude et légèrement amplifiée, basses avec un peu plus d'oomph, aigus atténués</t>
        </is>
      </c>
      <c r="E201" t="inlineStr">
        <is>
          <t>Élimine le bruit numérique du smartphone aux bas volumes, contrôles intégrés (lecture, volume), boîtier aluminium, très propre/neutre sur la plupart des IEMs</t>
        </is>
      </c>
      <c r="F201" t="inlineStr">
        <is>
          <t>Câble non détachable, chauffe (105–110 °F), drain de batterie notable, aigus grainés/plastiques sur casques difficiles, hiss sur IEMs très sensibles</t>
        </is>
      </c>
      <c r="G201" t="n">
        <v>7.5</v>
      </c>
      <c r="H201" t="n">
        <v>6.5</v>
      </c>
      <c r="I201" t="n">
        <v>6.5</v>
      </c>
      <c r="J201" t="n">
        <v>5.5</v>
      </c>
      <c r="K201" t="n">
        <v>6</v>
      </c>
      <c r="L201" t="n">
        <v>6.5</v>
      </c>
      <c r="M201" t="n">
        <v>7</v>
      </c>
      <c r="N201" t="n">
        <v>6.5</v>
      </c>
      <c r="O201" t="n">
        <v>7</v>
      </c>
      <c r="P201" t="n">
        <v>7</v>
      </c>
      <c r="Q201">
        <f>IF(COUNT(G201:P201)=10,ROUND((G201*'Pondérations'!$B$5+H201*'Pondérations'!$B$6+I201*'Pondérations'!$B$7+J201*'Pondérations'!$B$8+K201*'Pondérations'!$B$9+L201*'Pondérations'!$B$10+M201*'Pondérations'!$B$11+N201*'Pondérations'!$B$12+O201*'Pondérations'!$B$13+P201*'Pondérations'!$B$14)/'Pondérations'!$B$16,3),"")</f>
        <v/>
      </c>
      <c r="R201">
        <f>IF(Q201="","",1+COUNTIF($Q$7:$Q$210,"&gt;"&amp;Q201)+COUNTIF($Q$7:Q201,Q201)-1)</f>
        <v/>
      </c>
      <c r="V201" t="inlineStr">
        <is>
          <t>Élevée</t>
        </is>
      </c>
      <c r="W201" t="inlineStr">
        <is>
          <t>Ajout catalogue</t>
        </is>
      </c>
      <c r="AF201" t="n">
        <v>60</v>
      </c>
      <c r="AG201" t="inlineStr">
        <is>
          <t>Amélioration nette vs sortie smartphone (surtout sur le bruit à bas volume) et vs carte son intégrée, mais pas une révolution vs un V30 Quad DAC.</t>
        </is>
      </c>
      <c r="AH201" t="inlineStr">
        <is>
          <t>Warmish, bass +, treble atténué</t>
        </is>
      </c>
      <c r="AI201" t="inlineStr">
        <is>
          <t>Pas mieux que le V30, ambiance réduite, congested sur PC</t>
        </is>
      </c>
      <c r="AJ201" t="inlineStr">
        <is>
          <t>Power limitée sur HD6XX, câble fixe, chauffe</t>
        </is>
      </c>
      <c r="AK201" t="inlineStr">
        <is>
          <t>https://www.audioreviews.org/cozoy-takt-c-review/</t>
        </is>
      </c>
      <c r="AL201" t="n">
        <v>2</v>
      </c>
      <c r="AM201" t="inlineStr">
        <is>
          <t>Moyenne — 2 sources</t>
        </is>
      </c>
      <c r="AN201" t="inlineStr">
        <is>
          <t>https://www.headfonia.com/cozoy-takt-c-review/</t>
        </is>
      </c>
      <c r="AQ201" t="inlineStr">
        <is>
          <t>À compléter</t>
        </is>
      </c>
      <c r="AR201" t="inlineStr">
        <is>
          <t>Review éditoriale: 1; Fiche constructeur: 1</t>
        </is>
      </c>
    </row>
    <row r="202">
      <c r="A202" t="inlineStr">
        <is>
          <t>Celest</t>
        </is>
      </c>
      <c r="B202" t="inlineStr">
        <is>
          <t>CD-2</t>
        </is>
      </c>
      <c r="C202" t="inlineStr">
        <is>
          <t>Dongle DAC/amp</t>
        </is>
      </c>
      <c r="D202" t="inlineStr">
        <is>
          <t>Brillant, brut et vinylesque, avec beaucoup de basse et de présence, mais extension aiguë limitée</t>
        </is>
      </c>
      <c r="E202" t="inlineStr">
        <is>
          <t>Puissance impressionnante pour 25 $ (140 mW/16 Ω), double sortie 3.5 + 4.4 mm, boîtier zinc solide, ne bronche pas sur le HD650</t>
        </is>
      </c>
      <c r="F202" t="inlineStr">
        <is>
          <t>Fin détail mal résolu, performers centrés au stage, aigus shrill sur casques efficients, basses qui deviennent boomy</t>
        </is>
      </c>
      <c r="G202" t="n">
        <v>6.5</v>
      </c>
      <c r="H202" t="n">
        <v>5.5</v>
      </c>
      <c r="I202" t="n">
        <v>6.5</v>
      </c>
      <c r="J202" t="n">
        <v>5.5</v>
      </c>
      <c r="K202" t="n">
        <v>5.5</v>
      </c>
      <c r="L202" t="n">
        <v>6.5</v>
      </c>
      <c r="M202" t="n">
        <v>8</v>
      </c>
      <c r="N202" t="n">
        <v>8.5</v>
      </c>
      <c r="O202" t="n">
        <v>7.5</v>
      </c>
      <c r="P202" t="n">
        <v>6.5</v>
      </c>
      <c r="Q202">
        <f>IF(COUNT(G202:P202)=10,ROUND((G202*'Pondérations'!$B$5+H202*'Pondérations'!$B$6+I202*'Pondérations'!$B$7+J202*'Pondérations'!$B$8+K202*'Pondérations'!$B$9+L202*'Pondérations'!$B$10+M202*'Pondérations'!$B$11+N202*'Pondérations'!$B$12+O202*'Pondérations'!$B$13+P202*'Pondérations'!$B$14)/'Pondérations'!$B$16,3),"")</f>
        <v/>
      </c>
      <c r="R202">
        <f>IF(Q202="","",1+COUNTIF($Q$7:$Q$210,"&gt;"&amp;Q202)+COUNTIF($Q$7:Q202,Q202)-1)</f>
        <v/>
      </c>
      <c r="V202" t="inlineStr">
        <is>
          <t>Élevée</t>
        </is>
      </c>
      <c r="W202" t="inlineStr">
        <is>
          <t>Ajout catalogue</t>
        </is>
      </c>
      <c r="AF202" t="n">
        <v>23</v>
      </c>
      <c r="AG202" t="inlineStr">
        <is>
          <t>Pas un giant killer, mais un cran au-dessus des dongles &lt;15 $ en puissance, présence et énergie ; excellent sur le métal et le rock lourd.</t>
        </is>
      </c>
      <c r="AH202" t="inlineStr">
        <is>
          <t>Bright, raw, bassy, vinylish</t>
        </is>
      </c>
      <c r="AI202" t="inlineStr">
        <is>
          <t>Stage étroit, performeurs au centre, détails fins peu résolus</t>
        </is>
      </c>
      <c r="AJ202" t="inlineStr">
        <is>
          <t>Aigus shrill sur casques efficients, basse qui déborde</t>
        </is>
      </c>
      <c r="AK202" t="inlineStr">
        <is>
          <t>https://www.audioreviews.org/celest-cd-2-review/</t>
        </is>
      </c>
      <c r="AL202" t="n">
        <v>2</v>
      </c>
      <c r="AM202" t="inlineStr">
        <is>
          <t>Moyenne — 2 sources</t>
        </is>
      </c>
      <c r="AN202" t="inlineStr">
        <is>
          <t>https://kineraaudio.com/</t>
        </is>
      </c>
      <c r="AQ202" t="inlineStr">
        <is>
          <t>À compléter</t>
        </is>
      </c>
      <c r="AR202" t="inlineStr">
        <is>
          <t>Review éditoriale: 1; Fiche constructeur: 1</t>
        </is>
      </c>
    </row>
    <row r="203">
      <c r="A203" t="inlineStr">
        <is>
          <t>Apogee</t>
        </is>
      </c>
      <c r="B203" t="inlineStr">
        <is>
          <t>Groove</t>
        </is>
      </c>
      <c r="C203" t="inlineStr">
        <is>
          <t>Dongle DAC/amp</t>
        </is>
      </c>
      <c r="D203" t="inlineStr">
        <is>
          <t>DAC de niveau pro à reconstruction spatiale phénoménale, technique mais musical</t>
        </is>
      </c>
      <c r="E203" t="inlineStr">
        <is>
          <t>Reconstruction spatiale/imaging hors norme, clarté et texture de classe supérieure</t>
        </is>
      </c>
      <c r="F203" t="inlineStr">
        <is>
          <t>Pas de batterie (340mA sur l'hôte), manque de courant pour casques/écouteurs low-impedance sensibles, pas de DSD/MQA, PCM limité à 24/192</t>
        </is>
      </c>
      <c r="G203" t="n">
        <v>9.300000000000001</v>
      </c>
      <c r="H203" t="n">
        <v>9</v>
      </c>
      <c r="I203" t="n">
        <v>9.4</v>
      </c>
      <c r="J203" t="n">
        <v>9.6</v>
      </c>
      <c r="K203" t="n">
        <v>9.300000000000001</v>
      </c>
      <c r="L203" t="n">
        <v>9.199999999999999</v>
      </c>
      <c r="M203" t="n">
        <v>8.9</v>
      </c>
      <c r="N203" t="n">
        <v>7.5</v>
      </c>
      <c r="O203" t="n">
        <v>6.5</v>
      </c>
      <c r="P203" t="n">
        <v>8</v>
      </c>
      <c r="Q203">
        <f>IF(COUNT(G203:P203)=10,ROUND((G203*'Pondérations'!$B$5+H203*'Pondérations'!$B$6+I203*'Pondérations'!$B$7+J203*'Pondérations'!$B$8+K203*'Pondérations'!$B$9+L203*'Pondérations'!$B$10+M203*'Pondérations'!$B$11+N203*'Pondérations'!$B$12+O203*'Pondérations'!$B$13+P203*'Pondérations'!$B$14)/'Pondérations'!$B$16,3),"")</f>
        <v/>
      </c>
      <c r="R203">
        <f>IF(Q203="","",1+COUNTIF($Q$7:$Q$210,"&gt;"&amp;Q203)+COUNTIF($Q$7:Q203,Q203)-1)</f>
        <v/>
      </c>
      <c r="V203" t="inlineStr">
        <is>
          <t>Élevée</t>
        </is>
      </c>
      <c r="W203" t="inlineStr">
        <is>
          <t>Ajout catalogue</t>
        </is>
      </c>
      <c r="AF203" t="n">
        <v>180</v>
      </c>
      <c r="AG203" t="inlineStr">
        <is>
          <t>DAC exceptionnel à un prix ridicule, transforme la perspective budget; ampli intégré excellent sur charges haute impédance mais limité en courant.</t>
        </is>
      </c>
      <c r="AH203" t="inlineStr">
        <is>
          <t>Neutre-analytique</t>
        </is>
      </c>
      <c r="AI203" t="inlineStr">
        <is>
          <t>Scène immense, détails fins</t>
        </is>
      </c>
      <c r="AJ203" t="inlineStr">
        <is>
          <t>IEM multi-drivers à crossover et casques gourmands en courant</t>
        </is>
      </c>
      <c r="AK203" t="inlineStr">
        <is>
          <t>https://www.audioreviews.org/apogee-groove-review-ap/</t>
        </is>
      </c>
      <c r="AL203" t="n">
        <v>2</v>
      </c>
      <c r="AM203" t="inlineStr">
        <is>
          <t>Moyenne — 2 sources</t>
        </is>
      </c>
      <c r="AN203" t="inlineStr">
        <is>
          <t>https://www.whathifi.com/apogee/groove/review</t>
        </is>
      </c>
      <c r="AQ203" t="inlineStr">
        <is>
          <t>À compléter</t>
        </is>
      </c>
      <c r="AR203" t="inlineStr">
        <is>
          <t>Review éditoriale: 1; Mesures: 1</t>
        </is>
      </c>
    </row>
    <row r="204">
      <c r="A204" t="inlineStr">
        <is>
          <t>SMSL</t>
        </is>
      </c>
      <c r="B204" t="inlineStr">
        <is>
          <t>C200</t>
        </is>
      </c>
      <c r="C204" t="inlineStr">
        <is>
          <t>DAC/amp portable</t>
        </is>
      </c>
      <c r="D204" t="inlineStr">
        <is>
          <t>Vif, punchy dans le grave, aigu propre, très transparent</t>
        </is>
      </c>
      <c r="E204" t="inlineStr">
        <is>
          <t>Rapport fonctionnalités/prix imbattable (DAC ESS9038Q2M, BT LDAC, préamp, 7 filtres) à $219</t>
        </is>
      </c>
      <c r="F204" t="inlineStr">
        <is>
          <t>Mode line-out/headphone exclusif (pas les deux), sortie 4.4mm équilibrée sans gain réel en séparation/puissance</t>
        </is>
      </c>
      <c r="G204" t="n">
        <v>8.9</v>
      </c>
      <c r="H204" t="n">
        <v>8.5</v>
      </c>
      <c r="I204" t="n">
        <v>8.300000000000001</v>
      </c>
      <c r="J204" t="n">
        <v>8.199999999999999</v>
      </c>
      <c r="K204" t="n">
        <v>8.300000000000001</v>
      </c>
      <c r="L204" t="n">
        <v>8.4</v>
      </c>
      <c r="M204" t="n">
        <v>8.6</v>
      </c>
      <c r="N204" t="n">
        <v>8.5</v>
      </c>
      <c r="O204" t="n">
        <v>7.5</v>
      </c>
      <c r="P204" t="n">
        <v>8.4</v>
      </c>
      <c r="Q204">
        <f>IF(COUNT(G204:P204)=10,ROUND((G204*'Pondérations'!$B$5+H204*'Pondérations'!$B$6+I204*'Pondérations'!$B$7+J204*'Pondérations'!$B$8+K204*'Pondérations'!$B$9+L204*'Pondérations'!$B$10+M204*'Pondérations'!$B$11+N204*'Pondérations'!$B$12+O204*'Pondérations'!$B$13+P204*'Pondérations'!$B$14)/'Pondérations'!$B$16,3),"")</f>
        <v/>
      </c>
      <c r="R204">
        <f>IF(Q204="","",1+COUNTIF($Q$7:$Q$210,"&gt;"&amp;Q204)+COUNTIF($Q$7:Q204,Q204)-1)</f>
        <v/>
      </c>
      <c r="V204" t="inlineStr">
        <is>
          <t>Élevée</t>
        </is>
      </c>
      <c r="W204" t="inlineStr">
        <is>
          <t>Ajout catalogue</t>
        </is>
      </c>
      <c r="AF204" t="n">
        <v>200</v>
      </c>
      <c r="AG204" t="inlineStr">
        <is>
          <t>Nouvelle référence des boîtes tout-en-un; son vivant, grave généreux, staging présent, bruit très bas.</t>
        </is>
      </c>
      <c r="AH204" t="inlineStr">
        <is>
          <t>Neutre-légèrement chaleureux</t>
        </is>
      </c>
      <c r="AI204" t="inlineStr">
        <is>
          <t>Staging présent, bonne séparation</t>
        </is>
      </c>
      <c r="AJ204" t="inlineStr">
        <is>
          <t>Micro-détail légèrement en retrait vs DO100/HO100 et câble secteur court</t>
        </is>
      </c>
      <c r="AK204" t="inlineStr">
        <is>
          <t>https://www.audioreviews.org/aoshida-audio-smsl-c200-review-dw/</t>
        </is>
      </c>
      <c r="AL204" t="n">
        <v>2</v>
      </c>
      <c r="AM204" t="inlineStr">
        <is>
          <t>Moyenne — 2 sources</t>
        </is>
      </c>
      <c r="AN204" t="inlineStr">
        <is>
          <t>https://aoshida-audio.com/</t>
        </is>
      </c>
      <c r="AQ204" t="inlineStr">
        <is>
          <t>À compléter</t>
        </is>
      </c>
      <c r="AR204" t="inlineStr">
        <is>
          <t>Review éditoriale: 1; Fiche marchand: 1</t>
        </is>
      </c>
    </row>
    <row r="205">
      <c r="A205" t="inlineStr">
        <is>
          <t>NuPrime</t>
        </is>
      </c>
      <c r="B205" t="inlineStr">
        <is>
          <t>Hi-mDAC</t>
        </is>
      </c>
      <c r="C205" t="inlineStr">
        <is>
          <t>Dongle DAC/amp</t>
        </is>
      </c>
      <c r="D205" t="inlineStr">
        <is>
          <t>Médiums relevés, nets et clairs; signature engageante</t>
        </is>
      </c>
      <c r="E205" t="inlineStr">
        <is>
          <t>Format minuscule (clé USB) en aluminium/verre avec DAC Cirrus Logic annoncé au niveau Dragonfly Cobalt pour moins cher</t>
        </is>
      </c>
      <c r="F205" t="inlineStr">
        <is>
          <t>Puissance limitée (dongle USB), sensibilité aux interférences du CS43131, pas de mode équilibré</t>
        </is>
      </c>
      <c r="G205" t="n">
        <v>8.199999999999999</v>
      </c>
      <c r="H205" t="n">
        <v>7.9</v>
      </c>
      <c r="I205" t="n">
        <v>7.8</v>
      </c>
      <c r="J205" t="n">
        <v>7.7</v>
      </c>
      <c r="K205" t="n">
        <v>7.7</v>
      </c>
      <c r="L205" t="n">
        <v>7.8</v>
      </c>
      <c r="M205" t="n">
        <v>7.6</v>
      </c>
      <c r="N205" t="n">
        <v>6.8</v>
      </c>
      <c r="O205" t="n">
        <v>8</v>
      </c>
      <c r="P205" t="n">
        <v>7.7</v>
      </c>
      <c r="Q205">
        <f>IF(COUNT(G205:P205)=10,ROUND((G205*'Pondérations'!$B$5+H205*'Pondérations'!$B$6+I205*'Pondérations'!$B$7+J205*'Pondérations'!$B$8+K205*'Pondérations'!$B$9+L205*'Pondérations'!$B$10+M205*'Pondérations'!$B$11+N205*'Pondérations'!$B$12+O205*'Pondérations'!$B$13+P205*'Pondérations'!$B$14)/'Pondérations'!$B$16,3),"")</f>
        <v/>
      </c>
      <c r="R205">
        <f>IF(Q205="","",1+COUNTIF($Q$7:$Q$210,"&gt;"&amp;Q205)+COUNTIF($Q$7:Q205,Q205)-1)</f>
        <v/>
      </c>
      <c r="V205" t="inlineStr">
        <is>
          <t>Élevée</t>
        </is>
      </c>
      <c r="W205" t="inlineStr">
        <is>
          <t>Ajout catalogue</t>
        </is>
      </c>
      <c r="AF205" t="n">
        <v>139</v>
      </c>
      <c r="AG205" t="inlineStr">
        <is>
          <t>Petit DAC USB d'excellente facture et rapport qualité/prix, son net et clair; pas une révélation face à la concurrence budget moderne.</t>
        </is>
      </c>
      <c r="AH205" t="inlineStr">
        <is>
          <t>Médium-forward</t>
        </is>
      </c>
      <c r="AI205" t="inlineStr">
        <is>
          <t>Scène correcte</t>
        </is>
      </c>
      <c r="AJ205" t="inlineStr">
        <is>
          <t>Puissance et sensibilité au bruit d'interférence</t>
        </is>
      </c>
      <c r="AK205" t="inlineStr">
        <is>
          <t>https://www.headfonia.com/nuprime-hi-mdac-review/</t>
        </is>
      </c>
      <c r="AL205" t="n">
        <v>2</v>
      </c>
      <c r="AM205" t="inlineStr">
        <is>
          <t>Moyenne — 2 sources</t>
        </is>
      </c>
      <c r="AN205" t="inlineStr">
        <is>
          <t>https://nuprimeaudio.com/</t>
        </is>
      </c>
      <c r="AQ205" t="inlineStr">
        <is>
          <t>À compléter</t>
        </is>
      </c>
      <c r="AR205" t="inlineStr">
        <is>
          <t>Review éditoriale: 1; Fiche marchand: 1</t>
        </is>
      </c>
    </row>
    <row r="206">
      <c r="A206" t="inlineStr">
        <is>
          <t>Apos Audio</t>
        </is>
      </c>
      <c r="B206" t="inlineStr">
        <is>
          <t>Druid</t>
        </is>
      </c>
      <c r="C206" t="inlineStr">
        <is>
          <t>DAC/amp portable</t>
        </is>
      </c>
      <c r="D206" t="inlineStr">
        <is>
          <t>Chaud, organique, analogique — priorité à la musicalité sur la précision analytique</t>
        </is>
      </c>
      <c r="E206" t="inlineStr">
        <is>
          <t>Architecture R-2R discrète à $160 offrant un midrange dense, riche et naturel, macro-dynamique vivante</t>
        </is>
      </c>
      <c r="F206" t="inlineStr">
        <is>
          <t>Détail de résolution non exceptionnel, bass légèrement soft/smearing, imaging un peu diffus; pas de fonctionnalités modernes</t>
        </is>
      </c>
      <c r="G206" t="n">
        <v>8.4</v>
      </c>
      <c r="H206" t="n">
        <v>7.8</v>
      </c>
      <c r="I206" t="n">
        <v>8.5</v>
      </c>
      <c r="J206" t="n">
        <v>8</v>
      </c>
      <c r="K206" t="n">
        <v>8</v>
      </c>
      <c r="L206" t="n">
        <v>8.9</v>
      </c>
      <c r="M206" t="n">
        <v>8.800000000000001</v>
      </c>
      <c r="N206" t="n">
        <v>7</v>
      </c>
      <c r="O206" t="n">
        <v>7</v>
      </c>
      <c r="P206" t="n">
        <v>8.199999999999999</v>
      </c>
      <c r="Q206">
        <f>IF(COUNT(G206:P206)=10,ROUND((G206*'Pondérations'!$B$5+H206*'Pondérations'!$B$6+I206*'Pondérations'!$B$7+J206*'Pondérations'!$B$8+K206*'Pondérations'!$B$9+L206*'Pondérations'!$B$10+M206*'Pondérations'!$B$11+N206*'Pondérations'!$B$12+O206*'Pondérations'!$B$13+P206*'Pondérations'!$B$14)/'Pondérations'!$B$16,3),"")</f>
        <v/>
      </c>
      <c r="R206">
        <f>IF(Q206="","",1+COUNTIF($Q$7:$Q$210,"&gt;"&amp;Q206)+COUNTIF($Q$7:Q206,Q206)-1)</f>
        <v/>
      </c>
      <c r="V206" t="inlineStr">
        <is>
          <t>Élevée</t>
        </is>
      </c>
      <c r="W206" t="inlineStr">
        <is>
          <t>Ajout catalogue</t>
        </is>
      </c>
      <c r="AF206" t="n">
        <v>150</v>
      </c>
      <c r="AG206" t="inlineStr">
        <is>
          <t>Un R-2R accessible avec un vrai caractère analogique; médiums superbement naturels (voix), aigu doux sans glare; limites : résolution de détail et staging moyens, pas pour les chasseurs de mesures.</t>
        </is>
      </c>
      <c r="AH206" t="inlineStr">
        <is>
          <t>Chaude, organique, analogique</t>
        </is>
      </c>
      <c r="AI206" t="inlineStr">
        <is>
          <t>Staging moyen, imaging un peu diffus</t>
        </is>
      </c>
      <c r="AJ206" t="inlineStr">
        <is>
          <t>Résolution de détail et staging moyens</t>
        </is>
      </c>
      <c r="AK206" t="inlineStr">
        <is>
          <t>https://www.headfonia.com/apos-druid-review/</t>
        </is>
      </c>
      <c r="AL206" t="n">
        <v>2</v>
      </c>
      <c r="AM206" t="inlineStr">
        <is>
          <t>Moyenne — 2 sources</t>
        </is>
      </c>
      <c r="AN206" t="inlineStr">
        <is>
          <t>https://apos.audio/</t>
        </is>
      </c>
      <c r="AQ206" t="inlineStr">
        <is>
          <t>À compléter</t>
        </is>
      </c>
      <c r="AR206" t="inlineStr">
        <is>
          <t>Review éditoriale: 1; Fiche marchand: 1</t>
        </is>
      </c>
    </row>
    <row r="207">
      <c r="A207" t="inlineStr">
        <is>
          <t>EarMen</t>
        </is>
      </c>
      <c r="B207" t="inlineStr">
        <is>
          <t>TR-Amp</t>
        </is>
      </c>
      <c r="C207" t="inlineStr">
        <is>
          <t>DAC/amp portable</t>
        </is>
      </c>
      <c r="D207" t="inlineStr">
        <is>
          <t>Synergie DAC/AMP magique, fond noir silencieux, détail élevé</t>
        </is>
      </c>
      <c r="E207" t="inlineStr">
        <is>
          <t>3-en-1 (DAC/AMP/preamp) à prix raisonnable; ESS ES9038Q2M + TI TPA6120; MQA; batterie 3700mAh (~10h)</t>
        </is>
      </c>
      <c r="F207" t="inlineStr">
        <is>
          <t>400mW@16Ω modeste sur le papier; prix plus élevé que la concurrence (Topping NX4 moins cher)</t>
        </is>
      </c>
      <c r="G207" t="n">
        <v>8.800000000000001</v>
      </c>
      <c r="H207" t="n">
        <v>8.5</v>
      </c>
      <c r="I207" t="n">
        <v>8.300000000000001</v>
      </c>
      <c r="J207" t="n">
        <v>8.199999999999999</v>
      </c>
      <c r="K207" t="n">
        <v>8.300000000000001</v>
      </c>
      <c r="L207" t="n">
        <v>8.5</v>
      </c>
      <c r="M207" t="n">
        <v>8.199999999999999</v>
      </c>
      <c r="N207" t="n">
        <v>8</v>
      </c>
      <c r="O207" t="n">
        <v>8.300000000000001</v>
      </c>
      <c r="P207" t="n">
        <v>8.5</v>
      </c>
      <c r="Q207">
        <f>IF(COUNT(G207:P207)=10,ROUND((G207*'Pondérations'!$B$5+H207*'Pondérations'!$B$6+I207*'Pondérations'!$B$7+J207*'Pondérations'!$B$8+K207*'Pondérations'!$B$9+L207*'Pondérations'!$B$10+M207*'Pondérations'!$B$11+N207*'Pondérations'!$B$12+O207*'Pondérations'!$B$13+P207*'Pondérations'!$B$14)/'Pondérations'!$B$16,3),"")</f>
        <v/>
      </c>
      <c r="R207">
        <f>IF(Q207="","",1+COUNTIF($Q$7:$Q$210,"&gt;"&amp;Q207)+COUNTIF($Q$7:Q207,Q207)-1)</f>
        <v/>
      </c>
      <c r="V207" t="inlineStr">
        <is>
          <t>Élevée</t>
        </is>
      </c>
      <c r="W207" t="inlineStr">
        <is>
          <t>Ajout catalogue</t>
        </is>
      </c>
      <c r="AF207" t="n">
        <v>260</v>
      </c>
      <c r="AG207" t="inlineStr">
        <is>
          <t>Portable DAC/AMP propre, silencieux, qui élève le son des sources moyennes; le DAC est le point fort.</t>
        </is>
      </c>
      <c r="AH207" t="inlineStr">
        <is>
          <t>Neutre-détaillée</t>
        </is>
      </c>
      <c r="AI207" t="inlineStr">
        <is>
          <t>Bonne scène, fond noir</t>
        </is>
      </c>
      <c r="AJ207" t="inlineStr">
        <is>
          <t>Puissance moyenne sur le papier</t>
        </is>
      </c>
      <c r="AK207" t="inlineStr">
        <is>
          <t>https://www.headfonia.com/earmen-tr-amp-review/</t>
        </is>
      </c>
      <c r="AL207" t="n">
        <v>2</v>
      </c>
      <c r="AM207" t="inlineStr">
        <is>
          <t>Moyenne — 2 sources</t>
        </is>
      </c>
      <c r="AN207" t="inlineStr">
        <is>
          <t>https://earmen-shop.com/</t>
        </is>
      </c>
      <c r="AQ207" t="inlineStr">
        <is>
          <t>À compléter</t>
        </is>
      </c>
      <c r="AR207" t="inlineStr">
        <is>
          <t>Review éditoriale: 1; Fiche constructeur: 1</t>
        </is>
      </c>
    </row>
    <row r="208">
      <c r="A208" t="inlineStr">
        <is>
          <t>Radsone</t>
        </is>
      </c>
      <c r="B208" t="inlineStr">
        <is>
          <t>Earstudio HUD100 MK2</t>
        </is>
      </c>
      <c r="C208" t="inlineStr">
        <is>
          <t>Dongle DAC/amp</t>
        </is>
      </c>
      <c r="D208" t="inlineStr">
        <is>
          <t>Le plus linéaire testé, non agressif et non analytique; 3 filtres (Bypass/DCT/Dynamic)</t>
        </is>
      </c>
      <c r="E208" t="inlineStr">
        <is>
          <t>Décathlonien : deux sorties (Standard + High Power 2.26V), pilote le HD600 300Ω, compatibilité PC/Mac/iPhone/Android, très petit, sans batterie à dégrader</t>
        </is>
      </c>
      <c r="F208" t="inlineStr">
        <is>
          <t>Grosse consommation batterie du téléphone; aigu peut devenir pointu à fort volume; sample rate figé à 44.1kHz sur iPhone sans lecteur dédié</t>
        </is>
      </c>
      <c r="G208" t="n">
        <v>8.699999999999999</v>
      </c>
      <c r="H208" t="n">
        <v>8.4</v>
      </c>
      <c r="I208" t="n">
        <v>8.199999999999999</v>
      </c>
      <c r="J208" t="n">
        <v>8</v>
      </c>
      <c r="K208" t="n">
        <v>8.199999999999999</v>
      </c>
      <c r="L208" t="n">
        <v>8.4</v>
      </c>
      <c r="M208" t="n">
        <v>8</v>
      </c>
      <c r="N208" t="n">
        <v>8.300000000000001</v>
      </c>
      <c r="O208" t="n">
        <v>8.5</v>
      </c>
      <c r="P208" t="n">
        <v>8.6</v>
      </c>
      <c r="Q208">
        <f>IF(COUNT(G208:P208)=10,ROUND((G208*'Pondérations'!$B$5+H208*'Pondérations'!$B$6+I208*'Pondérations'!$B$7+J208*'Pondérations'!$B$8+K208*'Pondérations'!$B$9+L208*'Pondérations'!$B$10+M208*'Pondérations'!$B$11+N208*'Pondérations'!$B$12+O208*'Pondérations'!$B$13+P208*'Pondérations'!$B$14)/'Pondérations'!$B$16,3),"")</f>
        <v/>
      </c>
      <c r="R208">
        <f>IF(Q208="","",1+COUNTIF($Q$7:$Q$210,"&gt;"&amp;Q208)+COUNTIF($Q$7:Q208,Q208)-1)</f>
        <v/>
      </c>
      <c r="V208" t="inlineStr">
        <is>
          <t>Élevée</t>
        </is>
      </c>
      <c r="W208" t="inlineStr">
        <is>
          <t>Ajout catalogue</t>
        </is>
      </c>
      <c r="AF208" t="n">
        <v>110</v>
      </c>
      <c r="AG208" t="inlineStr">
        <is>
          <t>Petit, puissant, versatile et fidèle — idéal voyage/desktop restreint; son linéaire et clair, filtres utiles; limites : consomme beaucoup sur mobile et sample rate fixe en mode simple.</t>
        </is>
      </c>
      <c r="AH208" t="inlineStr">
        <is>
          <t>Linéaire, non agressif</t>
        </is>
      </c>
      <c r="AI208" t="inlineStr">
        <is>
          <t>Bonne scène, clarté</t>
        </is>
      </c>
      <c r="AJ208" t="inlineStr">
        <is>
          <t>Consomme beaucoup sur mobile, sample rate fixe en mode simple</t>
        </is>
      </c>
      <c r="AK208" t="inlineStr">
        <is>
          <t>https://www.audioreviews.org/earstudio-hud100-review-jk/</t>
        </is>
      </c>
      <c r="AL208" t="n">
        <v>2</v>
      </c>
      <c r="AM208" t="inlineStr">
        <is>
          <t>Moyenne — 2 sources</t>
        </is>
      </c>
      <c r="AN208" t="inlineStr">
        <is>
          <t>https://www.audiosciencereview.com/forum/index.php?threads/earstudio-hud100-review.12345/</t>
        </is>
      </c>
      <c r="AQ208" t="inlineStr">
        <is>
          <t>À compléter</t>
        </is>
      </c>
      <c r="AR208" t="inlineStr">
        <is>
          <t>Review éditoriale: 1; Mesures: 1</t>
        </is>
      </c>
    </row>
    <row r="209">
      <c r="A209" t="inlineStr">
        <is>
          <t>iKKO</t>
        </is>
      </c>
      <c r="B209" t="inlineStr">
        <is>
          <t>Heimdalir ITB03</t>
        </is>
      </c>
      <c r="C209" t="inlineStr">
        <is>
          <t>BT DAC/amp</t>
        </is>
      </c>
      <c r="D209" t="inlineStr">
        <is>
          <t>Warm-neutre, inoffensif, agréable avec tous IEM</t>
        </is>
      </c>
      <c r="E209" t="inlineStr">
        <is>
          <t>Esthétique réussie (verre+métal, écran OLED), double DAC AK4377, sortie 4.4mm bal, LDAC/aptX-HD, 4 filtres et 4 profils sonores, 4.4mm bal délivre une bonne puissance</t>
        </is>
      </c>
      <c r="F209" t="inlineStr">
        <is>
          <t>Sortie SE anémique (peu utile), pas d'app companion, UX confuse, dynamique macro un peu plate, process firmware alambiqué</t>
        </is>
      </c>
      <c r="G209" t="n">
        <v>8.199999999999999</v>
      </c>
      <c r="H209" t="n">
        <v>7.8</v>
      </c>
      <c r="I209" t="n">
        <v>7.5</v>
      </c>
      <c r="J209" t="n">
        <v>7.6</v>
      </c>
      <c r="K209" t="n">
        <v>7.7</v>
      </c>
      <c r="L209" t="n">
        <v>7.9</v>
      </c>
      <c r="M209" t="n">
        <v>7.4</v>
      </c>
      <c r="N209" t="n">
        <v>8</v>
      </c>
      <c r="O209" t="n">
        <v>8.199999999999999</v>
      </c>
      <c r="P209" t="n">
        <v>7.6</v>
      </c>
      <c r="Q209">
        <f>IF(COUNT(G209:P209)=10,ROUND((G209*'Pondérations'!$B$5+H209*'Pondérations'!$B$6+I209*'Pondérations'!$B$7+J209*'Pondérations'!$B$8+K209*'Pondérations'!$B$9+L209*'Pondérations'!$B$10+M209*'Pondérations'!$B$11+N209*'Pondérations'!$B$12+O209*'Pondérations'!$B$13+P209*'Pondérations'!$B$14)/'Pondérations'!$B$16,3),"")</f>
        <v/>
      </c>
      <c r="R209">
        <f>IF(Q209="","",1+COUNTIF($Q$7:$Q$210,"&gt;"&amp;Q209)+COUNTIF($Q$7:Q209,Q209)-1)</f>
        <v/>
      </c>
      <c r="V209" t="inlineStr">
        <is>
          <t>Élevée</t>
        </is>
      </c>
      <c r="W209" t="inlineStr">
        <is>
          <t>Ajout catalogue</t>
        </is>
      </c>
      <c r="AF209" t="n">
        <v>138</v>
      </c>
      <c r="AG209" t="inlineStr">
        <is>
          <t>Bon premier essai BT DAC/amp, son doux et stable sans hiss, bonne autonomie; limites : SE inutile, UX et firmware bruts, manque de punch macro.</t>
        </is>
      </c>
      <c r="AH209" t="inlineStr">
        <is>
          <t>Warm-neutre, inoffensif</t>
        </is>
      </c>
      <c r="AI209" t="inlineStr">
        <is>
          <t>Scène correcte, dynamique macro un peu plate</t>
        </is>
      </c>
      <c r="AJ209" t="inlineStr">
        <is>
          <t>Sortie SE anémique, UX confuse, firmware alambiqué</t>
        </is>
      </c>
      <c r="AK209" t="inlineStr">
        <is>
          <t>https://www.audioreviews.org/ikko-itb03-review-kazi/</t>
        </is>
      </c>
      <c r="AL209" t="n">
        <v>2</v>
      </c>
      <c r="AM209" t="inlineStr">
        <is>
          <t>Moyenne — 2 sources</t>
        </is>
      </c>
      <c r="AN209" t="inlineStr">
        <is>
          <t>https://www.ikkoaudio.com/</t>
        </is>
      </c>
      <c r="AQ209" t="inlineStr">
        <is>
          <t>À compléter</t>
        </is>
      </c>
      <c r="AR209" t="inlineStr">
        <is>
          <t>Review éditoriale: 1; Fiche constructeur: 1</t>
        </is>
      </c>
    </row>
    <row r="210">
      <c r="A210" t="inlineStr">
        <is>
          <t>TimeEar</t>
        </is>
      </c>
      <c r="B210" t="inlineStr">
        <is>
          <t>BTE-9</t>
        </is>
      </c>
      <c r="C210" t="inlineStr">
        <is>
          <t>BT DAC/amp</t>
        </is>
      </c>
      <c r="D210" t="inlineStr">
        <is>
          <t>Neutre-crisp, légèrement bright, très détaillé, parfait rock/metal/EDM; bass tight</t>
        </is>
      </c>
      <c r="E210" t="inlineStr">
        <is>
          <t>$79, double DAC CS43198, sorties 3.5mm SE (100mW) + 4.4mm bal (240mW), autonomie 12-18.5h, LDAC/aptX HD/aptX LL, micro pour appels</t>
        </is>
      </c>
      <c r="F210" t="inlineStr">
        <is>
          <t>Son en BT plus compressé qu'en USB; pas assez de puissance pour casques difficiles; boutons lents à répondre; charge lente</t>
        </is>
      </c>
      <c r="G210" t="n">
        <v>8.300000000000001</v>
      </c>
      <c r="H210" t="n">
        <v>8.300000000000001</v>
      </c>
      <c r="I210" t="n">
        <v>8</v>
      </c>
      <c r="J210" t="n">
        <v>7.9</v>
      </c>
      <c r="K210" t="n">
        <v>8</v>
      </c>
      <c r="L210" t="n">
        <v>8.199999999999999</v>
      </c>
      <c r="M210" t="n">
        <v>8</v>
      </c>
      <c r="N210" t="n">
        <v>8.1</v>
      </c>
      <c r="O210" t="n">
        <v>8.800000000000001</v>
      </c>
      <c r="P210" t="n">
        <v>8.4</v>
      </c>
      <c r="Q210">
        <f>IF(COUNT(G210:P210)=10,ROUND((G210*'Pondérations'!$B$5+H210*'Pondérations'!$B$6+I210*'Pondérations'!$B$7+J210*'Pondérations'!$B$8+K210*'Pondérations'!$B$9+L210*'Pondérations'!$B$10+M210*'Pondérations'!$B$11+N210*'Pondérations'!$B$12+O210*'Pondérations'!$B$13+P210*'Pondérations'!$B$14)/'Pondérations'!$B$16,3),"")</f>
        <v/>
      </c>
      <c r="R210">
        <f>IF(Q210="","",1+COUNTIF($Q$7:$Q$210,"&gt;"&amp;Q210)+COUNTIF($Q$7:Q210,Q210)-1)</f>
        <v/>
      </c>
      <c r="V210" t="inlineStr">
        <is>
          <t>Élevée</t>
        </is>
      </c>
      <c r="W210" t="inlineStr">
        <is>
          <t>Ajout catalogue</t>
        </is>
      </c>
      <c r="AF210" t="n">
        <v>73</v>
      </c>
      <c r="AG210" t="inlineStr">
        <is>
          <t>Surprend par son rapport prix/qualité — DAC/amp BT incisif, détaillé, sans bruit de fond, très portable; limites : puissance pour casques seulement, BT &lt; USB.</t>
        </is>
      </c>
      <c r="AH210" t="inlineStr">
        <is>
          <t>Neutre-crisp, légèrement bright</t>
        </is>
      </c>
      <c r="AI210" t="inlineStr">
        <is>
          <t>Bonne scène, détail élevé</t>
        </is>
      </c>
      <c r="AJ210" t="inlineStr">
        <is>
          <t>Puissance pour casques seulement, BT &lt; USB</t>
        </is>
      </c>
      <c r="AK210" t="inlineStr">
        <is>
          <t>https://moonstarreviews.net/timeear-bte-9-review/</t>
        </is>
      </c>
      <c r="AL210" t="n">
        <v>2</v>
      </c>
      <c r="AM210" t="inlineStr">
        <is>
          <t>Moyenne — 2 sources</t>
        </is>
      </c>
      <c r="AN210" t="inlineStr">
        <is>
          <t>https://timeear.com/</t>
        </is>
      </c>
      <c r="AQ210" t="inlineStr">
        <is>
          <t>À compléter</t>
        </is>
      </c>
      <c r="AR210" t="inlineStr">
        <is>
          <t>Review éditoriale: 1; Fiche constructeur: 1</t>
        </is>
      </c>
    </row>
  </sheetData>
  <autoFilter ref="A4:AR178"/>
  <mergeCells count="8">
    <mergeCell ref="AG3:AR3"/>
    <mergeCell ref="Q3:R3"/>
    <mergeCell ref="A2:AR2"/>
    <mergeCell ref="G3:P3"/>
    <mergeCell ref="A1:AR1"/>
    <mergeCell ref="A3:F3"/>
    <mergeCell ref="X3:AE3"/>
    <mergeCell ref="S3:W3"/>
  </mergeCells>
  <hyperlinks>
    <hyperlink xmlns:r="http://schemas.openxmlformats.org/officeDocument/2006/relationships" ref="AB7" r:id="rId1"/>
    <hyperlink xmlns:r="http://schemas.openxmlformats.org/officeDocument/2006/relationships" ref="AB9" r:id="rId2"/>
    <hyperlink xmlns:r="http://schemas.openxmlformats.org/officeDocument/2006/relationships" ref="AB11" r:id="rId3"/>
    <hyperlink xmlns:r="http://schemas.openxmlformats.org/officeDocument/2006/relationships" ref="AB12" r:id="rId4"/>
    <hyperlink xmlns:r="http://schemas.openxmlformats.org/officeDocument/2006/relationships" ref="AB13" r:id="rId5"/>
    <hyperlink xmlns:r="http://schemas.openxmlformats.org/officeDocument/2006/relationships" ref="AB15" r:id="rId6"/>
    <hyperlink xmlns:r="http://schemas.openxmlformats.org/officeDocument/2006/relationships" ref="AB18" r:id="rId7"/>
    <hyperlink xmlns:r="http://schemas.openxmlformats.org/officeDocument/2006/relationships" ref="AB19" r:id="rId8"/>
    <hyperlink xmlns:r="http://schemas.openxmlformats.org/officeDocument/2006/relationships" ref="AB21" r:id="rId9"/>
    <hyperlink xmlns:r="http://schemas.openxmlformats.org/officeDocument/2006/relationships" ref="AB22" r:id="rId10"/>
    <hyperlink xmlns:r="http://schemas.openxmlformats.org/officeDocument/2006/relationships" ref="AB24" r:id="rId11"/>
    <hyperlink xmlns:r="http://schemas.openxmlformats.org/officeDocument/2006/relationships" ref="AB25" r:id="rId12"/>
    <hyperlink xmlns:r="http://schemas.openxmlformats.org/officeDocument/2006/relationships" ref="AB26" r:id="rId13"/>
    <hyperlink xmlns:r="http://schemas.openxmlformats.org/officeDocument/2006/relationships" ref="AB29" r:id="rId14"/>
    <hyperlink xmlns:r="http://schemas.openxmlformats.org/officeDocument/2006/relationships" ref="AB31" r:id="rId15"/>
    <hyperlink xmlns:r="http://schemas.openxmlformats.org/officeDocument/2006/relationships" ref="AB32" r:id="rId16"/>
    <hyperlink xmlns:r="http://schemas.openxmlformats.org/officeDocument/2006/relationships" ref="AB33" r:id="rId17"/>
    <hyperlink xmlns:r="http://schemas.openxmlformats.org/officeDocument/2006/relationships" ref="AB34" r:id="rId18"/>
    <hyperlink xmlns:r="http://schemas.openxmlformats.org/officeDocument/2006/relationships" ref="AB35" r:id="rId19"/>
    <hyperlink xmlns:r="http://schemas.openxmlformats.org/officeDocument/2006/relationships" ref="AB36" r:id="rId20"/>
    <hyperlink xmlns:r="http://schemas.openxmlformats.org/officeDocument/2006/relationships" ref="AB37" r:id="rId21"/>
    <hyperlink xmlns:r="http://schemas.openxmlformats.org/officeDocument/2006/relationships" ref="AB38" r:id="rId22"/>
    <hyperlink xmlns:r="http://schemas.openxmlformats.org/officeDocument/2006/relationships" ref="AB39" r:id="rId23"/>
    <hyperlink xmlns:r="http://schemas.openxmlformats.org/officeDocument/2006/relationships" ref="AB40" r:id="rId24"/>
    <hyperlink xmlns:r="http://schemas.openxmlformats.org/officeDocument/2006/relationships" ref="AB41" r:id="rId25"/>
    <hyperlink xmlns:r="http://schemas.openxmlformats.org/officeDocument/2006/relationships" ref="AB42" r:id="rId26"/>
    <hyperlink xmlns:r="http://schemas.openxmlformats.org/officeDocument/2006/relationships" ref="AB43" r:id="rId27"/>
    <hyperlink xmlns:r="http://schemas.openxmlformats.org/officeDocument/2006/relationships" ref="AB44" r:id="rId28"/>
    <hyperlink xmlns:r="http://schemas.openxmlformats.org/officeDocument/2006/relationships" ref="AB45" r:id="rId29"/>
    <hyperlink xmlns:r="http://schemas.openxmlformats.org/officeDocument/2006/relationships" ref="AB46" r:id="rId30"/>
    <hyperlink xmlns:r="http://schemas.openxmlformats.org/officeDocument/2006/relationships" ref="AB47" r:id="rId31"/>
    <hyperlink xmlns:r="http://schemas.openxmlformats.org/officeDocument/2006/relationships" ref="AB48" r:id="rId32"/>
    <hyperlink xmlns:r="http://schemas.openxmlformats.org/officeDocument/2006/relationships" ref="AB49" r:id="rId33"/>
    <hyperlink xmlns:r="http://schemas.openxmlformats.org/officeDocument/2006/relationships" ref="AB50" r:id="rId34"/>
    <hyperlink xmlns:r="http://schemas.openxmlformats.org/officeDocument/2006/relationships" ref="AB51" r:id="rId35"/>
    <hyperlink xmlns:r="http://schemas.openxmlformats.org/officeDocument/2006/relationships" ref="AB52" r:id="rId36"/>
    <hyperlink xmlns:r="http://schemas.openxmlformats.org/officeDocument/2006/relationships" ref="AB53" r:id="rId37"/>
    <hyperlink xmlns:r="http://schemas.openxmlformats.org/officeDocument/2006/relationships" ref="AB54" r:id="rId38"/>
    <hyperlink xmlns:r="http://schemas.openxmlformats.org/officeDocument/2006/relationships" ref="AB55" r:id="rId39"/>
    <hyperlink xmlns:r="http://schemas.openxmlformats.org/officeDocument/2006/relationships" ref="AB56" r:id="rId40"/>
    <hyperlink xmlns:r="http://schemas.openxmlformats.org/officeDocument/2006/relationships" ref="AB57" r:id="rId41"/>
    <hyperlink xmlns:r="http://schemas.openxmlformats.org/officeDocument/2006/relationships" ref="AB58" r:id="rId42"/>
    <hyperlink xmlns:r="http://schemas.openxmlformats.org/officeDocument/2006/relationships" ref="AB59" r:id="rId43"/>
    <hyperlink xmlns:r="http://schemas.openxmlformats.org/officeDocument/2006/relationships" ref="AB60" r:id="rId44"/>
    <hyperlink xmlns:r="http://schemas.openxmlformats.org/officeDocument/2006/relationships" ref="AB61" r:id="rId45"/>
    <hyperlink xmlns:r="http://schemas.openxmlformats.org/officeDocument/2006/relationships" ref="AB62" r:id="rId46"/>
    <hyperlink xmlns:r="http://schemas.openxmlformats.org/officeDocument/2006/relationships" ref="AB63" r:id="rId47"/>
    <hyperlink xmlns:r="http://schemas.openxmlformats.org/officeDocument/2006/relationships" ref="AB64" r:id="rId48"/>
    <hyperlink xmlns:r="http://schemas.openxmlformats.org/officeDocument/2006/relationships" ref="AB65" r:id="rId49"/>
    <hyperlink xmlns:r="http://schemas.openxmlformats.org/officeDocument/2006/relationships" ref="AB66" r:id="rId50"/>
    <hyperlink xmlns:r="http://schemas.openxmlformats.org/officeDocument/2006/relationships" ref="AB67" r:id="rId51"/>
    <hyperlink xmlns:r="http://schemas.openxmlformats.org/officeDocument/2006/relationships" ref="AB68" r:id="rId52"/>
    <hyperlink xmlns:r="http://schemas.openxmlformats.org/officeDocument/2006/relationships" ref="AB69" r:id="rId53"/>
    <hyperlink xmlns:r="http://schemas.openxmlformats.org/officeDocument/2006/relationships" ref="AB70" r:id="rId54"/>
    <hyperlink xmlns:r="http://schemas.openxmlformats.org/officeDocument/2006/relationships" ref="AB71" r:id="rId55"/>
    <hyperlink xmlns:r="http://schemas.openxmlformats.org/officeDocument/2006/relationships" ref="AB72" r:id="rId56"/>
    <hyperlink xmlns:r="http://schemas.openxmlformats.org/officeDocument/2006/relationships" ref="AB73" r:id="rId57"/>
    <hyperlink xmlns:r="http://schemas.openxmlformats.org/officeDocument/2006/relationships" ref="AB74" r:id="rId58"/>
    <hyperlink xmlns:r="http://schemas.openxmlformats.org/officeDocument/2006/relationships" ref="AB75" r:id="rId59"/>
    <hyperlink xmlns:r="http://schemas.openxmlformats.org/officeDocument/2006/relationships" ref="AB76" r:id="rId60"/>
    <hyperlink xmlns:r="http://schemas.openxmlformats.org/officeDocument/2006/relationships" ref="AB77" r:id="rId61"/>
    <hyperlink xmlns:r="http://schemas.openxmlformats.org/officeDocument/2006/relationships" ref="AB78" r:id="rId62"/>
    <hyperlink xmlns:r="http://schemas.openxmlformats.org/officeDocument/2006/relationships" ref="AB79" r:id="rId63"/>
    <hyperlink xmlns:r="http://schemas.openxmlformats.org/officeDocument/2006/relationships" ref="AB80" r:id="rId64"/>
    <hyperlink xmlns:r="http://schemas.openxmlformats.org/officeDocument/2006/relationships" ref="AB81" r:id="rId65"/>
    <hyperlink xmlns:r="http://schemas.openxmlformats.org/officeDocument/2006/relationships" ref="AB82" r:id="rId66"/>
    <hyperlink xmlns:r="http://schemas.openxmlformats.org/officeDocument/2006/relationships" ref="AB83" r:id="rId67"/>
    <hyperlink xmlns:r="http://schemas.openxmlformats.org/officeDocument/2006/relationships" ref="AB84" r:id="rId68"/>
    <hyperlink xmlns:r="http://schemas.openxmlformats.org/officeDocument/2006/relationships" ref="AB85" r:id="rId69"/>
    <hyperlink xmlns:r="http://schemas.openxmlformats.org/officeDocument/2006/relationships" ref="AB86" r:id="rId70"/>
    <hyperlink xmlns:r="http://schemas.openxmlformats.org/officeDocument/2006/relationships" ref="AB87" r:id="rId71"/>
    <hyperlink xmlns:r="http://schemas.openxmlformats.org/officeDocument/2006/relationships" ref="AB88" r:id="rId72"/>
    <hyperlink xmlns:r="http://schemas.openxmlformats.org/officeDocument/2006/relationships" ref="AB89" r:id="rId73"/>
    <hyperlink xmlns:r="http://schemas.openxmlformats.org/officeDocument/2006/relationships" ref="AB90" r:id="rId74"/>
    <hyperlink xmlns:r="http://schemas.openxmlformats.org/officeDocument/2006/relationships" ref="AB91" r:id="rId75"/>
    <hyperlink xmlns:r="http://schemas.openxmlformats.org/officeDocument/2006/relationships" ref="AB92" r:id="rId76"/>
    <hyperlink xmlns:r="http://schemas.openxmlformats.org/officeDocument/2006/relationships" ref="AB93" r:id="rId77"/>
    <hyperlink xmlns:r="http://schemas.openxmlformats.org/officeDocument/2006/relationships" ref="AB94" r:id="rId78"/>
    <hyperlink xmlns:r="http://schemas.openxmlformats.org/officeDocument/2006/relationships" ref="AB95" r:id="rId79"/>
    <hyperlink xmlns:r="http://schemas.openxmlformats.org/officeDocument/2006/relationships" ref="AB96" r:id="rId80"/>
    <hyperlink xmlns:r="http://schemas.openxmlformats.org/officeDocument/2006/relationships" ref="AB97" r:id="rId81"/>
    <hyperlink xmlns:r="http://schemas.openxmlformats.org/officeDocument/2006/relationships" ref="AB98" r:id="rId82"/>
    <hyperlink xmlns:r="http://schemas.openxmlformats.org/officeDocument/2006/relationships" ref="AB99" r:id="rId83"/>
    <hyperlink xmlns:r="http://schemas.openxmlformats.org/officeDocument/2006/relationships" ref="AB100" r:id="rId84"/>
    <hyperlink xmlns:r="http://schemas.openxmlformats.org/officeDocument/2006/relationships" ref="AB101" r:id="rId85"/>
    <hyperlink xmlns:r="http://schemas.openxmlformats.org/officeDocument/2006/relationships" ref="AB102" r:id="rId86"/>
    <hyperlink xmlns:r="http://schemas.openxmlformats.org/officeDocument/2006/relationships" ref="AB103" r:id="rId87"/>
    <hyperlink xmlns:r="http://schemas.openxmlformats.org/officeDocument/2006/relationships" ref="AB104" r:id="rId88"/>
    <hyperlink xmlns:r="http://schemas.openxmlformats.org/officeDocument/2006/relationships" ref="AB105" r:id="rId89"/>
    <hyperlink xmlns:r="http://schemas.openxmlformats.org/officeDocument/2006/relationships" ref="AB106" r:id="rId90"/>
    <hyperlink xmlns:r="http://schemas.openxmlformats.org/officeDocument/2006/relationships" ref="AB107" r:id="rId91"/>
    <hyperlink xmlns:r="http://schemas.openxmlformats.org/officeDocument/2006/relationships" ref="AB108" r:id="rId92"/>
    <hyperlink xmlns:r="http://schemas.openxmlformats.org/officeDocument/2006/relationships" ref="AB109" r:id="rId93"/>
    <hyperlink xmlns:r="http://schemas.openxmlformats.org/officeDocument/2006/relationships" ref="AB110" r:id="rId94"/>
    <hyperlink xmlns:r="http://schemas.openxmlformats.org/officeDocument/2006/relationships" ref="AB111" r:id="rId95"/>
    <hyperlink xmlns:r="http://schemas.openxmlformats.org/officeDocument/2006/relationships" ref="AB112" r:id="rId96"/>
    <hyperlink xmlns:r="http://schemas.openxmlformats.org/officeDocument/2006/relationships" ref="AB113" r:id="rId97"/>
    <hyperlink xmlns:r="http://schemas.openxmlformats.org/officeDocument/2006/relationships" ref="AB114" r:id="rId98"/>
    <hyperlink xmlns:r="http://schemas.openxmlformats.org/officeDocument/2006/relationships" ref="AB115" r:id="rId99"/>
    <hyperlink xmlns:r="http://schemas.openxmlformats.org/officeDocument/2006/relationships" ref="AB116" r:id="rId100"/>
    <hyperlink xmlns:r="http://schemas.openxmlformats.org/officeDocument/2006/relationships" ref="AB117" r:id="rId101"/>
    <hyperlink xmlns:r="http://schemas.openxmlformats.org/officeDocument/2006/relationships" ref="AB118" r:id="rId102"/>
    <hyperlink xmlns:r="http://schemas.openxmlformats.org/officeDocument/2006/relationships" ref="AB119" r:id="rId103"/>
    <hyperlink xmlns:r="http://schemas.openxmlformats.org/officeDocument/2006/relationships" ref="AB120" r:id="rId104"/>
    <hyperlink xmlns:r="http://schemas.openxmlformats.org/officeDocument/2006/relationships" ref="AB121" r:id="rId105"/>
    <hyperlink xmlns:r="http://schemas.openxmlformats.org/officeDocument/2006/relationships" ref="AB122" r:id="rId106"/>
    <hyperlink xmlns:r="http://schemas.openxmlformats.org/officeDocument/2006/relationships" ref="AB123" r:id="rId107"/>
    <hyperlink xmlns:r="http://schemas.openxmlformats.org/officeDocument/2006/relationships" ref="AB124" r:id="rId108"/>
    <hyperlink xmlns:r="http://schemas.openxmlformats.org/officeDocument/2006/relationships" ref="AB125" r:id="rId109"/>
    <hyperlink xmlns:r="http://schemas.openxmlformats.org/officeDocument/2006/relationships" ref="AB126" r:id="rId110"/>
    <hyperlink xmlns:r="http://schemas.openxmlformats.org/officeDocument/2006/relationships" ref="AB127" r:id="rId111"/>
    <hyperlink xmlns:r="http://schemas.openxmlformats.org/officeDocument/2006/relationships" ref="AB128" r:id="rId112"/>
    <hyperlink xmlns:r="http://schemas.openxmlformats.org/officeDocument/2006/relationships" ref="AB129" r:id="rId113"/>
    <hyperlink xmlns:r="http://schemas.openxmlformats.org/officeDocument/2006/relationships" ref="AB130" r:id="rId114"/>
    <hyperlink xmlns:r="http://schemas.openxmlformats.org/officeDocument/2006/relationships" ref="AB131" r:id="rId115"/>
    <hyperlink xmlns:r="http://schemas.openxmlformats.org/officeDocument/2006/relationships" ref="AB132" r:id="rId116"/>
    <hyperlink xmlns:r="http://schemas.openxmlformats.org/officeDocument/2006/relationships" ref="AB133" r:id="rId117"/>
    <hyperlink xmlns:r="http://schemas.openxmlformats.org/officeDocument/2006/relationships" ref="AB134" r:id="rId118"/>
    <hyperlink xmlns:r="http://schemas.openxmlformats.org/officeDocument/2006/relationships" ref="AB135" r:id="rId119"/>
    <hyperlink xmlns:r="http://schemas.openxmlformats.org/officeDocument/2006/relationships" ref="AB136" r:id="rId120"/>
    <hyperlink xmlns:r="http://schemas.openxmlformats.org/officeDocument/2006/relationships" ref="AB137" r:id="rId121"/>
    <hyperlink xmlns:r="http://schemas.openxmlformats.org/officeDocument/2006/relationships" ref="AB138" r:id="rId122"/>
    <hyperlink xmlns:r="http://schemas.openxmlformats.org/officeDocument/2006/relationships" ref="AB139" r:id="rId123"/>
    <hyperlink xmlns:r="http://schemas.openxmlformats.org/officeDocument/2006/relationships" ref="AB140" r:id="rId124"/>
    <hyperlink xmlns:r="http://schemas.openxmlformats.org/officeDocument/2006/relationships" ref="AB141" r:id="rId125"/>
    <hyperlink xmlns:r="http://schemas.openxmlformats.org/officeDocument/2006/relationships" ref="AB142" r:id="rId126"/>
    <hyperlink xmlns:r="http://schemas.openxmlformats.org/officeDocument/2006/relationships" ref="AB143" r:id="rId127"/>
    <hyperlink xmlns:r="http://schemas.openxmlformats.org/officeDocument/2006/relationships" ref="AB144" r:id="rId128"/>
    <hyperlink xmlns:r="http://schemas.openxmlformats.org/officeDocument/2006/relationships" ref="AB145" r:id="rId129"/>
    <hyperlink xmlns:r="http://schemas.openxmlformats.org/officeDocument/2006/relationships" ref="AB146" r:id="rId130"/>
    <hyperlink xmlns:r="http://schemas.openxmlformats.org/officeDocument/2006/relationships" ref="AB147" r:id="rId131"/>
    <hyperlink xmlns:r="http://schemas.openxmlformats.org/officeDocument/2006/relationships" ref="AB148" r:id="rId132"/>
    <hyperlink xmlns:r="http://schemas.openxmlformats.org/officeDocument/2006/relationships" ref="AB149" r:id="rId133"/>
    <hyperlink xmlns:r="http://schemas.openxmlformats.org/officeDocument/2006/relationships" ref="AB150" r:id="rId134"/>
    <hyperlink xmlns:r="http://schemas.openxmlformats.org/officeDocument/2006/relationships" ref="AB151" r:id="rId135"/>
    <hyperlink xmlns:r="http://schemas.openxmlformats.org/officeDocument/2006/relationships" ref="AB152" r:id="rId136"/>
    <hyperlink xmlns:r="http://schemas.openxmlformats.org/officeDocument/2006/relationships" ref="AB153" r:id="rId137"/>
    <hyperlink xmlns:r="http://schemas.openxmlformats.org/officeDocument/2006/relationships" ref="AB154" r:id="rId138"/>
    <hyperlink xmlns:r="http://schemas.openxmlformats.org/officeDocument/2006/relationships" ref="AB155" r:id="rId139"/>
    <hyperlink xmlns:r="http://schemas.openxmlformats.org/officeDocument/2006/relationships" ref="AB156" r:id="rId1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211"/>
  <sheetViews>
    <sheetView showGridLines="0" workbookViewId="0">
      <pane ySplit="4" topLeftCell="A5" activePane="bottomLeft" state="frozen"/>
      <selection pane="bottomLeft" activeCell="A1" sqref="A1"/>
      <selection pane="bottomLeft" activeCell="A1" sqref="A1"/>
      <selection pane="bottomRight" activeCell="A1" sqref="A1"/>
    </sheetView>
  </sheetViews>
  <sheetFormatPr baseColWidth="8" defaultRowHeight="15"/>
  <cols>
    <col width="16" customWidth="1" min="1" max="1"/>
    <col width="20" customWidth="1" min="2" max="2"/>
    <col width="40" customWidth="1" min="3" max="3"/>
    <col width="12" customWidth="1" min="4" max="4"/>
    <col width="16" customWidth="1" min="5" max="5"/>
    <col width="12" customWidth="1" min="6" max="6"/>
    <col width="12" customWidth="1" min="7" max="7"/>
    <col width="12" customWidth="1" min="8" max="8"/>
    <col width="12" customWidth="1" min="9" max="9"/>
    <col width="12" customWidth="1" min="10" max="10"/>
    <col width="12" customWidth="1" min="11" max="11"/>
    <col width="34" customWidth="1" min="12" max="12"/>
    <col width="14" customWidth="1" min="13" max="13"/>
    <col width="20" customWidth="1" min="14" max="14"/>
    <col width="15" customWidth="1" min="15" max="15"/>
    <col width="10" customWidth="1" min="16" max="16"/>
    <col width="46" customWidth="1" min="17" max="17"/>
    <col width="48" customWidth="1" min="18" max="18"/>
    <col width="19" customWidth="1" min="19" max="19"/>
    <col width="31" customWidth="1" min="20" max="20"/>
    <col width="21" customWidth="1" min="21" max="21"/>
    <col width="17" customWidth="1" min="22" max="22"/>
    <col width="55" customWidth="1" min="23" max="23"/>
    <col width="20" customWidth="1" min="24" max="24"/>
  </cols>
  <sheetData>
    <row r="1" ht="28" customHeight="1">
      <c r="A1" s="188" t="inlineStr">
        <is>
          <t>Colonnes D à K : vérification unitaire sur sources primaires, 2026-08-10. Une cellule remplie = valeur attestée par une source ouverte et citée (voir feuille « Sources technique »). Une cellule VIDE = non vérifiable avec certitude, ce n’est pas un « non ». Les remplissages automatiques antérieurs de F-K ont été effacés.</t>
        </is>
      </c>
    </row>
    <row r="2" ht="34" customHeight="1">
      <c r="A2" s="19" t="inlineStr">
        <is>
          <t>Données techniques, prix indicatifs et sources</t>
        </is>
      </c>
    </row>
    <row r="3">
      <c r="A3" s="2" t="inlineStr">
        <is>
          <t>Un repère de prix par produit. Les prix déjà consolidés sont conservés; les compléments utilisent un prix européen direct quand disponible, sinon un MSRP/prix de lancement converti en euros au taux ECB du 29/07/2026. Source et devise d’origine : commentaire de la cellule prix.</t>
        </is>
      </c>
    </row>
    <row r="5" ht="50" customHeight="1">
      <c r="A5" s="3" t="inlineStr">
        <is>
          <t>Marque</t>
        </is>
      </c>
      <c r="B5" s="3" t="inlineStr">
        <is>
          <t>Modèle</t>
        </is>
      </c>
      <c r="C5" s="3" t="inlineStr">
        <is>
          <t>Architecture / DAC</t>
        </is>
      </c>
      <c r="D5" s="3" t="inlineStr">
        <is>
          <t>Batterie</t>
        </is>
      </c>
      <c r="E5" s="3" t="inlineStr">
        <is>
          <t>Bluetooth</t>
        </is>
      </c>
      <c r="F5" s="186" t="inlineStr">
        <is>
          <t>Sortie 3.5mm</t>
        </is>
      </c>
      <c r="G5" s="186" t="inlineStr">
        <is>
          <t>Sortie 4.4mm</t>
        </is>
      </c>
      <c r="H5" s="186" t="inlineStr">
        <is>
          <t>Sortie 2.5mm</t>
        </is>
      </c>
      <c r="I5" s="186" t="inlineStr">
        <is>
          <t>Sortie 6.35mm</t>
        </is>
      </c>
      <c r="J5" s="186" t="inlineStr">
        <is>
          <t>Sortie XLR</t>
        </is>
      </c>
      <c r="K5" s="186" t="inlineStr">
        <is>
          <t>DSP / PEQ</t>
        </is>
      </c>
      <c r="L5" s="3" t="inlineStr">
        <is>
          <t>Puissance discutée</t>
        </is>
      </c>
      <c r="M5" s="3" t="inlineStr">
        <is>
          <t>Prix moyen / MSRP (≈€)</t>
        </is>
      </c>
      <c r="N5" s="3" t="inlineStr">
        <is>
          <t>Type</t>
        </is>
      </c>
      <c r="O5" s="3" t="inlineStr">
        <is>
          <t>Confiance</t>
        </is>
      </c>
      <c r="P5" s="3" t="inlineStr">
        <is>
          <t>Source URL</t>
        </is>
      </c>
      <c r="Q5" s="3" t="inlineStr">
        <is>
          <t>Profil sonore</t>
        </is>
      </c>
      <c r="R5" s="3" t="inlineStr">
        <is>
          <t>Rôle conseillé</t>
        </is>
      </c>
      <c r="S5" s="3" t="inlineStr">
        <is>
          <t>Score HF</t>
        </is>
      </c>
      <c r="T5" s="3" t="inlineStr">
        <is>
          <t>Type score HF</t>
        </is>
      </c>
      <c r="U5" s="3" t="inlineStr">
        <is>
          <t>Date review HF</t>
        </is>
      </c>
      <c r="V5" s="3" t="inlineStr">
        <is>
          <t>Page HF</t>
        </is>
      </c>
      <c r="W5" s="3" t="inlineStr">
        <is>
          <t>Lien Headfonics</t>
        </is>
      </c>
      <c r="X5" s="3" t="inlineStr">
        <is>
          <t>Résumé HF</t>
        </is>
      </c>
    </row>
    <row r="6" ht="50" customHeight="1">
      <c r="A6" s="6" t="inlineStr">
        <is>
          <t>Cayin</t>
        </is>
      </c>
      <c r="B6" s="6" t="inlineStr">
        <is>
          <t>N7</t>
        </is>
      </c>
      <c r="C6" s="6" t="inlineStr">
        <is>
          <t>DAC 1-bit discret, classe A/AB</t>
        </is>
      </c>
      <c r="D6" s="189" t="inlineStr">
        <is>
          <t>Oui</t>
        </is>
      </c>
      <c r="E6" s="189" t="inlineStr">
        <is>
          <t>Oui</t>
        </is>
      </c>
      <c r="F6" s="190" t="inlineStr">
        <is>
          <t>Oui</t>
        </is>
      </c>
      <c r="G6" s="190" t="inlineStr">
        <is>
          <t>Oui</t>
        </is>
      </c>
      <c r="H6" s="190" t="inlineStr">
        <is>
          <t>Non</t>
        </is>
      </c>
      <c r="I6" s="190" t="inlineStr">
        <is>
          <t>Non</t>
        </is>
      </c>
      <c r="J6" s="190" t="inlineStr">
        <is>
          <t>Non</t>
        </is>
      </c>
      <c r="K6" s="187" t="inlineStr">
        <is>
          <t>Non</t>
        </is>
      </c>
      <c r="L6" s="6" t="inlineStr">
        <is>
          <t>DAP — puissance modérée</t>
        </is>
      </c>
      <c r="M6" s="142" t="n">
        <v>1757</v>
      </c>
      <c r="N6" s="6" t="inlineStr">
        <is>
          <t>DAP / référence</t>
        </is>
      </c>
      <c r="O6" s="6" t="inlineStr">
        <is>
          <t>Élevée</t>
        </is>
      </c>
      <c r="P6" s="20" t="inlineStr">
        <is>
          <t>https://en.cayin.cn/features/7/15/592.html</t>
        </is>
      </c>
      <c r="Q6" s="6" t="inlineStr">
        <is>
          <t>Organique, fluide, texturé, très naturel</t>
        </is>
      </c>
      <c r="R6" s="6" t="inlineStr">
        <is>
          <t>Référence pour relief / matière / spatialisation</t>
        </is>
      </c>
    </row>
    <row r="7" ht="50" customHeight="1">
      <c r="A7" s="6" t="inlineStr">
        <is>
          <t>Topping</t>
        </is>
      </c>
      <c r="B7" s="6" t="inlineStr">
        <is>
          <t>L70</t>
        </is>
      </c>
      <c r="C7" s="6" t="inlineStr">
        <is>
          <t>NFCA, ampli analogique</t>
        </is>
      </c>
      <c r="D7" s="189" t="inlineStr">
        <is>
          <t>Non</t>
        </is>
      </c>
      <c r="E7" s="189" t="inlineStr">
        <is>
          <t>Non</t>
        </is>
      </c>
      <c r="F7" s="190" t="inlineStr">
        <is>
          <t>Non</t>
        </is>
      </c>
      <c r="G7" s="190" t="inlineStr">
        <is>
          <t>Oui</t>
        </is>
      </c>
      <c r="H7" s="190" t="inlineStr">
        <is>
          <t>Non</t>
        </is>
      </c>
      <c r="I7" s="190" t="inlineStr">
        <is>
          <t>Oui</t>
        </is>
      </c>
      <c r="J7" s="190" t="inlineStr">
        <is>
          <t>Oui</t>
        </is>
      </c>
      <c r="K7" s="187" t="inlineStr">
        <is>
          <t>Non</t>
        </is>
      </c>
      <c r="L7" s="6" t="inlineStr">
        <is>
          <t>Très élevée (desktop)</t>
        </is>
      </c>
      <c r="M7" s="142" t="n">
        <v>307</v>
      </c>
      <c r="N7" s="6" t="inlineStr">
        <is>
          <t>Ampli casque desktop / référence</t>
        </is>
      </c>
      <c r="O7" s="6" t="inlineStr">
        <is>
          <t>Élevée</t>
        </is>
      </c>
      <c r="P7" s="21" t="inlineStr"/>
      <c r="Q7" s="6" t="inlineStr">
        <is>
          <t>Très propre, neutre, contrôlé, ferme</t>
        </is>
      </c>
      <c r="R7" s="6" t="inlineStr">
        <is>
          <t>Référence propreté / contrôle / puissance</t>
        </is>
      </c>
    </row>
    <row r="8" ht="50" customHeight="1">
      <c r="A8" s="11" t="inlineStr">
        <is>
          <t>iBasso</t>
        </is>
      </c>
      <c r="B8" s="11" t="inlineStr">
        <is>
          <t>DC-Elite</t>
        </is>
      </c>
      <c r="C8" s="11" t="inlineStr">
        <is>
          <t>ROHM BD34301EKV + étage analogique ambitieux</t>
        </is>
      </c>
      <c r="D8" s="191" t="inlineStr">
        <is>
          <t>Non</t>
        </is>
      </c>
      <c r="E8" s="191" t="inlineStr">
        <is>
          <t>Non</t>
        </is>
      </c>
      <c r="F8" s="190" t="inlineStr">
        <is>
          <t>Oui</t>
        </is>
      </c>
      <c r="G8" s="190" t="inlineStr">
        <is>
          <t>Oui</t>
        </is>
      </c>
      <c r="H8" s="190" t="inlineStr">
        <is>
          <t>Non</t>
        </is>
      </c>
      <c r="I8" s="190" t="inlineStr">
        <is>
          <t>Non</t>
        </is>
      </c>
      <c r="J8" s="190" t="inlineStr">
        <is>
          <t>Non</t>
        </is>
      </c>
      <c r="K8" s="190" t="inlineStr">
        <is>
          <t>Non</t>
        </is>
      </c>
      <c r="L8" s="11" t="inlineStr">
        <is>
          <t>≈280 mW @ 32 Ω (4,4 mm)</t>
        </is>
      </c>
      <c r="M8" s="22" t="n">
        <v>439</v>
      </c>
      <c r="N8" s="11" t="inlineStr">
        <is>
          <t>Dongle DAC/amp</t>
        </is>
      </c>
      <c r="O8" s="11" t="inlineStr">
        <is>
          <t>Élevée</t>
        </is>
      </c>
      <c r="P8" s="23" t="inlineStr">
        <is>
          <t>https://www.audiophonics.fr/fr/amplificateurs-casque-mobiles/ibasso-dc-elite-p-18544.html</t>
        </is>
      </c>
      <c r="Q8" s="11" t="inlineStr">
        <is>
          <t>Neutre-naturel, très résolvant, incisif sans sécheresse</t>
        </is>
      </c>
      <c r="R8" s="11" t="inlineStr">
        <is>
          <t>Meilleur complément nomade au N7/L70</t>
        </is>
      </c>
      <c r="S8" s="39" t="n">
        <v>8.6</v>
      </c>
      <c r="T8" t="inlineStr">
        <is>
          <t>Reader</t>
        </is>
      </c>
      <c r="U8" s="80" t="n">
        <v>45499</v>
      </c>
      <c r="V8" t="n">
        <v>3</v>
      </c>
      <c r="W8" s="41" t="inlineStr">
        <is>
          <t>https://headfonics.com/?s=iBasso+DC-Elite</t>
        </is>
      </c>
      <c r="X8" t="inlineStr">
        <is>
          <t>Flagship dongle DAC/amp</t>
        </is>
      </c>
    </row>
    <row r="9" ht="50" customHeight="1">
      <c r="A9" s="11" t="inlineStr">
        <is>
          <t>Quloos</t>
        </is>
      </c>
      <c r="B9" s="11" t="inlineStr">
        <is>
          <t>MUB1</t>
        </is>
      </c>
      <c r="C9" s="11" t="inlineStr">
        <is>
          <t>4× CS43131</t>
        </is>
      </c>
      <c r="D9" s="191" t="inlineStr">
        <is>
          <t>Oui</t>
        </is>
      </c>
      <c r="E9" s="191" t="inlineStr">
        <is>
          <t>Oui</t>
        </is>
      </c>
      <c r="F9" s="190" t="inlineStr">
        <is>
          <t>Oui</t>
        </is>
      </c>
      <c r="G9" s="190" t="inlineStr">
        <is>
          <t>Oui</t>
        </is>
      </c>
      <c r="H9" s="190" t="inlineStr">
        <is>
          <t>Non</t>
        </is>
      </c>
      <c r="I9" s="190" t="inlineStr">
        <is>
          <t>Non</t>
        </is>
      </c>
      <c r="J9" s="190" t="inlineStr">
        <is>
          <t>Non</t>
        </is>
      </c>
      <c r="K9" s="187" t="inlineStr">
        <is>
          <t>Non</t>
        </is>
      </c>
      <c r="L9" s="11" t="inlineStr">
        <is>
          <t>≈1,1 W @ 32 Ω (bal.)</t>
        </is>
      </c>
      <c r="M9" s="22" t="n">
        <v>439</v>
      </c>
      <c r="N9" s="11" t="inlineStr">
        <is>
          <t>DAC/amp portable sur batterie</t>
        </is>
      </c>
      <c r="O9" s="11" t="inlineStr">
        <is>
          <t>Moyenne à élevée</t>
        </is>
      </c>
      <c r="P9" s="23" t="inlineStr">
        <is>
          <t>https://moonstarreviews.net/quloos-mub1-review/</t>
        </is>
      </c>
      <c r="Q9" s="11" t="inlineStr">
        <is>
          <t>Légèrement chaleureux, dense, transparent</t>
        </is>
      </c>
      <c r="R9" s="11" t="inlineStr">
        <is>
          <t>Meilleur tout-en-un autonome / batterie + BT</t>
        </is>
      </c>
    </row>
    <row r="10" ht="50" customHeight="1">
      <c r="A10" s="11" t="inlineStr">
        <is>
          <t>Cayin</t>
        </is>
      </c>
      <c r="B10" s="11" t="inlineStr">
        <is>
          <t>RU7</t>
        </is>
      </c>
      <c r="C10" s="11" t="inlineStr">
        <is>
          <t>DAC 1-bit discret, DSD64/128/256</t>
        </is>
      </c>
      <c r="D10" s="191" t="inlineStr">
        <is>
          <t>Non</t>
        </is>
      </c>
      <c r="E10" s="191" t="inlineStr">
        <is>
          <t>Non</t>
        </is>
      </c>
      <c r="F10" s="190" t="inlineStr">
        <is>
          <t>Oui</t>
        </is>
      </c>
      <c r="G10" s="190" t="inlineStr">
        <is>
          <t>Oui</t>
        </is>
      </c>
      <c r="H10" s="190" t="inlineStr">
        <is>
          <t>Non</t>
        </is>
      </c>
      <c r="I10" s="190" t="inlineStr">
        <is>
          <t>Non</t>
        </is>
      </c>
      <c r="J10" s="190" t="inlineStr">
        <is>
          <t>Non</t>
        </is>
      </c>
      <c r="K10" s="190" t="inlineStr">
        <is>
          <t>Non</t>
        </is>
      </c>
      <c r="L10" s="11" t="inlineStr">
        <is>
          <t>≈400 mW @ 32 Ω (bal.)</t>
        </is>
      </c>
      <c r="M10" s="22" t="n">
        <v>255</v>
      </c>
      <c r="N10" s="11" t="inlineStr">
        <is>
          <t>Dongle DAC/amp R-2R/1-bit</t>
        </is>
      </c>
      <c r="O10" s="11" t="inlineStr">
        <is>
          <t>Élevée</t>
        </is>
      </c>
      <c r="P10" s="23" t="inlineStr">
        <is>
          <t>https://headfonics.com/cayin-ru7-review/</t>
        </is>
      </c>
      <c r="Q10" s="11" t="inlineStr">
        <is>
          <t>Fluide, organique, doux, spatial</t>
        </is>
      </c>
      <c r="R10" s="11" t="inlineStr">
        <is>
          <t>Mini-N7 ultraportable</t>
        </is>
      </c>
      <c r="S10" s="39" t="n">
        <v>8.6</v>
      </c>
      <c r="T10" t="inlineStr">
        <is>
          <t>Reader</t>
        </is>
      </c>
      <c r="U10" s="80" t="n">
        <v>45143</v>
      </c>
      <c r="V10" t="n">
        <v>4</v>
      </c>
      <c r="W10" s="41" t="inlineStr">
        <is>
          <t>https://headfonics.com/?s=Cayin+RU7</t>
        </is>
      </c>
      <c r="X10" t="inlineStr">
        <is>
          <t>1-bit discrete resistor-network dongle DAC/amp</t>
        </is>
      </c>
    </row>
    <row r="11" ht="50" customHeight="1">
      <c r="A11" s="11" t="inlineStr">
        <is>
          <t>Dethonray</t>
        </is>
      </c>
      <c r="B11" s="11" t="inlineStr">
        <is>
          <t>Clarinet</t>
        </is>
      </c>
      <c r="C11" s="11" t="inlineStr">
        <is>
          <t>AK4493S, alimentations séparées</t>
        </is>
      </c>
      <c r="D11" s="191" t="inlineStr">
        <is>
          <t>Oui</t>
        </is>
      </c>
      <c r="E11" s="191" t="inlineStr">
        <is>
          <t>Non</t>
        </is>
      </c>
      <c r="F11" s="190" t="inlineStr">
        <is>
          <t>Oui</t>
        </is>
      </c>
      <c r="G11" s="190" t="inlineStr">
        <is>
          <t>Oui</t>
        </is>
      </c>
      <c r="H11" s="190" t="inlineStr">
        <is>
          <t>Non</t>
        </is>
      </c>
      <c r="I11" s="190" t="inlineStr">
        <is>
          <t>Non</t>
        </is>
      </c>
      <c r="J11" s="190" t="inlineStr">
        <is>
          <t>Non</t>
        </is>
      </c>
      <c r="K11" s="187" t="inlineStr">
        <is>
          <t>Non</t>
        </is>
      </c>
      <c r="L11" s="11" t="inlineStr">
        <is>
          <t>À confirmer</t>
        </is>
      </c>
      <c r="M11" s="22" t="n">
        <v>196</v>
      </c>
      <c r="N11" s="11" t="inlineStr">
        <is>
          <t>DAC/amp portable sur batterie</t>
        </is>
      </c>
      <c r="O11" s="11" t="inlineStr">
        <is>
          <t>Moyenne</t>
        </is>
      </c>
      <c r="P11" s="23" t="inlineStr">
        <is>
          <t>https://www.audiophile-heaven.com/2025/04/the-canto-master-dethonray-clarinet-dac-headphone-amp.html</t>
        </is>
      </c>
      <c r="Q11" s="11" t="inlineStr">
        <is>
          <t>Naturel, doux, légèrement sombre, texturé</t>
        </is>
      </c>
      <c r="R11" s="11" t="inlineStr">
        <is>
          <t>Choix charnel / grande scène</t>
        </is>
      </c>
    </row>
    <row r="12" ht="50" customHeight="1">
      <c r="A12" s="11" t="inlineStr">
        <is>
          <t>Moondrop</t>
        </is>
      </c>
      <c r="B12" s="11" t="inlineStr">
        <is>
          <t>Moonriver 3</t>
        </is>
      </c>
      <c r="C12" s="11" t="inlineStr">
        <is>
          <t>2× CS43198 + étages d’amplification séparés</t>
        </is>
      </c>
      <c r="D12" s="191" t="inlineStr">
        <is>
          <t>Non</t>
        </is>
      </c>
      <c r="E12" s="191" t="inlineStr">
        <is>
          <t>Non</t>
        </is>
      </c>
      <c r="F12" s="190" t="inlineStr">
        <is>
          <t>Oui</t>
        </is>
      </c>
      <c r="G12" s="190" t="inlineStr">
        <is>
          <t>Oui</t>
        </is>
      </c>
      <c r="H12" s="190" t="inlineStr">
        <is>
          <t>Non</t>
        </is>
      </c>
      <c r="I12" s="190" t="inlineStr">
        <is>
          <t>Non</t>
        </is>
      </c>
      <c r="J12" s="190" t="inlineStr">
        <is>
          <t>Non</t>
        </is>
      </c>
      <c r="K12" s="190" t="inlineStr">
        <is>
          <t>Oui</t>
        </is>
      </c>
      <c r="L12" s="11" t="inlineStr">
        <is>
          <t>≈500 mW / 4 Vrms</t>
        </is>
      </c>
      <c r="M12" s="22" t="n">
        <v>229</v>
      </c>
      <c r="N12" s="11" t="inlineStr">
        <is>
          <t>Dongle DAC/amp</t>
        </is>
      </c>
      <c r="O12" s="11" t="inlineStr">
        <is>
          <t>Élevée</t>
        </is>
      </c>
      <c r="P12" s="23" t="inlineStr">
        <is>
          <t>https://www.audiophonics.fr/fr/dac-portables/moondrop-moonriver-3-p-21677.html</t>
        </is>
      </c>
      <c r="Q12" s="11" t="inlineStr">
        <is>
          <t>Neutre, très ouvert, analytique sans être stérile</t>
        </is>
      </c>
      <c r="R12" s="11" t="inlineStr">
        <is>
          <t>Rapport prix/résolution/espace</t>
        </is>
      </c>
      <c r="S12" s="42" t="n">
        <v>8.699999999999999</v>
      </c>
      <c r="T12" t="inlineStr">
        <is>
          <t>Award</t>
        </is>
      </c>
      <c r="U12" s="80" t="n">
        <v>46144</v>
      </c>
      <c r="V12" t="n">
        <v>1</v>
      </c>
      <c r="W12" s="41" t="inlineStr">
        <is>
          <t>https://headfonics.com/?s=Moondrop+Moonriver+3</t>
        </is>
      </c>
      <c r="X12" t="inlineStr">
        <is>
          <t>Dual CS43198 dongle DAC, DSP, up to 500 mW</t>
        </is>
      </c>
    </row>
    <row r="13" ht="50" customHeight="1">
      <c r="A13" s="11" t="inlineStr">
        <is>
          <t>ONIX</t>
        </is>
      </c>
      <c r="B13" s="11" t="inlineStr">
        <is>
          <t>Beta XI2</t>
        </is>
      </c>
      <c r="C13" s="11" t="inlineStr">
        <is>
          <t>Mode transistor + tubes JAN6418</t>
        </is>
      </c>
      <c r="D13" s="191" t="inlineStr">
        <is>
          <t>Non</t>
        </is>
      </c>
      <c r="E13" s="191" t="inlineStr">
        <is>
          <t>Non</t>
        </is>
      </c>
      <c r="F13" s="190" t="inlineStr">
        <is>
          <t>Oui</t>
        </is>
      </c>
      <c r="G13" s="190" t="inlineStr">
        <is>
          <t>Oui</t>
        </is>
      </c>
      <c r="H13" s="190" t="inlineStr">
        <is>
          <t>Non</t>
        </is>
      </c>
      <c r="I13" s="190" t="inlineStr">
        <is>
          <t>Non</t>
        </is>
      </c>
      <c r="J13" s="190" t="inlineStr">
        <is>
          <t>Non</t>
        </is>
      </c>
      <c r="K13" s="190" t="inlineStr">
        <is>
          <t>Non</t>
        </is>
      </c>
      <c r="L13" s="11" t="inlineStr">
        <is>
          <t>À confirmer</t>
        </is>
      </c>
      <c r="M13" s="22" t="n">
        <v>349</v>
      </c>
      <c r="N13" s="11" t="inlineStr">
        <is>
          <t>DAC/amp portable hybride</t>
        </is>
      </c>
      <c r="O13" s="11" t="inlineStr">
        <is>
          <t>Moyenne</t>
        </is>
      </c>
      <c r="P13" s="23" t="inlineStr">
        <is>
          <t>https://www.audiophonics.fr/fr/dac-portables/shanling-onix-beta-xi2-p-21159.html</t>
        </is>
      </c>
      <c r="Q13" s="11" t="inlineStr">
        <is>
          <t>Naturel, légèrement chaleureux; tubes plus organiques</t>
        </is>
      </c>
      <c r="R13" s="11" t="inlineStr">
        <is>
          <t>Option organique polyvalente</t>
        </is>
      </c>
      <c r="S13" s="39" t="n">
        <v>8.5</v>
      </c>
      <c r="T13" t="inlineStr">
        <is>
          <t>Reader</t>
        </is>
      </c>
      <c r="U13" s="80" t="n">
        <v>45987</v>
      </c>
      <c r="V13" t="n">
        <v>1</v>
      </c>
      <c r="W13" s="41" t="inlineStr">
        <is>
          <t>https://headfonics.com/?s=ONIX+Beta+XI2</t>
        </is>
      </c>
      <c r="X13" t="inlineStr">
        <is>
          <t>Hybrid solid-state/JAN6418 tube dongle DAC</t>
        </is>
      </c>
    </row>
    <row r="14" ht="50" customHeight="1">
      <c r="A14" s="11" t="inlineStr">
        <is>
          <t>MUSE HiFi</t>
        </is>
      </c>
      <c r="B14" s="11" t="inlineStr">
        <is>
          <t>M6 Double</t>
        </is>
      </c>
      <c r="C14" s="11" t="inlineStr">
        <is>
          <t>ES9039 + transistors / tubes JAN6418</t>
        </is>
      </c>
      <c r="D14" s="191" t="inlineStr">
        <is>
          <t>Oui</t>
        </is>
      </c>
      <c r="E14" s="191" t="inlineStr">
        <is>
          <t>Oui</t>
        </is>
      </c>
      <c r="F14" s="190" t="inlineStr">
        <is>
          <t>Oui</t>
        </is>
      </c>
      <c r="G14" s="190" t="inlineStr">
        <is>
          <t>Oui</t>
        </is>
      </c>
      <c r="H14" s="190" t="inlineStr">
        <is>
          <t>Non</t>
        </is>
      </c>
      <c r="I14" s="190" t="inlineStr">
        <is>
          <t>Non</t>
        </is>
      </c>
      <c r="J14" s="190" t="inlineStr">
        <is>
          <t>Non</t>
        </is>
      </c>
      <c r="K14" s="190" t="inlineStr">
        <is>
          <t>Non</t>
        </is>
      </c>
      <c r="L14" s="11" t="inlineStr">
        <is>
          <t>Élevée / à confirmer</t>
        </is>
      </c>
      <c r="M14" s="22" t="n">
        <v>449</v>
      </c>
      <c r="N14" s="11" t="inlineStr">
        <is>
          <t>DAC/amp portable hybride</t>
        </is>
      </c>
      <c r="O14" s="11" t="inlineStr">
        <is>
          <t>Moyenne</t>
        </is>
      </c>
      <c r="P14" s="23" t="inlineStr">
        <is>
          <t>https://www.audiophonics.fr/fr/dac-portables/musehifi-m6-p-21634.html</t>
        </is>
      </c>
      <c r="Q14" s="11" t="inlineStr">
        <is>
          <t>Spacieux, immersif, tubes plus charnels</t>
        </is>
      </c>
      <c r="R14" s="11" t="inlineStr">
        <is>
          <t>Maximum immersion / effet 3D</t>
        </is>
      </c>
      <c r="S14" s="39" t="n">
        <v>8.6</v>
      </c>
      <c r="T14" t="inlineStr">
        <is>
          <t>Reader</t>
        </is>
      </c>
      <c r="U14" s="80" t="n">
        <v>45958</v>
      </c>
      <c r="V14" t="n">
        <v>1</v>
      </c>
      <c r="W14" s="41" t="inlineStr">
        <is>
          <t>https://headfonics.com/?s=MUSE+HiFi+M6+Double</t>
        </is>
      </c>
      <c r="X14" t="inlineStr">
        <is>
          <t>Dual-mode transistor/JAN6418 tube portable DAC/amp</t>
        </is>
      </c>
    </row>
    <row r="15" ht="50" customHeight="1">
      <c r="A15" s="11" t="inlineStr">
        <is>
          <t>Questyle</t>
        </is>
      </c>
      <c r="B15" s="11" t="inlineStr">
        <is>
          <t>M15i</t>
        </is>
      </c>
      <c r="C15" s="11" t="inlineStr">
        <is>
          <t>Amplification CMA en mode courant</t>
        </is>
      </c>
      <c r="D15" s="11" t="inlineStr">
        <is>
          <t>Non</t>
        </is>
      </c>
      <c r="E15" s="191" t="inlineStr">
        <is>
          <t>Non</t>
        </is>
      </c>
      <c r="F15" s="190" t="inlineStr">
        <is>
          <t>Oui</t>
        </is>
      </c>
      <c r="G15" s="190" t="inlineStr">
        <is>
          <t>Oui</t>
        </is>
      </c>
      <c r="H15" s="190" t="inlineStr">
        <is>
          <t>Non</t>
        </is>
      </c>
      <c r="I15" s="190" t="inlineStr">
        <is>
          <t>Non</t>
        </is>
      </c>
      <c r="J15" s="190" t="inlineStr">
        <is>
          <t>Non</t>
        </is>
      </c>
      <c r="K15" s="187" t="inlineStr">
        <is>
          <t>Non</t>
        </is>
      </c>
      <c r="L15" s="11" t="inlineStr">
        <is>
          <t>≈2,62 Vrms (bal.)</t>
        </is>
      </c>
      <c r="M15" s="22" t="n">
        <v>259</v>
      </c>
      <c r="N15" s="11" t="inlineStr">
        <is>
          <t>Dongle DAC/amp</t>
        </is>
      </c>
      <c r="O15" s="11" t="inlineStr">
        <is>
          <t>Élevée</t>
        </is>
      </c>
      <c r="P15" s="23" t="inlineStr">
        <is>
          <t>https://www.audiophonics.fr/fr/dac-portables/questyle-m15i-p-19563.html</t>
        </is>
      </c>
      <c r="Q15" s="11" t="inlineStr">
        <is>
          <t>Propre, doux, légèrement charnu, très spatial</t>
        </is>
      </c>
      <c r="R15" s="11" t="inlineStr">
        <is>
          <t>Excellent avec IEM / casque facile</t>
        </is>
      </c>
    </row>
    <row r="16" ht="50" customHeight="1">
      <c r="A16" s="11" t="inlineStr">
        <is>
          <t>Shanling</t>
        </is>
      </c>
      <c r="B16" s="11" t="inlineStr">
        <is>
          <t>UA7</t>
        </is>
      </c>
      <c r="C16" s="11" t="inlineStr">
        <is>
          <t>Transistors + tubes</t>
        </is>
      </c>
      <c r="D16" s="191" t="inlineStr">
        <is>
          <t>Non</t>
        </is>
      </c>
      <c r="E16" s="191" t="inlineStr">
        <is>
          <t>Non</t>
        </is>
      </c>
      <c r="F16" s="190" t="inlineStr">
        <is>
          <t>Oui</t>
        </is>
      </c>
      <c r="G16" s="190" t="inlineStr">
        <is>
          <t>Oui</t>
        </is>
      </c>
      <c r="H16" s="190" t="inlineStr">
        <is>
          <t>Non</t>
        </is>
      </c>
      <c r="I16" s="190" t="inlineStr">
        <is>
          <t>Non</t>
        </is>
      </c>
      <c r="J16" s="190" t="inlineStr">
        <is>
          <t>Non</t>
        </is>
      </c>
      <c r="K16" s="187" t="inlineStr">
        <is>
          <t>Non</t>
        </is>
      </c>
      <c r="L16" s="11" t="inlineStr">
        <is>
          <t>≈577 mW @ 32 Ω</t>
        </is>
      </c>
      <c r="M16" s="22" t="n">
        <v>269</v>
      </c>
      <c r="N16" s="11" t="inlineStr">
        <is>
          <t>Dongle DAC/amp hybride</t>
        </is>
      </c>
      <c r="O16" s="11" t="inlineStr">
        <is>
          <t>Moyenne à élevée</t>
        </is>
      </c>
      <c r="P16" s="23" t="inlineStr">
        <is>
          <t>https://www.headfonia.com/shanling-ua7-review/</t>
        </is>
      </c>
      <c r="Q16" s="11" t="inlineStr">
        <is>
          <t>Propre, légèrement chaleureux; tube plus organique</t>
        </is>
      </c>
      <c r="R16" s="11" t="inlineStr">
        <is>
          <t>Compromis tube/transistor moderne</t>
        </is>
      </c>
      <c r="S16" s="39" t="n">
        <v>8.6</v>
      </c>
      <c r="T16" t="inlineStr">
        <is>
          <t>Award</t>
        </is>
      </c>
      <c r="U16" s="80" t="n">
        <v>46050</v>
      </c>
      <c r="V16" t="n">
        <v>1</v>
      </c>
      <c r="W16" s="41" t="inlineStr">
        <is>
          <t>https://headfonics.com/?s=Shanling+UA7</t>
        </is>
      </c>
      <c r="X16" t="inlineStr">
        <is>
          <t>Dual JAN6418 tube dongle DAC, up to 577 mW</t>
        </is>
      </c>
    </row>
    <row r="17" ht="50" customHeight="1">
      <c r="A17" s="11" t="inlineStr">
        <is>
          <t>iBasso</t>
        </is>
      </c>
      <c r="B17" s="11" t="inlineStr">
        <is>
          <t>DC07PRO</t>
        </is>
      </c>
      <c r="C17" s="11" t="inlineStr">
        <is>
          <t>DAC Cirrus Logic (multi-DAC)</t>
        </is>
      </c>
      <c r="D17" s="191" t="inlineStr">
        <is>
          <t>Non</t>
        </is>
      </c>
      <c r="E17" s="191" t="inlineStr">
        <is>
          <t>Non</t>
        </is>
      </c>
      <c r="F17" s="190" t="inlineStr">
        <is>
          <t>Oui</t>
        </is>
      </c>
      <c r="G17" s="190" t="inlineStr">
        <is>
          <t>Oui</t>
        </is>
      </c>
      <c r="H17" s="190" t="inlineStr">
        <is>
          <t>Non</t>
        </is>
      </c>
      <c r="I17" s="190" t="inlineStr">
        <is>
          <t>Non</t>
        </is>
      </c>
      <c r="J17" s="190" t="inlineStr">
        <is>
          <t>Non</t>
        </is>
      </c>
      <c r="K17" s="187" t="inlineStr">
        <is>
          <t>Non</t>
        </is>
      </c>
      <c r="L17" s="11" t="inlineStr">
        <is>
          <t>≈430 mW @ 32 Ω</t>
        </is>
      </c>
      <c r="M17" s="22" t="n">
        <v>189</v>
      </c>
      <c r="N17" s="11" t="inlineStr">
        <is>
          <t>Dongle DAC/amp</t>
        </is>
      </c>
      <c r="O17" s="11" t="inlineStr">
        <is>
          <t>Élevée</t>
        </is>
      </c>
      <c r="P17" s="23" t="inlineStr">
        <is>
          <t>https://www.audiophonics.fr/fr/dac-portables/ibasso-dc07pro-noir-p-19619.html</t>
        </is>
      </c>
      <c r="Q17" s="11" t="inlineStr">
        <is>
          <t>Transparent, légèrement chaleureux, équilibré</t>
        </is>
      </c>
      <c r="R17" s="11" t="inlineStr">
        <is>
          <t>Choix rationnel sous 200 €</t>
        </is>
      </c>
    </row>
    <row r="18" ht="50" customHeight="1">
      <c r="A18" s="11" t="inlineStr">
        <is>
          <t>Shanling</t>
        </is>
      </c>
      <c r="B18" s="11" t="inlineStr">
        <is>
          <t>UA6 II</t>
        </is>
      </c>
      <c r="C18" s="11" t="inlineStr">
        <is>
          <t>8× CS43131, mode 4/8 DAC</t>
        </is>
      </c>
      <c r="D18" s="11" t="inlineStr">
        <is>
          <t>Non</t>
        </is>
      </c>
      <c r="E18" s="191" t="inlineStr">
        <is>
          <t>Non</t>
        </is>
      </c>
      <c r="F18" s="190" t="inlineStr">
        <is>
          <t>Oui</t>
        </is>
      </c>
      <c r="G18" s="190" t="inlineStr">
        <is>
          <t>Oui</t>
        </is>
      </c>
      <c r="H18" s="190" t="inlineStr">
        <is>
          <t>Non</t>
        </is>
      </c>
      <c r="I18" s="190" t="inlineStr">
        <is>
          <t>Non</t>
        </is>
      </c>
      <c r="J18" s="190" t="inlineStr">
        <is>
          <t>Non</t>
        </is>
      </c>
      <c r="K18" s="187" t="inlineStr">
        <is>
          <t>Non</t>
        </is>
      </c>
      <c r="L18" s="11" t="inlineStr">
        <is>
          <t>≈365 mW @ 32 Ω</t>
        </is>
      </c>
      <c r="M18" s="22" t="n">
        <v>219</v>
      </c>
      <c r="N18" s="11" t="inlineStr">
        <is>
          <t>Dongle DAC/amp</t>
        </is>
      </c>
      <c r="O18" s="11" t="inlineStr">
        <is>
          <t>Moyenne</t>
        </is>
      </c>
      <c r="P18" s="23" t="inlineStr">
        <is>
          <t>https://www.audiophonics.fr/fr/dac-portables/shanling-ua6-ii-p-22362.html</t>
        </is>
      </c>
      <c r="Q18" s="11" t="inlineStr">
        <is>
          <t>Très propre, précis, neutre, légèrement chaleureux</t>
        </is>
      </c>
      <c r="R18" s="11" t="inlineStr">
        <is>
          <t>Choix résolution/propreté vers 220 €</t>
        </is>
      </c>
    </row>
    <row r="19" ht="50" customHeight="1">
      <c r="A19" s="11" t="inlineStr">
        <is>
          <t>ONIX</t>
        </is>
      </c>
      <c r="B19" s="11" t="inlineStr">
        <is>
          <t>Alpha XI1</t>
        </is>
      </c>
      <c r="C19" s="11" t="inlineStr">
        <is>
          <t>Cirrus Logic / architecture ONIX</t>
        </is>
      </c>
      <c r="D19" s="191" t="inlineStr">
        <is>
          <t>Non</t>
        </is>
      </c>
      <c r="E19" s="191" t="inlineStr">
        <is>
          <t>Non</t>
        </is>
      </c>
      <c r="F19" s="190" t="inlineStr">
        <is>
          <t>Oui</t>
        </is>
      </c>
      <c r="G19" s="190" t="inlineStr">
        <is>
          <t>Oui</t>
        </is>
      </c>
      <c r="H19" s="190" t="inlineStr">
        <is>
          <t>Non</t>
        </is>
      </c>
      <c r="I19" s="190" t="inlineStr">
        <is>
          <t>Non</t>
        </is>
      </c>
      <c r="J19" s="190" t="inlineStr">
        <is>
          <t>Non</t>
        </is>
      </c>
      <c r="K19" s="187" t="inlineStr">
        <is>
          <t>Non</t>
        </is>
      </c>
      <c r="L19" s="11" t="inlineStr">
        <is>
          <t>≈500 mW @ 32 Ω</t>
        </is>
      </c>
      <c r="M19" s="22" t="n">
        <v>109</v>
      </c>
      <c r="N19" s="11" t="inlineStr">
        <is>
          <t>Dongle DAC/amp</t>
        </is>
      </c>
      <c r="O19" s="11" t="inlineStr">
        <is>
          <t>Moyenne</t>
        </is>
      </c>
      <c r="P19" s="23" t="inlineStr">
        <is>
          <t>https://www.audiophonics.fr/fr/dac-portables/shanling-onix-alpha-xi1-p-19347.html</t>
        </is>
      </c>
      <c r="Q19" s="11" t="inlineStr">
        <is>
          <t>Musical, texturé, assez ouvert</t>
        </is>
      </c>
      <c r="R19" s="11" t="inlineStr">
        <is>
          <t>Affaire budget</t>
        </is>
      </c>
      <c r="S19" s="43" t="n">
        <v>7.9</v>
      </c>
      <c r="T19" t="inlineStr">
        <is>
          <t>Reader</t>
        </is>
      </c>
      <c r="U19" s="80" t="n">
        <v>45593</v>
      </c>
      <c r="V19" t="n">
        <v>3</v>
      </c>
      <c r="W19" s="41" t="inlineStr">
        <is>
          <t>https://headfonics.com/?s=ONIX+Alpha+XI1</t>
        </is>
      </c>
      <c r="X19" t="inlineStr">
        <is>
          <t>Dual CS43198 dongle DAC, up to 500 mW</t>
        </is>
      </c>
    </row>
    <row r="20" ht="50" customHeight="1">
      <c r="A20" s="11" t="inlineStr">
        <is>
          <t>xDuoo</t>
        </is>
      </c>
      <c r="B20" s="11" t="inlineStr">
        <is>
          <t>XD05 BAL 2</t>
        </is>
      </c>
      <c r="C20" s="11" t="inlineStr">
        <is>
          <t>DAC + AOP remplaçables</t>
        </is>
      </c>
      <c r="D20" s="191" t="inlineStr">
        <is>
          <t>Oui</t>
        </is>
      </c>
      <c r="E20" s="191" t="inlineStr">
        <is>
          <t>Oui</t>
        </is>
      </c>
      <c r="F20" s="190" t="inlineStr">
        <is>
          <t>Non</t>
        </is>
      </c>
      <c r="G20" s="190" t="inlineStr">
        <is>
          <t>Oui</t>
        </is>
      </c>
      <c r="H20" s="190" t="inlineStr">
        <is>
          <t>Non</t>
        </is>
      </c>
      <c r="I20" s="190" t="inlineStr">
        <is>
          <t>Oui</t>
        </is>
      </c>
      <c r="J20" s="190" t="inlineStr">
        <is>
          <t>Non</t>
        </is>
      </c>
      <c r="K20" s="187" t="inlineStr">
        <is>
          <t>Non</t>
        </is>
      </c>
      <c r="L20" s="11" t="inlineStr">
        <is>
          <t>≈1,5 W @ 32 Ω</t>
        </is>
      </c>
      <c r="M20" s="22" t="n">
        <v>429</v>
      </c>
      <c r="N20" s="11" t="inlineStr">
        <is>
          <t>DAC/amp portable sur batterie</t>
        </is>
      </c>
      <c r="O20" s="11" t="inlineStr">
        <is>
          <t>Élevée</t>
        </is>
      </c>
      <c r="P20" s="23" t="inlineStr">
        <is>
          <t>https://xduoo.net/preview/xd05-bal2</t>
        </is>
      </c>
      <c r="Q20" s="11" t="inlineStr">
        <is>
          <t>Charnu, doux, puissant, plutôt sombre</t>
        </is>
      </c>
      <c r="R20" s="11" t="inlineStr">
        <is>
          <t>Casques gourmands / tweak AOP</t>
        </is>
      </c>
      <c r="S20" s="39" t="n">
        <v>8</v>
      </c>
      <c r="T20" t="inlineStr">
        <is>
          <t>Reader</t>
        </is>
      </c>
      <c r="U20" s="80" t="n">
        <v>45184</v>
      </c>
      <c r="V20" t="n">
        <v>4</v>
      </c>
      <c r="W20" s="41" t="inlineStr">
        <is>
          <t>https://headfonics.com/?s=xDuoo+XD05+BAL+2</t>
        </is>
      </c>
      <c r="X20" t="inlineStr">
        <is>
          <t>High-power battery portable DAC/amp</t>
        </is>
      </c>
    </row>
    <row r="21" ht="50" customHeight="1">
      <c r="A21" s="11" t="inlineStr">
        <is>
          <t>Dethonray</t>
        </is>
      </c>
      <c r="B21" s="11" t="inlineStr">
        <is>
          <t>Pegasus SG1</t>
        </is>
      </c>
      <c r="C21" s="11" t="inlineStr">
        <is>
          <t>Architecture propriétaire Dethonray</t>
        </is>
      </c>
      <c r="D21" s="191" t="inlineStr">
        <is>
          <t>Oui</t>
        </is>
      </c>
      <c r="E21" s="191" t="inlineStr">
        <is>
          <t>Oui</t>
        </is>
      </c>
      <c r="F21" s="190" t="inlineStr">
        <is>
          <t>Oui</t>
        </is>
      </c>
      <c r="G21" s="190" t="inlineStr">
        <is>
          <t>Oui</t>
        </is>
      </c>
      <c r="H21" s="190" t="inlineStr">
        <is>
          <t>Non</t>
        </is>
      </c>
      <c r="I21" s="190" t="inlineStr">
        <is>
          <t>Non</t>
        </is>
      </c>
      <c r="J21" s="190" t="inlineStr">
        <is>
          <t>Non</t>
        </is>
      </c>
      <c r="K21" s="187" t="inlineStr">
        <is>
          <t>Non</t>
        </is>
      </c>
      <c r="L21" s="11" t="inlineStr">
        <is>
          <t>À confirmer</t>
        </is>
      </c>
      <c r="M21" s="22" t="n">
        <v>351</v>
      </c>
      <c r="N21" s="11" t="inlineStr">
        <is>
          <t>Récepteur Bluetooth DAC/amp</t>
        </is>
      </c>
      <c r="O21" s="11" t="inlineStr">
        <is>
          <t>Moyenne</t>
        </is>
      </c>
      <c r="P21" s="23" t="inlineStr">
        <is>
          <t>https://www.dethonray.com/products/dac/pegasus-sg1/</t>
        </is>
      </c>
      <c r="Q21" s="11" t="inlineStr">
        <is>
          <t>Charnu, énergique, grave présent, aigu calme</t>
        </is>
      </c>
      <c r="R21" s="11" t="inlineStr">
        <is>
          <t>Meilleur cas d’usage: Bluetooth immersif</t>
        </is>
      </c>
    </row>
    <row r="22" ht="50" customHeight="1">
      <c r="A22" s="11" t="inlineStr">
        <is>
          <t>Shanling</t>
        </is>
      </c>
      <c r="B22" s="11" t="inlineStr">
        <is>
          <t>H5 MQA</t>
        </is>
      </c>
      <c r="C22" s="11" t="inlineStr">
        <is>
          <t>DAC Shanling / mode lecteur microSD</t>
        </is>
      </c>
      <c r="D22" s="191" t="inlineStr">
        <is>
          <t>Oui</t>
        </is>
      </c>
      <c r="E22" s="191" t="inlineStr">
        <is>
          <t>Oui</t>
        </is>
      </c>
      <c r="F22" s="190" t="inlineStr">
        <is>
          <t>Oui</t>
        </is>
      </c>
      <c r="G22" s="190" t="inlineStr">
        <is>
          <t>Oui</t>
        </is>
      </c>
      <c r="H22" s="190" t="inlineStr">
        <is>
          <t>Non</t>
        </is>
      </c>
      <c r="I22" s="190" t="inlineStr">
        <is>
          <t>Non</t>
        </is>
      </c>
      <c r="J22" s="190" t="inlineStr">
        <is>
          <t>Non</t>
        </is>
      </c>
      <c r="K22" s="187" t="inlineStr">
        <is>
          <t>Non</t>
        </is>
      </c>
      <c r="L22" s="11" t="inlineStr">
        <is>
          <t>≈840 mW @ 32 Ω (bal.)</t>
        </is>
      </c>
      <c r="M22" s="22" t="n">
        <v>325</v>
      </c>
      <c r="N22" s="11" t="inlineStr">
        <is>
          <t>DAC/amp portable sur batterie</t>
        </is>
      </c>
      <c r="O22" s="11" t="inlineStr">
        <is>
          <t>Moyenne</t>
        </is>
      </c>
      <c r="P22" s="23" t="inlineStr">
        <is>
          <t>https://headfonics.com/shanling-h5-review/</t>
        </is>
      </c>
      <c r="Q22" s="11" t="inlineStr">
        <is>
          <t>Chaud, fluide, grave généreux</t>
        </is>
      </c>
      <c r="R22" s="11" t="inlineStr">
        <is>
          <t>Portable autonome et puissant</t>
        </is>
      </c>
      <c r="S22" s="39" t="n">
        <v>8.300000000000001</v>
      </c>
      <c r="T22" t="inlineStr">
        <is>
          <t>Reader</t>
        </is>
      </c>
      <c r="U22" s="80" t="n">
        <v>45185</v>
      </c>
      <c r="V22" t="n">
        <v>4</v>
      </c>
      <c r="W22" s="41" t="inlineStr">
        <is>
          <t>https://headfonics.com/?s=Shanling+H5</t>
        </is>
      </c>
      <c r="X22" t="inlineStr">
        <is>
          <t>Battery portable DAC/amp</t>
        </is>
      </c>
    </row>
    <row r="23" ht="50" customHeight="1">
      <c r="A23" s="11" t="inlineStr">
        <is>
          <t>xDuoo</t>
        </is>
      </c>
      <c r="B23" s="11" t="inlineStr">
        <is>
          <t>POKE II</t>
        </is>
      </c>
      <c r="C23" s="11" t="inlineStr">
        <is>
          <t>DAC/amp portable avec EQ grave/aigu</t>
        </is>
      </c>
      <c r="D23" s="191" t="inlineStr">
        <is>
          <t>Oui</t>
        </is>
      </c>
      <c r="E23" s="191" t="inlineStr">
        <is>
          <t>Oui</t>
        </is>
      </c>
      <c r="F23" s="190" t="inlineStr">
        <is>
          <t>Oui</t>
        </is>
      </c>
      <c r="G23" s="190" t="inlineStr">
        <is>
          <t>Oui</t>
        </is>
      </c>
      <c r="H23" s="187" t="inlineStr">
        <is>
          <t>Non</t>
        </is>
      </c>
      <c r="I23" s="187" t="inlineStr">
        <is>
          <t>Non</t>
        </is>
      </c>
      <c r="J23" s="187" t="inlineStr">
        <is>
          <t>Non</t>
        </is>
      </c>
      <c r="K23" s="187" t="inlineStr">
        <is>
          <t>Non</t>
        </is>
      </c>
      <c r="L23" s="11" t="inlineStr">
        <is>
          <t>≈700 mW @ 32 Ω (bal.)</t>
        </is>
      </c>
      <c r="M23" s="22" t="n">
        <v>343</v>
      </c>
      <c r="N23" s="11" t="inlineStr">
        <is>
          <t>DAC/amp portable sur batterie</t>
        </is>
      </c>
      <c r="O23" s="11" t="inlineStr">
        <is>
          <t>Moyenne</t>
        </is>
      </c>
      <c r="P23" s="23" t="inlineStr">
        <is>
          <t>https://www.headfonia.com/xduoo-poke-ii-review/3/</t>
        </is>
      </c>
      <c r="Q23" s="11" t="inlineStr">
        <is>
          <t>Équilibré, bonne scène, plutôt polyvalent</t>
        </is>
      </c>
      <c r="R23" s="11" t="inlineStr">
        <is>
          <t>Portable polyvalent d’ancienne génération</t>
        </is>
      </c>
      <c r="S23" s="39" t="n">
        <v>8.300000000000001</v>
      </c>
      <c r="T23" t="inlineStr">
        <is>
          <t>Reader</t>
        </is>
      </c>
      <c r="U23" s="80" t="n">
        <v>44769</v>
      </c>
      <c r="V23" t="n">
        <v>5</v>
      </c>
      <c r="W23" s="41" t="inlineStr">
        <is>
          <t>https://headfonics.com/?s=xDuoo+POKE+II</t>
        </is>
      </c>
      <c r="X23" t="inlineStr">
        <is>
          <t>Battery portable DAC/amp</t>
        </is>
      </c>
    </row>
    <row r="24" ht="50" customHeight="1">
      <c r="A24" s="11" t="inlineStr">
        <is>
          <t>FiiO</t>
        </is>
      </c>
      <c r="B24" s="11" t="inlineStr">
        <is>
          <t>BTR17</t>
        </is>
      </c>
      <c r="C24" s="11" t="inlineStr">
        <is>
          <t>DAC portable + PEQ + mode desktop</t>
        </is>
      </c>
      <c r="D24" s="191" t="inlineStr">
        <is>
          <t>Oui</t>
        </is>
      </c>
      <c r="E24" s="191" t="inlineStr">
        <is>
          <t>Oui</t>
        </is>
      </c>
      <c r="F24" s="190" t="inlineStr">
        <is>
          <t>Oui</t>
        </is>
      </c>
      <c r="G24" s="190" t="inlineStr">
        <is>
          <t>Oui</t>
        </is>
      </c>
      <c r="H24" s="190" t="inlineStr">
        <is>
          <t>Non</t>
        </is>
      </c>
      <c r="I24" s="190" t="inlineStr">
        <is>
          <t>Non</t>
        </is>
      </c>
      <c r="J24" s="190" t="inlineStr">
        <is>
          <t>Non</t>
        </is>
      </c>
      <c r="K24" s="190" t="inlineStr">
        <is>
          <t>Oui</t>
        </is>
      </c>
      <c r="L24" s="11" t="inlineStr">
        <is>
          <t>≈650 mW (mode desktop)</t>
        </is>
      </c>
      <c r="M24" s="22" t="n">
        <v>199</v>
      </c>
      <c r="N24" s="11" t="inlineStr">
        <is>
          <t>Bluetooth DAC/amp</t>
        </is>
      </c>
      <c r="O24" s="11" t="inlineStr">
        <is>
          <t>Élevée</t>
        </is>
      </c>
      <c r="P24" s="23" t="inlineStr">
        <is>
          <t>https://www.audiophonics.fr/fr/amplificateurs-casque-mobiles/fiio-btr17-noir-p-20087.html</t>
        </is>
      </c>
      <c r="Q24" s="11" t="inlineStr">
        <is>
          <t>Neutre, rapide, propre, fonctionnel</t>
        </is>
      </c>
      <c r="R24" s="11" t="inlineStr">
        <is>
          <t>Fonctions/BT/PEQ avant signature</t>
        </is>
      </c>
    </row>
    <row r="25" ht="50" customHeight="1">
      <c r="A25" s="11" t="inlineStr">
        <is>
          <t>FiiO</t>
        </is>
      </c>
      <c r="B25" s="11" t="inlineStr">
        <is>
          <t>QX13</t>
        </is>
      </c>
      <c r="C25" s="11" t="inlineStr">
        <is>
          <t>DAC hautes performances + mode desktop + PEQ</t>
        </is>
      </c>
      <c r="D25" s="191" t="inlineStr">
        <is>
          <t>Non</t>
        </is>
      </c>
      <c r="E25" s="191" t="inlineStr">
        <is>
          <t>Non</t>
        </is>
      </c>
      <c r="F25" s="190" t="inlineStr">
        <is>
          <t>Oui</t>
        </is>
      </c>
      <c r="G25" s="190" t="inlineStr">
        <is>
          <t>Oui</t>
        </is>
      </c>
      <c r="H25" s="190" t="inlineStr">
        <is>
          <t>Non</t>
        </is>
      </c>
      <c r="I25" s="190" t="inlineStr">
        <is>
          <t>Non</t>
        </is>
      </c>
      <c r="J25" s="190" t="inlineStr">
        <is>
          <t>Non</t>
        </is>
      </c>
      <c r="K25" s="190" t="inlineStr">
        <is>
          <t>Oui</t>
        </is>
      </c>
      <c r="L25" s="11" t="inlineStr">
        <is>
          <t>Jusqu’à ≈900 mW/canal (desktop)</t>
        </is>
      </c>
      <c r="M25" s="22" t="n">
        <v>199</v>
      </c>
      <c r="N25" s="11" t="inlineStr">
        <is>
          <t>Dongle DAC/amp</t>
        </is>
      </c>
      <c r="O25" s="11" t="inlineStr">
        <is>
          <t>Moyenne à élevée</t>
        </is>
      </c>
      <c r="P25" s="23" t="inlineStr">
        <is>
          <t>https://www.audiophonics.fr/fr/dac-portables-c-6399.html?orderby=price&amp;orderway=desc</t>
        </is>
      </c>
      <c r="Q25" s="11" t="inlineStr">
        <is>
          <t>Très propre, détaillé, énergique</t>
        </is>
      </c>
      <c r="R25" s="11" t="inlineStr">
        <is>
          <t>Performance/fonctions, pas priorité holographie</t>
        </is>
      </c>
      <c r="S25" s="39" t="n">
        <v>8.5</v>
      </c>
      <c r="T25" t="inlineStr">
        <is>
          <t>Reader</t>
        </is>
      </c>
      <c r="U25" s="80" t="n">
        <v>45892</v>
      </c>
      <c r="V25" t="n">
        <v>2</v>
      </c>
      <c r="W25" s="41" t="inlineStr">
        <is>
          <t>https://headfonics.com/?s=FiiO+QX13</t>
        </is>
      </c>
      <c r="X25" t="inlineStr">
        <is>
          <t>ES9027SPRO high-end dongle DAC with color display</t>
        </is>
      </c>
    </row>
    <row r="26" ht="50" customHeight="1">
      <c r="A26" s="11" t="inlineStr">
        <is>
          <t>SMSL</t>
        </is>
      </c>
      <c r="B26" s="11" t="inlineStr">
        <is>
          <t>DS20</t>
        </is>
      </c>
      <c r="C26" s="11" t="inlineStr">
        <is>
          <t>Architecture DAC/amp SMSL</t>
        </is>
      </c>
      <c r="D26" s="191" t="inlineStr">
        <is>
          <t>Oui</t>
        </is>
      </c>
      <c r="E26" s="11" t="inlineStr">
        <is>
          <t>Non</t>
        </is>
      </c>
      <c r="F26" s="190" t="inlineStr">
        <is>
          <t>Oui</t>
        </is>
      </c>
      <c r="G26" s="190" t="inlineStr">
        <is>
          <t>Oui</t>
        </is>
      </c>
      <c r="H26" s="190" t="inlineStr">
        <is>
          <t>Non</t>
        </is>
      </c>
      <c r="I26" s="190" t="inlineStr">
        <is>
          <t>Non</t>
        </is>
      </c>
      <c r="J26" s="190" t="inlineStr">
        <is>
          <t>Non</t>
        </is>
      </c>
      <c r="K26" s="187" t="inlineStr">
        <is>
          <t>Non</t>
        </is>
      </c>
      <c r="L26" s="11" t="inlineStr">
        <is>
          <t>Élevée / à confirmer</t>
        </is>
      </c>
      <c r="M26" s="22" t="n">
        <v>199</v>
      </c>
      <c r="N26" s="11" t="inlineStr">
        <is>
          <t>DAC/amp portable</t>
        </is>
      </c>
      <c r="O26" s="11" t="inlineStr">
        <is>
          <t>Moyenne</t>
        </is>
      </c>
      <c r="P26" s="23" t="inlineStr">
        <is>
          <t>https://headfonics.com/smsl-ds20-review/</t>
        </is>
      </c>
      <c r="Q26" s="11" t="inlineStr">
        <is>
          <t>Propre, large, résolvant</t>
        </is>
      </c>
      <c r="R26" s="11" t="inlineStr">
        <is>
          <t>À écarter si profondeur prioritaire</t>
        </is>
      </c>
      <c r="S26" s="39" t="n">
        <v>8.300000000000001</v>
      </c>
      <c r="T26" t="inlineStr">
        <is>
          <t>Reader</t>
        </is>
      </c>
      <c r="U26" s="80" t="n">
        <v>45899</v>
      </c>
      <c r="V26" t="n">
        <v>2</v>
      </c>
      <c r="W26" s="41" t="inlineStr">
        <is>
          <t>https://headfonics.com/?s=SMSL+DS20</t>
        </is>
      </c>
      <c r="X26" t="inlineStr">
        <is>
          <t>Quad CS43131 portable DAC/amp, up to 500 mW</t>
        </is>
      </c>
    </row>
    <row r="27" ht="50" customHeight="1">
      <c r="A27" s="11" t="inlineStr">
        <is>
          <t>MUSE HiFi</t>
        </is>
      </c>
      <c r="B27" s="11" t="inlineStr">
        <is>
          <t>M5 Ultra</t>
        </is>
      </c>
      <c r="C27" s="11" t="inlineStr">
        <is>
          <t>Mode tubes / hybride</t>
        </is>
      </c>
      <c r="D27" s="191" t="inlineStr">
        <is>
          <t>Oui</t>
        </is>
      </c>
      <c r="E27" s="191" t="inlineStr">
        <is>
          <t>Oui</t>
        </is>
      </c>
      <c r="F27" s="190" t="inlineStr">
        <is>
          <t>Oui</t>
        </is>
      </c>
      <c r="G27" s="190" t="inlineStr">
        <is>
          <t>Oui</t>
        </is>
      </c>
      <c r="H27" s="190" t="inlineStr">
        <is>
          <t>Non</t>
        </is>
      </c>
      <c r="I27" s="190" t="inlineStr">
        <is>
          <t>Non</t>
        </is>
      </c>
      <c r="J27" s="190" t="inlineStr">
        <is>
          <t>Non</t>
        </is>
      </c>
      <c r="K27" s="187" t="inlineStr">
        <is>
          <t>Non</t>
        </is>
      </c>
      <c r="L27" s="11" t="inlineStr">
        <is>
          <t>À confirmer</t>
        </is>
      </c>
      <c r="M27" s="22" t="n">
        <v>269</v>
      </c>
      <c r="N27" s="11" t="inlineStr">
        <is>
          <t>DAC/amp portable hybride</t>
        </is>
      </c>
      <c r="O27" s="11" t="inlineStr">
        <is>
          <t>Moyenne</t>
        </is>
      </c>
      <c r="P27" s="23" t="inlineStr">
        <is>
          <t>https://www.headfonia.com/muse-hifi-m5-ultra-review/2/</t>
        </is>
      </c>
      <c r="Q27" s="11" t="inlineStr">
        <is>
          <t>Doux, charnu, tubes plus profonds</t>
        </is>
      </c>
      <c r="R27" s="11" t="inlineStr">
        <is>
          <t>Tube accessible mais compromis</t>
        </is>
      </c>
      <c r="S27" s="39" t="n">
        <v>8.1</v>
      </c>
      <c r="T27" t="inlineStr">
        <is>
          <t>Reader</t>
        </is>
      </c>
      <c r="U27" s="80" t="n">
        <v>45800</v>
      </c>
      <c r="V27" t="n">
        <v>2</v>
      </c>
      <c r="W27" s="41" t="inlineStr">
        <is>
          <t>https://headfonics.com/?s=MUSE+HiFi+M5+Ultra</t>
        </is>
      </c>
      <c r="X27" t="inlineStr">
        <is>
          <t>Bluetooth ES9038Q2M tube/solid-state portable DAC/amp</t>
        </is>
      </c>
    </row>
    <row r="28" ht="50" customHeight="1">
      <c r="A28" s="11" t="inlineStr">
        <is>
          <t>Topping</t>
        </is>
      </c>
      <c r="B28" s="11" t="inlineStr">
        <is>
          <t>G5</t>
        </is>
      </c>
      <c r="C28" s="11" t="inlineStr">
        <is>
          <t>NFCA / DAC portable</t>
        </is>
      </c>
      <c r="D28" s="191" t="inlineStr">
        <is>
          <t>Oui</t>
        </is>
      </c>
      <c r="E28" s="191" t="inlineStr">
        <is>
          <t>Oui</t>
        </is>
      </c>
      <c r="F28" s="190" t="inlineStr">
        <is>
          <t>Oui</t>
        </is>
      </c>
      <c r="G28" s="190" t="inlineStr">
        <is>
          <t>Oui</t>
        </is>
      </c>
      <c r="H28" s="190" t="inlineStr">
        <is>
          <t>Non</t>
        </is>
      </c>
      <c r="I28" s="190" t="inlineStr">
        <is>
          <t>Non</t>
        </is>
      </c>
      <c r="J28" s="190" t="inlineStr">
        <is>
          <t>Non</t>
        </is>
      </c>
      <c r="K28" s="187" t="inlineStr">
        <is>
          <t>Non</t>
        </is>
      </c>
      <c r="L28" s="11" t="inlineStr">
        <is>
          <t>Très élevée pour portable</t>
        </is>
      </c>
      <c r="M28" s="22" t="n">
        <v>299</v>
      </c>
      <c r="N28" s="11" t="inlineStr">
        <is>
          <t>DAC/amp portable sur batterie</t>
        </is>
      </c>
      <c r="O28" s="11" t="inlineStr">
        <is>
          <t>Élevée</t>
        </is>
      </c>
      <c r="P28" s="23" t="inlineStr">
        <is>
          <t>https://www.audiosciencereview.com/forum/index.php?threads/topping-g5-review-portable-dac-hp-amp.36542/</t>
        </is>
      </c>
      <c r="Q28" s="11" t="inlineStr">
        <is>
          <t>Très neutre, très propre, très contrôlé</t>
        </is>
      </c>
      <c r="R28" s="11" t="inlineStr">
        <is>
          <t>Excellent techniquement mais redondant</t>
        </is>
      </c>
    </row>
    <row r="29" ht="50" customHeight="1">
      <c r="A29" s="11" t="inlineStr">
        <is>
          <t>Shanling</t>
        </is>
      </c>
      <c r="B29" s="11" t="inlineStr">
        <is>
          <t>UA6</t>
        </is>
      </c>
      <c r="C29" s="11" t="inlineStr">
        <is>
          <t>Architecture multi-DAC Cirrus / génération précédente</t>
        </is>
      </c>
      <c r="D29" s="191" t="inlineStr">
        <is>
          <t>Oui</t>
        </is>
      </c>
      <c r="E29" s="11" t="inlineStr">
        <is>
          <t>Non</t>
        </is>
      </c>
      <c r="F29" s="190" t="inlineStr">
        <is>
          <t>Oui</t>
        </is>
      </c>
      <c r="G29" s="190" t="inlineStr">
        <is>
          <t>Oui</t>
        </is>
      </c>
      <c r="H29" s="187" t="inlineStr">
        <is>
          <t>Non</t>
        </is>
      </c>
      <c r="I29" s="187" t="inlineStr">
        <is>
          <t>Non</t>
        </is>
      </c>
      <c r="J29" s="187" t="inlineStr">
        <is>
          <t>Non</t>
        </is>
      </c>
      <c r="K29" s="187" t="inlineStr">
        <is>
          <t>Non</t>
        </is>
      </c>
      <c r="L29" s="11" t="inlineStr">
        <is>
          <t>À confirmer</t>
        </is>
      </c>
      <c r="M29" s="22" t="n">
        <v>179</v>
      </c>
      <c r="N29" s="11" t="inlineStr">
        <is>
          <t>Dongle DAC/amp</t>
        </is>
      </c>
      <c r="O29" s="11" t="inlineStr">
        <is>
          <t>Moyenne</t>
        </is>
      </c>
      <c r="P29" s="24" t="inlineStr"/>
      <c r="Q29" s="11" t="inlineStr">
        <is>
          <t>Transparent, spacieux, légèrement chaleureux</t>
        </is>
      </c>
      <c r="R29" s="11" t="inlineStr">
        <is>
          <t>Ancienne génération intéressante si bon prix</t>
        </is>
      </c>
    </row>
    <row r="30" ht="50" customHeight="1">
      <c r="A30" s="11" t="inlineStr">
        <is>
          <t>Questyle</t>
        </is>
      </c>
      <c r="B30" s="11" t="inlineStr">
        <is>
          <t>M15C</t>
        </is>
      </c>
      <c r="C30" s="11" t="inlineStr">
        <is>
          <t>Amplification CMA en mode courant</t>
        </is>
      </c>
      <c r="D30" s="11" t="inlineStr">
        <is>
          <t>Non</t>
        </is>
      </c>
      <c r="E30" s="11" t="inlineStr">
        <is>
          <t>Non</t>
        </is>
      </c>
      <c r="F30" s="190" t="inlineStr">
        <is>
          <t>Oui</t>
        </is>
      </c>
      <c r="G30" s="190" t="inlineStr">
        <is>
          <t>Oui</t>
        </is>
      </c>
      <c r="H30" s="187" t="inlineStr">
        <is>
          <t>Non</t>
        </is>
      </c>
      <c r="I30" s="187" t="inlineStr">
        <is>
          <t>Non</t>
        </is>
      </c>
      <c r="J30" s="187" t="inlineStr">
        <is>
          <t>Non</t>
        </is>
      </c>
      <c r="K30" s="190" t="inlineStr">
        <is>
          <t>Non</t>
        </is>
      </c>
      <c r="L30" s="11" t="inlineStr">
        <is>
          <t>Modérée</t>
        </is>
      </c>
      <c r="M30" s="22" t="n">
        <v>129</v>
      </c>
      <c r="N30" s="11" t="inlineStr">
        <is>
          <t>Dongle DAC/amp</t>
        </is>
      </c>
      <c r="O30" s="11" t="inlineStr">
        <is>
          <t>Moyenne</t>
        </is>
      </c>
      <c r="P30" s="24" t="inlineStr"/>
      <c r="Q30" s="11" t="inlineStr">
        <is>
          <t>Propre, fluide, légèrement chaleureux</t>
        </is>
      </c>
      <c r="R30" s="11" t="inlineStr">
        <is>
          <t>Option Questyle économique</t>
        </is>
      </c>
      <c r="S30" s="39" t="n">
        <v>8</v>
      </c>
      <c r="T30" t="inlineStr">
        <is>
          <t>Reader</t>
        </is>
      </c>
      <c r="U30" s="80" t="n">
        <v>45663</v>
      </c>
      <c r="V30" t="n">
        <v>3</v>
      </c>
      <c r="W30" s="41" t="inlineStr">
        <is>
          <t>https://headfonics.com/?s=Questyle+M15C</t>
        </is>
      </c>
      <c r="X30" t="inlineStr">
        <is>
          <t>Balanced dongle DAC; updated M15 family</t>
        </is>
      </c>
    </row>
    <row r="31">
      <c r="A31" s="15" t="inlineStr">
        <is>
          <t>iBasso</t>
        </is>
      </c>
      <c r="B31" s="15" t="inlineStr">
        <is>
          <t>DC-Tonfa</t>
        </is>
      </c>
      <c r="C31" s="15" t="inlineStr">
        <is>
          <t>R-2R entièrement symétrique, 8 canaux / 312 résistances</t>
        </is>
      </c>
      <c r="D31" s="15" t="inlineStr">
        <is>
          <t>Non</t>
        </is>
      </c>
      <c r="E31" s="15" t="inlineStr">
        <is>
          <t>Non</t>
        </is>
      </c>
      <c r="F31" s="190" t="inlineStr">
        <is>
          <t>Oui</t>
        </is>
      </c>
      <c r="G31" s="190" t="inlineStr">
        <is>
          <t>Oui</t>
        </is>
      </c>
      <c r="H31" s="190" t="inlineStr">
        <is>
          <t>Non</t>
        </is>
      </c>
      <c r="I31" s="190" t="inlineStr">
        <is>
          <t>Non</t>
        </is>
      </c>
      <c r="J31" s="190" t="inlineStr">
        <is>
          <t>Non</t>
        </is>
      </c>
      <c r="K31" s="187" t="inlineStr">
        <is>
          <t>Non</t>
        </is>
      </c>
      <c r="L31" s="15" t="inlineStr">
        <is>
          <t>À confirmer</t>
        </is>
      </c>
      <c r="M31" s="143" t="n">
        <v>292</v>
      </c>
      <c r="N31" s="15" t="inlineStr">
        <is>
          <t>Dongle DAC/amp R-2R</t>
        </is>
      </c>
      <c r="O31" s="15" t="inlineStr">
        <is>
          <t>Faible / provisoire</t>
        </is>
      </c>
      <c r="P31" s="25" t="inlineStr">
        <is>
          <t>https://hifigo.com/blogs/news/ibasso-presents-dc-tonfa-24-bit-fully-balanced-r2r-flagship-portable-dac-amp</t>
        </is>
      </c>
      <c r="Q31" s="15" t="inlineStr">
        <is>
          <t>Prometteur: texture R-2R + précision iBasso</t>
        </is>
      </c>
      <c r="R31" s="15" t="inlineStr">
        <is>
          <t>À surveiller avant achat</t>
        </is>
      </c>
    </row>
    <row r="32">
      <c r="A32" s="44" t="inlineStr">
        <is>
          <t>Questyle</t>
        </is>
      </c>
      <c r="B32" s="44" t="inlineStr">
        <is>
          <t>M18i Max</t>
        </is>
      </c>
      <c r="C32" s="45" t="n"/>
      <c r="D32" s="192" t="inlineStr">
        <is>
          <t>Oui</t>
        </is>
      </c>
      <c r="E32" s="192" t="inlineStr">
        <is>
          <t>Oui</t>
        </is>
      </c>
      <c r="F32" s="190" t="inlineStr">
        <is>
          <t>Oui</t>
        </is>
      </c>
      <c r="G32" s="190" t="inlineStr">
        <is>
          <t>Oui</t>
        </is>
      </c>
      <c r="H32" s="190" t="inlineStr">
        <is>
          <t>Non</t>
        </is>
      </c>
      <c r="I32" s="190" t="inlineStr">
        <is>
          <t>Non</t>
        </is>
      </c>
      <c r="J32" s="190" t="inlineStr">
        <is>
          <t>Non</t>
        </is>
      </c>
      <c r="K32" s="187" t="inlineStr">
        <is>
          <t>Non</t>
        </is>
      </c>
      <c r="L32" s="45" t="n"/>
      <c r="M32" s="55" t="n">
        <v>307</v>
      </c>
      <c r="N32" s="44" t="inlineStr">
        <is>
          <t>Portable Amp/DAC (Headfonics)</t>
        </is>
      </c>
      <c r="O32" s="44" t="inlineStr">
        <is>
          <t>Import Headfonics — à enrichir</t>
        </is>
      </c>
      <c r="P32" s="56" t="inlineStr">
        <is>
          <t>https://headfonics.com/category/portable-amps-dacs/</t>
        </is>
      </c>
      <c r="Q32" s="45" t="inlineStr">
        <is>
          <t>À évaluer</t>
        </is>
      </c>
      <c r="R32" s="45" t="inlineStr">
        <is>
          <t>À évaluer</t>
        </is>
      </c>
      <c r="S32" s="50" t="n">
        <v>8.699999999999999</v>
      </c>
      <c r="T32" s="49" t="inlineStr">
        <is>
          <t>Award</t>
        </is>
      </c>
      <c r="U32" s="81" t="n">
        <v>46223</v>
      </c>
      <c r="V32" s="49" t="n">
        <v>1</v>
      </c>
      <c r="W32" s="41" t="inlineStr">
        <is>
          <t>https://headfonics.com/?s=Questyle+M18i+Max</t>
        </is>
      </c>
      <c r="X32" s="49" t="inlineStr">
        <is>
          <t>ESS ES9219Q wireless portable DAC/amp</t>
        </is>
      </c>
    </row>
    <row r="33">
      <c r="A33" s="44" t="inlineStr">
        <is>
          <t>AFUL</t>
        </is>
      </c>
      <c r="B33" s="44" t="inlineStr">
        <is>
          <t>ICEBORNE</t>
        </is>
      </c>
      <c r="C33" s="45" t="n"/>
      <c r="D33" s="45" t="inlineStr">
        <is>
          <t>Non</t>
        </is>
      </c>
      <c r="E33" s="45" t="inlineStr">
        <is>
          <t>Non</t>
        </is>
      </c>
      <c r="F33" s="190" t="inlineStr">
        <is>
          <t>Oui</t>
        </is>
      </c>
      <c r="G33" s="190" t="inlineStr">
        <is>
          <t>Oui</t>
        </is>
      </c>
      <c r="H33" s="190" t="inlineStr">
        <is>
          <t>Non</t>
        </is>
      </c>
      <c r="I33" s="190" t="inlineStr">
        <is>
          <t>Non</t>
        </is>
      </c>
      <c r="J33" s="190" t="inlineStr">
        <is>
          <t>Non</t>
        </is>
      </c>
      <c r="K33" s="187" t="inlineStr">
        <is>
          <t>Non</t>
        </is>
      </c>
      <c r="L33" s="45" t="n"/>
      <c r="M33" s="55" t="n">
        <v>132</v>
      </c>
      <c r="N33" s="44" t="inlineStr">
        <is>
          <t>Portable Amp/DAC (Headfonics)</t>
        </is>
      </c>
      <c r="O33" s="44" t="inlineStr">
        <is>
          <t>Import Headfonics — à enrichir</t>
        </is>
      </c>
      <c r="P33" s="56" t="inlineStr">
        <is>
          <t>https://headfonics.com/category/portable-amps-dacs/</t>
        </is>
      </c>
      <c r="Q33" s="45" t="inlineStr">
        <is>
          <t>À évaluer</t>
        </is>
      </c>
      <c r="R33" s="45" t="inlineStr">
        <is>
          <t>À évaluer</t>
        </is>
      </c>
      <c r="S33" s="52" t="n">
        <v>8.300000000000001</v>
      </c>
      <c r="T33" s="49" t="inlineStr">
        <is>
          <t>Award</t>
        </is>
      </c>
      <c r="U33" s="81" t="n">
        <v>46209</v>
      </c>
      <c r="V33" s="49" t="n">
        <v>1</v>
      </c>
      <c r="W33" s="41" t="inlineStr">
        <is>
          <t>https://headfonics.com/?s=AFUL+ICEBORNE</t>
        </is>
      </c>
      <c r="X33" s="49" t="inlineStr">
        <is>
          <t>Dual CS43198 dongle DAC, up to 300 mW</t>
        </is>
      </c>
    </row>
    <row r="34">
      <c r="A34" s="44" t="inlineStr">
        <is>
          <t>Fosi Audio</t>
        </is>
      </c>
      <c r="B34" s="44" t="inlineStr">
        <is>
          <t>MD3</t>
        </is>
      </c>
      <c r="C34" s="45" t="n"/>
      <c r="D34" s="45" t="inlineStr">
        <is>
          <t>Oui</t>
        </is>
      </c>
      <c r="E34" s="192" t="inlineStr">
        <is>
          <t>Non</t>
        </is>
      </c>
      <c r="F34" s="190" t="inlineStr">
        <is>
          <t>Oui</t>
        </is>
      </c>
      <c r="G34" s="190" t="inlineStr">
        <is>
          <t>Oui</t>
        </is>
      </c>
      <c r="H34" s="190" t="inlineStr">
        <is>
          <t>Non</t>
        </is>
      </c>
      <c r="I34" s="190" t="inlineStr">
        <is>
          <t>Non</t>
        </is>
      </c>
      <c r="J34" s="190" t="inlineStr">
        <is>
          <t>Non</t>
        </is>
      </c>
      <c r="K34" s="187" t="inlineStr">
        <is>
          <t>Non</t>
        </is>
      </c>
      <c r="L34" s="45" t="n"/>
      <c r="M34" s="55" t="n">
        <v>132</v>
      </c>
      <c r="N34" s="44" t="inlineStr">
        <is>
          <t>Portable Amp/DAC (Headfonics)</t>
        </is>
      </c>
      <c r="O34" s="44" t="inlineStr">
        <is>
          <t>Import Headfonics — à enrichir</t>
        </is>
      </c>
      <c r="P34" s="56" t="inlineStr">
        <is>
          <t>https://headfonics.com/category/portable-amps-dacs/</t>
        </is>
      </c>
      <c r="Q34" s="45" t="inlineStr">
        <is>
          <t>À évaluer</t>
        </is>
      </c>
      <c r="R34" s="45" t="inlineStr">
        <is>
          <t>À évaluer</t>
        </is>
      </c>
      <c r="S34" s="53" t="n">
        <v>7.9</v>
      </c>
      <c r="T34" s="49" t="inlineStr">
        <is>
          <t>Award</t>
        </is>
      </c>
      <c r="U34" s="81" t="n">
        <v>46207</v>
      </c>
      <c r="V34" s="49" t="n">
        <v>1</v>
      </c>
      <c r="W34" s="41" t="inlineStr">
        <is>
          <t>https://headfonics.com/?s=Fosi+Audio+MD3</t>
        </is>
      </c>
      <c r="X34" s="49" t="inlineStr">
        <is>
          <t>MagSafe ES9039Q2M portable DAC/amp, 180 mW</t>
        </is>
      </c>
    </row>
    <row r="35">
      <c r="A35" s="44" t="inlineStr">
        <is>
          <t>iFi audio</t>
        </is>
      </c>
      <c r="B35" s="44" t="inlineStr">
        <is>
          <t>GO link 2</t>
        </is>
      </c>
      <c r="C35" s="45" t="n"/>
      <c r="D35" s="192" t="inlineStr">
        <is>
          <t>Non</t>
        </is>
      </c>
      <c r="E35" s="192" t="inlineStr">
        <is>
          <t>Non</t>
        </is>
      </c>
      <c r="F35" s="190" t="inlineStr">
        <is>
          <t>Oui</t>
        </is>
      </c>
      <c r="G35" s="190" t="inlineStr">
        <is>
          <t>Non</t>
        </is>
      </c>
      <c r="H35" s="190" t="inlineStr">
        <is>
          <t>Non</t>
        </is>
      </c>
      <c r="I35" s="190" t="inlineStr">
        <is>
          <t>Non</t>
        </is>
      </c>
      <c r="J35" s="190" t="inlineStr">
        <is>
          <t>Non</t>
        </is>
      </c>
      <c r="K35" s="187" t="inlineStr">
        <is>
          <t>Non</t>
        </is>
      </c>
      <c r="L35" s="45" t="n"/>
      <c r="M35" s="55" t="n">
        <v>69</v>
      </c>
      <c r="N35" s="44" t="inlineStr">
        <is>
          <t>Portable Amp/DAC (Headfonics)</t>
        </is>
      </c>
      <c r="O35" s="44" t="inlineStr">
        <is>
          <t>Import Headfonics — à enrichir</t>
        </is>
      </c>
      <c r="P35" s="56" t="inlineStr">
        <is>
          <t>https://headfonics.com/category/portable-amps-dacs/</t>
        </is>
      </c>
      <c r="Q35" s="45" t="inlineStr">
        <is>
          <t>À évaluer</t>
        </is>
      </c>
      <c r="R35" s="45" t="inlineStr">
        <is>
          <t>À évaluer</t>
        </is>
      </c>
      <c r="S35" s="52" t="n">
        <v>8.1</v>
      </c>
      <c r="T35" s="49" t="inlineStr">
        <is>
          <t>Award</t>
        </is>
      </c>
      <c r="U35" s="81" t="n">
        <v>46197</v>
      </c>
      <c r="V35" s="49" t="n">
        <v>1</v>
      </c>
      <c r="W35" s="41" t="inlineStr">
        <is>
          <t>https://headfonics.com/?s=iFi+audio+GO+link+2</t>
        </is>
      </c>
      <c r="X35" s="49" t="inlineStr">
        <is>
          <t>Dual ESS dongle DAC, up to 244 mW</t>
        </is>
      </c>
    </row>
    <row r="36">
      <c r="A36" s="44" t="inlineStr">
        <is>
          <t>MUSE HiFi</t>
        </is>
      </c>
      <c r="B36" s="44" t="inlineStr">
        <is>
          <t>M3 Ultra</t>
        </is>
      </c>
      <c r="C36" s="45" t="inlineStr">
        <is>
          <t>ES9028Q2M; architecture hybride / tubes</t>
        </is>
      </c>
      <c r="D36" s="45" t="inlineStr">
        <is>
          <t>Non</t>
        </is>
      </c>
      <c r="E36" s="192" t="inlineStr">
        <is>
          <t>Non</t>
        </is>
      </c>
      <c r="F36" s="190" t="inlineStr">
        <is>
          <t>Oui</t>
        </is>
      </c>
      <c r="G36" s="190" t="inlineStr">
        <is>
          <t>Oui</t>
        </is>
      </c>
      <c r="H36" s="190" t="inlineStr">
        <is>
          <t>Non</t>
        </is>
      </c>
      <c r="I36" s="190" t="inlineStr">
        <is>
          <t>Non</t>
        </is>
      </c>
      <c r="J36" s="190" t="inlineStr">
        <is>
          <t>Non</t>
        </is>
      </c>
      <c r="K36" s="190" t="inlineStr">
        <is>
          <t>Non</t>
        </is>
      </c>
      <c r="L36" s="45" t="n"/>
      <c r="M36" s="55" t="n">
        <v>109</v>
      </c>
      <c r="N36" s="44" t="inlineStr">
        <is>
          <t>Portable Amp/DAC (Headfonics)</t>
        </is>
      </c>
      <c r="O36" s="44" t="inlineStr">
        <is>
          <t>Import Headfonics — à enrichir</t>
        </is>
      </c>
      <c r="P36" s="56" t="inlineStr">
        <is>
          <t>https://headfonics.com/category/portable-amps-dacs/</t>
        </is>
      </c>
      <c r="Q36" s="45" t="inlineStr">
        <is>
          <t>À évaluer</t>
        </is>
      </c>
      <c r="R36" s="45" t="inlineStr">
        <is>
          <t>À évaluer</t>
        </is>
      </c>
      <c r="S36" s="52" t="n">
        <v>8.300000000000001</v>
      </c>
      <c r="T36" s="49" t="inlineStr">
        <is>
          <t>Award</t>
        </is>
      </c>
      <c r="U36" s="81" t="n">
        <v>46181</v>
      </c>
      <c r="V36" s="49" t="n">
        <v>1</v>
      </c>
      <c r="W36" s="41" t="inlineStr">
        <is>
          <t>https://headfonics.com/?s=MUSE+HiFi+M3+Ultra</t>
        </is>
      </c>
      <c r="X36" s="49" t="inlineStr">
        <is>
          <t>ES9028Q2M + dual JAN6418 tube portable amp, 480 mW</t>
        </is>
      </c>
    </row>
    <row r="37">
      <c r="A37" s="44" t="inlineStr">
        <is>
          <t>xDuoo</t>
        </is>
      </c>
      <c r="B37" s="44" t="inlineStr">
        <is>
          <t>Link3</t>
        </is>
      </c>
      <c r="C37" s="45" t="inlineStr">
        <is>
          <t>2x ES9039Q2M; XMOS XU316</t>
        </is>
      </c>
      <c r="D37" s="192" t="inlineStr">
        <is>
          <t>Non</t>
        </is>
      </c>
      <c r="E37" s="192" t="inlineStr">
        <is>
          <t>Non</t>
        </is>
      </c>
      <c r="F37" s="190" t="inlineStr">
        <is>
          <t>Oui</t>
        </is>
      </c>
      <c r="G37" s="190" t="inlineStr">
        <is>
          <t>Oui</t>
        </is>
      </c>
      <c r="H37" s="190" t="inlineStr">
        <is>
          <t>Non</t>
        </is>
      </c>
      <c r="I37" s="190" t="inlineStr">
        <is>
          <t>Non</t>
        </is>
      </c>
      <c r="J37" s="190" t="inlineStr">
        <is>
          <t>Non</t>
        </is>
      </c>
      <c r="K37" s="190" t="inlineStr">
        <is>
          <t>Non</t>
        </is>
      </c>
      <c r="L37" s="45" t="n"/>
      <c r="M37" s="55" t="n">
        <v>239</v>
      </c>
      <c r="N37" s="44" t="inlineStr">
        <is>
          <t>Portable Amp/DAC (Headfonics)</t>
        </is>
      </c>
      <c r="O37" s="44" t="inlineStr">
        <is>
          <t>Import Headfonics — à enrichir</t>
        </is>
      </c>
      <c r="P37" s="56" t="inlineStr">
        <is>
          <t>https://headfonics.com/category/portable-amps-dacs/</t>
        </is>
      </c>
      <c r="Q37" s="45" t="inlineStr">
        <is>
          <t>À évaluer</t>
        </is>
      </c>
      <c r="R37" s="45" t="inlineStr">
        <is>
          <t>À évaluer</t>
        </is>
      </c>
      <c r="S37" s="52" t="n">
        <v>8.6</v>
      </c>
      <c r="T37" s="49" t="inlineStr">
        <is>
          <t>Award</t>
        </is>
      </c>
      <c r="U37" s="81" t="n">
        <v>46178</v>
      </c>
      <c r="V37" s="49" t="n">
        <v>1</v>
      </c>
      <c r="W37" s="41" t="inlineStr">
        <is>
          <t>https://headfonics.com/?s=xDuoo+Link3</t>
        </is>
      </c>
      <c r="X37" s="49" t="inlineStr">
        <is>
          <t>Dongle DAC with microSD slot</t>
        </is>
      </c>
    </row>
    <row r="38">
      <c r="A38" s="44" t="inlineStr">
        <is>
          <t>xDuoo</t>
        </is>
      </c>
      <c r="B38" s="44" t="inlineStr">
        <is>
          <t>XP-2 Bal</t>
        </is>
      </c>
      <c r="C38" s="45" t="n"/>
      <c r="D38" s="192" t="inlineStr">
        <is>
          <t>Oui</t>
        </is>
      </c>
      <c r="E38" s="192" t="inlineStr">
        <is>
          <t>Oui</t>
        </is>
      </c>
      <c r="F38" s="190" t="inlineStr">
        <is>
          <t>Oui</t>
        </is>
      </c>
      <c r="G38" s="190" t="inlineStr">
        <is>
          <t>Oui</t>
        </is>
      </c>
      <c r="H38" s="187" t="inlineStr">
        <is>
          <t>Non</t>
        </is>
      </c>
      <c r="I38" s="187" t="inlineStr">
        <is>
          <t>Non</t>
        </is>
      </c>
      <c r="J38" s="187" t="inlineStr">
        <is>
          <t>Non</t>
        </is>
      </c>
      <c r="K38" s="187" t="inlineStr">
        <is>
          <t>Non</t>
        </is>
      </c>
      <c r="L38" s="45" t="n"/>
      <c r="M38" s="55" t="n">
        <v>149</v>
      </c>
      <c r="N38" s="44" t="inlineStr">
        <is>
          <t>Portable Amp/DAC (Headfonics)</t>
        </is>
      </c>
      <c r="O38" s="44" t="inlineStr">
        <is>
          <t>Import Headfonics — à enrichir</t>
        </is>
      </c>
      <c r="P38" s="56" t="inlineStr">
        <is>
          <t>https://headfonics.com/category/portable-amps-dacs/</t>
        </is>
      </c>
      <c r="Q38" s="45" t="inlineStr">
        <is>
          <t>À évaluer</t>
        </is>
      </c>
      <c r="R38" s="45" t="inlineStr">
        <is>
          <t>À évaluer</t>
        </is>
      </c>
      <c r="S38" s="52" t="n">
        <v>8.4</v>
      </c>
      <c r="T38" s="49" t="inlineStr">
        <is>
          <t>Award</t>
        </is>
      </c>
      <c r="U38" s="81" t="n">
        <v>46157</v>
      </c>
      <c r="V38" s="49" t="n">
        <v>1</v>
      </c>
      <c r="W38" s="41" t="inlineStr">
        <is>
          <t>https://headfonics.com/?s=xDuoo+XP-2+Bal</t>
        </is>
      </c>
      <c r="X38" s="49" t="inlineStr">
        <is>
          <t>Portable DAC/amp, balanced 320 mW, Bluetooth</t>
        </is>
      </c>
    </row>
    <row r="39">
      <c r="A39" s="44" t="inlineStr">
        <is>
          <t>iBasso</t>
        </is>
      </c>
      <c r="B39" s="44" t="inlineStr">
        <is>
          <t>PB6 MACAW</t>
        </is>
      </c>
      <c r="C39" s="45" t="n"/>
      <c r="D39" s="192" t="inlineStr">
        <is>
          <t>Oui</t>
        </is>
      </c>
      <c r="E39" s="192" t="inlineStr">
        <is>
          <t>Non</t>
        </is>
      </c>
      <c r="F39" s="190" t="inlineStr">
        <is>
          <t>Oui</t>
        </is>
      </c>
      <c r="G39" s="190" t="inlineStr">
        <is>
          <t>Oui</t>
        </is>
      </c>
      <c r="H39" s="190" t="inlineStr">
        <is>
          <t>Non</t>
        </is>
      </c>
      <c r="I39" s="190" t="inlineStr">
        <is>
          <t>Non</t>
        </is>
      </c>
      <c r="J39" s="190" t="inlineStr">
        <is>
          <t>Non</t>
        </is>
      </c>
      <c r="K39" s="187" t="inlineStr">
        <is>
          <t>Non</t>
        </is>
      </c>
      <c r="L39" s="45" t="n"/>
      <c r="M39" s="55" t="n">
        <v>438</v>
      </c>
      <c r="N39" s="44" t="inlineStr">
        <is>
          <t>Portable Amp/DAC (Headfonics)</t>
        </is>
      </c>
      <c r="O39" s="44" t="inlineStr">
        <is>
          <t>Import Headfonics — à enrichir</t>
        </is>
      </c>
      <c r="P39" s="56" t="inlineStr">
        <is>
          <t>https://headfonics.com/category/portable-amps-dacs/</t>
        </is>
      </c>
      <c r="Q39" s="45" t="inlineStr">
        <is>
          <t>À évaluer</t>
        </is>
      </c>
      <c r="R39" s="45" t="inlineStr">
        <is>
          <t>À évaluer</t>
        </is>
      </c>
      <c r="S39" s="50" t="n">
        <v>9</v>
      </c>
      <c r="T39" s="49" t="inlineStr">
        <is>
          <t>Award</t>
        </is>
      </c>
      <c r="U39" s="81" t="n">
        <v>46081</v>
      </c>
      <c r="V39" s="49" t="n">
        <v>1</v>
      </c>
      <c r="W39" s="41" t="inlineStr">
        <is>
          <t>https://headfonics.com/?s=iBasso+PB6+MACAW</t>
        </is>
      </c>
      <c r="X39" s="49" t="inlineStr">
        <is>
          <t>Quad JAN6418 tube portable headphone amplifier, up to 2.3 W</t>
        </is>
      </c>
    </row>
    <row r="40">
      <c r="A40" s="44" t="inlineStr">
        <is>
          <t>HiBy</t>
        </is>
      </c>
      <c r="B40" s="44" t="inlineStr">
        <is>
          <t>W4</t>
        </is>
      </c>
      <c r="C40" s="45" t="n"/>
      <c r="D40" s="192" t="inlineStr">
        <is>
          <t>Oui</t>
        </is>
      </c>
      <c r="E40" s="192" t="inlineStr">
        <is>
          <t>Oui</t>
        </is>
      </c>
      <c r="F40" s="190" t="inlineStr">
        <is>
          <t>Oui</t>
        </is>
      </c>
      <c r="G40" s="190" t="inlineStr">
        <is>
          <t>Oui</t>
        </is>
      </c>
      <c r="H40" s="190" t="inlineStr">
        <is>
          <t>Non</t>
        </is>
      </c>
      <c r="I40" s="190" t="inlineStr">
        <is>
          <t>Non</t>
        </is>
      </c>
      <c r="J40" s="190" t="inlineStr">
        <is>
          <t>Non</t>
        </is>
      </c>
      <c r="K40" s="187" t="inlineStr">
        <is>
          <t>Non</t>
        </is>
      </c>
      <c r="L40" s="45" t="n"/>
      <c r="M40" s="55" t="n">
        <v>87</v>
      </c>
      <c r="N40" s="44" t="inlineStr">
        <is>
          <t>Portable Amp/DAC (Headfonics)</t>
        </is>
      </c>
      <c r="O40" s="44" t="inlineStr">
        <is>
          <t>Import Headfonics — à enrichir</t>
        </is>
      </c>
      <c r="P40" s="56" t="inlineStr">
        <is>
          <t>https://headfonics.com/category/portable-amps-dacs/</t>
        </is>
      </c>
      <c r="Q40" s="45" t="inlineStr">
        <is>
          <t>À évaluer</t>
        </is>
      </c>
      <c r="R40" s="45" t="inlineStr">
        <is>
          <t>À évaluer</t>
        </is>
      </c>
      <c r="S40" s="52" t="n">
        <v>8.300000000000001</v>
      </c>
      <c r="T40" s="49" t="inlineStr">
        <is>
          <t>Award</t>
        </is>
      </c>
      <c r="U40" s="81" t="n">
        <v>46066</v>
      </c>
      <c r="V40" s="49" t="n">
        <v>1</v>
      </c>
      <c r="W40" s="41" t="inlineStr">
        <is>
          <t>https://headfonics.com/?s=HiBy+W4</t>
        </is>
      </c>
      <c r="X40" s="49" t="inlineStr">
        <is>
          <t>Bluetooth 5.4 dual-DAC portable amp, up to 475 mW</t>
        </is>
      </c>
    </row>
    <row r="41">
      <c r="A41" s="44" t="inlineStr">
        <is>
          <t>Questyle</t>
        </is>
      </c>
      <c r="B41" s="44" t="inlineStr">
        <is>
          <t>SIGMA Pro</t>
        </is>
      </c>
      <c r="C41" s="45" t="n"/>
      <c r="D41" s="192" t="inlineStr">
        <is>
          <t>Oui</t>
        </is>
      </c>
      <c r="E41" s="192" t="inlineStr">
        <is>
          <t>Oui</t>
        </is>
      </c>
      <c r="F41" s="190" t="inlineStr">
        <is>
          <t>Oui</t>
        </is>
      </c>
      <c r="G41" s="190" t="inlineStr">
        <is>
          <t>Oui</t>
        </is>
      </c>
      <c r="H41" s="190" t="inlineStr">
        <is>
          <t>Non</t>
        </is>
      </c>
      <c r="I41" s="190" t="inlineStr">
        <is>
          <t>Oui</t>
        </is>
      </c>
      <c r="J41" s="190" t="inlineStr">
        <is>
          <t>Non</t>
        </is>
      </c>
      <c r="K41" s="187" t="inlineStr">
        <is>
          <t>Non</t>
        </is>
      </c>
      <c r="L41" s="45" t="n"/>
      <c r="M41" s="55" t="n">
        <v>790</v>
      </c>
      <c r="N41" s="44" t="inlineStr">
        <is>
          <t>Portable Amp/DAC (Headfonics)</t>
        </is>
      </c>
      <c r="O41" s="44" t="inlineStr">
        <is>
          <t>Import Headfonics — à enrichir</t>
        </is>
      </c>
      <c r="P41" s="56" t="inlineStr">
        <is>
          <t>https://headfonics.com/category/portable-amps-dacs/</t>
        </is>
      </c>
      <c r="Q41" s="45" t="inlineStr">
        <is>
          <t>À évaluer</t>
        </is>
      </c>
      <c r="R41" s="45" t="inlineStr">
        <is>
          <t>À évaluer</t>
        </is>
      </c>
      <c r="S41" s="52" t="n">
        <v>8.6</v>
      </c>
      <c r="T41" s="49" t="inlineStr">
        <is>
          <t>Award</t>
        </is>
      </c>
      <c r="U41" s="81" t="n">
        <v>46053</v>
      </c>
      <c r="V41" s="49" t="n">
        <v>1</v>
      </c>
      <c r="W41" s="41" t="inlineStr">
        <is>
          <t>https://headfonics.com/?s=Questyle+SIGMA+Pro</t>
        </is>
      </c>
      <c r="X41" s="49" t="inlineStr">
        <is>
          <t>Bluetooth-capable Current Mode portable DAC/amp</t>
        </is>
      </c>
    </row>
    <row r="42">
      <c r="A42" s="44" t="inlineStr">
        <is>
          <t>iBasso</t>
        </is>
      </c>
      <c r="B42" s="44" t="inlineStr">
        <is>
          <t>D17 Atheris</t>
        </is>
      </c>
      <c r="C42" s="45" t="n"/>
      <c r="D42" s="192" t="inlineStr">
        <is>
          <t>Oui</t>
        </is>
      </c>
      <c r="E42" s="192" t="inlineStr">
        <is>
          <t>Non</t>
        </is>
      </c>
      <c r="F42" s="190" t="inlineStr">
        <is>
          <t>Oui</t>
        </is>
      </c>
      <c r="G42" s="190" t="inlineStr">
        <is>
          <t>Oui</t>
        </is>
      </c>
      <c r="H42" s="190" t="inlineStr">
        <is>
          <t>Non</t>
        </is>
      </c>
      <c r="I42" s="190" t="inlineStr">
        <is>
          <t>Non</t>
        </is>
      </c>
      <c r="J42" s="190" t="inlineStr">
        <is>
          <t>Non</t>
        </is>
      </c>
      <c r="K42" s="187" t="inlineStr">
        <is>
          <t>Non</t>
        </is>
      </c>
      <c r="L42" s="45" t="n"/>
      <c r="M42" s="55" t="n">
        <v>1757</v>
      </c>
      <c r="N42" s="44" t="inlineStr">
        <is>
          <t>Portable Amp/DAC (Headfonics)</t>
        </is>
      </c>
      <c r="O42" s="44" t="inlineStr">
        <is>
          <t>Import Headfonics — à enrichir</t>
        </is>
      </c>
      <c r="P42" s="56" t="inlineStr">
        <is>
          <t>https://headfonics.com/category/portable-amps-dacs/</t>
        </is>
      </c>
      <c r="Q42" s="45" t="inlineStr">
        <is>
          <t>À évaluer</t>
        </is>
      </c>
      <c r="R42" s="45" t="inlineStr">
        <is>
          <t>À évaluer</t>
        </is>
      </c>
      <c r="S42" s="50" t="n">
        <v>9</v>
      </c>
      <c r="T42" s="49" t="inlineStr">
        <is>
          <t>Reader</t>
        </is>
      </c>
      <c r="U42" s="81" t="n">
        <v>45992</v>
      </c>
      <c r="V42" s="49" t="n">
        <v>1</v>
      </c>
      <c r="W42" s="41" t="inlineStr">
        <is>
          <t>https://headfonics.com/?s=iBasso+D17+Atheris</t>
        </is>
      </c>
      <c r="X42" s="49" t="inlineStr">
        <is>
          <t>Discrete R2R + 1-bit portable DAC/amp, up to 1.2 W</t>
        </is>
      </c>
    </row>
    <row r="43">
      <c r="A43" s="44" t="inlineStr">
        <is>
          <t>Cayin</t>
        </is>
      </c>
      <c r="B43" s="44" t="inlineStr">
        <is>
          <t>RU3</t>
        </is>
      </c>
      <c r="C43" s="45" t="n"/>
      <c r="D43" s="192" t="inlineStr">
        <is>
          <t>Non</t>
        </is>
      </c>
      <c r="E43" s="192" t="inlineStr">
        <is>
          <t>Non</t>
        </is>
      </c>
      <c r="F43" s="190" t="inlineStr">
        <is>
          <t>Oui</t>
        </is>
      </c>
      <c r="G43" s="190" t="inlineStr">
        <is>
          <t>Oui</t>
        </is>
      </c>
      <c r="H43" s="190" t="inlineStr">
        <is>
          <t>Non</t>
        </is>
      </c>
      <c r="I43" s="190" t="inlineStr">
        <is>
          <t>Non</t>
        </is>
      </c>
      <c r="J43" s="190" t="inlineStr">
        <is>
          <t>Non</t>
        </is>
      </c>
      <c r="K43" s="190" t="inlineStr">
        <is>
          <t>Oui</t>
        </is>
      </c>
      <c r="L43" s="45" t="n"/>
      <c r="M43" s="55" t="n">
        <v>87</v>
      </c>
      <c r="N43" s="44" t="inlineStr">
        <is>
          <t>Portable Amp/DAC (Headfonics)</t>
        </is>
      </c>
      <c r="O43" s="44" t="inlineStr">
        <is>
          <t>Import Headfonics — à enrichir</t>
        </is>
      </c>
      <c r="P43" s="56" t="inlineStr">
        <is>
          <t>https://headfonics.com/category/portable-amps-dacs/</t>
        </is>
      </c>
      <c r="Q43" s="45" t="inlineStr">
        <is>
          <t>À évaluer</t>
        </is>
      </c>
      <c r="R43" s="45" t="inlineStr">
        <is>
          <t>À évaluer</t>
        </is>
      </c>
      <c r="S43" s="52" t="n">
        <v>8.199999999999999</v>
      </c>
      <c r="T43" s="49" t="inlineStr">
        <is>
          <t>Reader</t>
        </is>
      </c>
      <c r="U43" s="81" t="n">
        <v>45990</v>
      </c>
      <c r="V43" s="49" t="n">
        <v>1</v>
      </c>
      <c r="W43" s="41" t="inlineStr">
        <is>
          <t>https://headfonics.com/?s=Cayin+RU3</t>
        </is>
      </c>
      <c r="X43" s="49" t="inlineStr">
        <is>
          <t>ES9069Q dongle DAC, app integration, up to 560 mW</t>
        </is>
      </c>
    </row>
    <row r="44">
      <c r="A44" s="44" t="inlineStr">
        <is>
          <t>FiiO</t>
        </is>
      </c>
      <c r="B44" s="44" t="inlineStr">
        <is>
          <t>SNOWSKY Tiny</t>
        </is>
      </c>
      <c r="C44" s="45" t="n"/>
      <c r="D44" s="45" t="inlineStr">
        <is>
          <t>Non</t>
        </is>
      </c>
      <c r="E44" s="45" t="inlineStr">
        <is>
          <t>Non</t>
        </is>
      </c>
      <c r="F44" s="190" t="inlineStr">
        <is>
          <t>Oui</t>
        </is>
      </c>
      <c r="G44" s="190" t="inlineStr">
        <is>
          <t>Selon variante</t>
        </is>
      </c>
      <c r="H44" s="190" t="inlineStr">
        <is>
          <t>Non</t>
        </is>
      </c>
      <c r="I44" s="190" t="inlineStr">
        <is>
          <t>Non</t>
        </is>
      </c>
      <c r="J44" s="190" t="inlineStr">
        <is>
          <t>Non</t>
        </is>
      </c>
      <c r="K44" s="190" t="inlineStr">
        <is>
          <t>Oui</t>
        </is>
      </c>
      <c r="L44" s="45" t="n"/>
      <c r="M44" s="55" t="n">
        <v>19</v>
      </c>
      <c r="N44" s="44" t="inlineStr">
        <is>
          <t>Portable Amp/DAC (Headfonics)</t>
        </is>
      </c>
      <c r="O44" s="44" t="inlineStr">
        <is>
          <t>Import Headfonics — à enrichir</t>
        </is>
      </c>
      <c r="P44" s="56" t="inlineStr">
        <is>
          <t>https://headfonics.com/category/portable-amps-dacs/</t>
        </is>
      </c>
      <c r="Q44" s="45" t="inlineStr">
        <is>
          <t>À évaluer</t>
        </is>
      </c>
      <c r="R44" s="45" t="inlineStr">
        <is>
          <t>À évaluer</t>
        </is>
      </c>
      <c r="S44" s="52" t="n">
        <v>8.1</v>
      </c>
      <c r="T44" s="49" t="inlineStr">
        <is>
          <t>Reader</t>
        </is>
      </c>
      <c r="U44" s="81" t="n">
        <v>45989</v>
      </c>
      <c r="V44" s="49" t="n">
        <v>1</v>
      </c>
      <c r="W44" s="41" t="inlineStr">
        <is>
          <t>https://headfonics.com/?s=FiiO+SNOWSKY+Tiny</t>
        </is>
      </c>
      <c r="X44" s="49" t="inlineStr">
        <is>
          <t>Affordable dongle DAC, PCM384/DSD256, 10-band PEQ</t>
        </is>
      </c>
    </row>
    <row r="45">
      <c r="A45" s="44" t="inlineStr">
        <is>
          <t>Khadas</t>
        </is>
      </c>
      <c r="B45" s="44" t="inlineStr">
        <is>
          <t>Tea Pro</t>
        </is>
      </c>
      <c r="C45" s="45" t="n"/>
      <c r="D45" s="192" t="inlineStr">
        <is>
          <t>Oui</t>
        </is>
      </c>
      <c r="E45" s="192" t="inlineStr">
        <is>
          <t>Oui</t>
        </is>
      </c>
      <c r="F45" s="190" t="inlineStr">
        <is>
          <t>Oui</t>
        </is>
      </c>
      <c r="G45" s="190" t="inlineStr">
        <is>
          <t>Oui</t>
        </is>
      </c>
      <c r="H45" s="190" t="inlineStr">
        <is>
          <t>Non</t>
        </is>
      </c>
      <c r="I45" s="190" t="inlineStr">
        <is>
          <t>Non</t>
        </is>
      </c>
      <c r="J45" s="190" t="inlineStr">
        <is>
          <t>Non</t>
        </is>
      </c>
      <c r="K45" s="187" t="inlineStr">
        <is>
          <t>Oui</t>
        </is>
      </c>
      <c r="L45" s="45" t="n"/>
      <c r="M45" s="55" t="n">
        <v>175</v>
      </c>
      <c r="N45" s="44" t="inlineStr">
        <is>
          <t>Portable Amp/DAC (Headfonics)</t>
        </is>
      </c>
      <c r="O45" s="44" t="inlineStr">
        <is>
          <t>Import Headfonics — à enrichir</t>
        </is>
      </c>
      <c r="P45" s="56" t="inlineStr">
        <is>
          <t>https://headfonics.com/category/portable-amps-dacs/</t>
        </is>
      </c>
      <c r="Q45" s="45" t="inlineStr">
        <is>
          <t>À évaluer</t>
        </is>
      </c>
      <c r="R45" s="45" t="inlineStr">
        <is>
          <t>À évaluer</t>
        </is>
      </c>
      <c r="S45" s="52" t="n">
        <v>8.1</v>
      </c>
      <c r="T45" s="49" t="inlineStr">
        <is>
          <t>Reader</t>
        </is>
      </c>
      <c r="U45" s="81" t="n">
        <v>45965</v>
      </c>
      <c r="V45" s="49" t="n">
        <v>1</v>
      </c>
      <c r="W45" s="41" t="inlineStr">
        <is>
          <t>https://headfonics.com/?s=Khadas+Tea+Pro</t>
        </is>
      </c>
      <c r="X45" s="49" t="inlineStr">
        <is>
          <t>Wireless ES9039Q2M magnetic portable DAC/amp</t>
        </is>
      </c>
    </row>
    <row r="46">
      <c r="A46" s="44" t="inlineStr">
        <is>
          <t>ddHiFi</t>
        </is>
      </c>
      <c r="B46" s="44" t="inlineStr">
        <is>
          <t>TC44Grip</t>
        </is>
      </c>
      <c r="C46" s="45" t="inlineStr">
        <is>
          <t>2x CS43198; 2x SGM8262-2</t>
        </is>
      </c>
      <c r="D46" s="45" t="inlineStr">
        <is>
          <t>Non</t>
        </is>
      </c>
      <c r="E46" s="45" t="inlineStr">
        <is>
          <t>Non</t>
        </is>
      </c>
      <c r="F46" s="190" t="inlineStr">
        <is>
          <t>Oui</t>
        </is>
      </c>
      <c r="G46" s="190" t="inlineStr">
        <is>
          <t>Oui</t>
        </is>
      </c>
      <c r="H46" s="190" t="inlineStr">
        <is>
          <t>Non</t>
        </is>
      </c>
      <c r="I46" s="190" t="inlineStr">
        <is>
          <t>Non</t>
        </is>
      </c>
      <c r="J46" s="190" t="inlineStr">
        <is>
          <t>Non</t>
        </is>
      </c>
      <c r="K46" s="187" t="inlineStr">
        <is>
          <t>Non</t>
        </is>
      </c>
      <c r="L46" s="45" t="n"/>
      <c r="M46" s="55" t="n">
        <v>159</v>
      </c>
      <c r="N46" s="44" t="inlineStr">
        <is>
          <t>Portable Amp/DAC (Headfonics)</t>
        </is>
      </c>
      <c r="O46" s="44" t="inlineStr">
        <is>
          <t>Import Headfonics — à enrichir</t>
        </is>
      </c>
      <c r="P46" s="56" t="inlineStr">
        <is>
          <t>https://headfonics.com/category/portable-amps-dacs/</t>
        </is>
      </c>
      <c r="Q46" s="45" t="inlineStr">
        <is>
          <t>À évaluer</t>
        </is>
      </c>
      <c r="R46" s="45" t="inlineStr">
        <is>
          <t>À évaluer</t>
        </is>
      </c>
      <c r="S46" s="53" t="n">
        <v>7.7</v>
      </c>
      <c r="T46" s="49" t="inlineStr">
        <is>
          <t>Reader</t>
        </is>
      </c>
      <c r="U46" s="81" t="n">
        <v>45964</v>
      </c>
      <c r="V46" s="49" t="n">
        <v>1</v>
      </c>
      <c r="W46" s="41" t="inlineStr">
        <is>
          <t>https://headfonics.com/?s=ddHiFi+TC44Grip</t>
        </is>
      </c>
      <c r="X46" s="49" t="inlineStr">
        <is>
          <t>Dual CS43198 smartphone-mounted dongle DAC, 330 mW</t>
        </is>
      </c>
    </row>
    <row r="47">
      <c r="A47" s="44" t="inlineStr">
        <is>
          <t>ddHiFi</t>
        </is>
      </c>
      <c r="B47" s="44" t="inlineStr">
        <is>
          <t>TC44 Pro E3</t>
        </is>
      </c>
      <c r="C47" s="45" t="inlineStr">
        <is>
          <t>2x CS43198; sorties 3.5/4.4 mm</t>
        </is>
      </c>
      <c r="D47" s="45" t="inlineStr">
        <is>
          <t>Non</t>
        </is>
      </c>
      <c r="E47" s="192" t="inlineStr">
        <is>
          <t>Non</t>
        </is>
      </c>
      <c r="F47" s="190" t="inlineStr">
        <is>
          <t>Oui</t>
        </is>
      </c>
      <c r="G47" s="190" t="inlineStr">
        <is>
          <t>Oui</t>
        </is>
      </c>
      <c r="H47" s="190" t="inlineStr">
        <is>
          <t>Non</t>
        </is>
      </c>
      <c r="I47" s="190" t="inlineStr">
        <is>
          <t>Non</t>
        </is>
      </c>
      <c r="J47" s="190" t="inlineStr">
        <is>
          <t>Non</t>
        </is>
      </c>
      <c r="K47" s="187" t="inlineStr">
        <is>
          <t>Non</t>
        </is>
      </c>
      <c r="L47" s="45" t="n"/>
      <c r="M47" s="55" t="n">
        <v>104.9</v>
      </c>
      <c r="N47" s="44" t="inlineStr">
        <is>
          <t>Portable Amp/DAC (Headfonics)</t>
        </is>
      </c>
      <c r="O47" s="44" t="inlineStr">
        <is>
          <t>Import Headfonics — à enrichir</t>
        </is>
      </c>
      <c r="P47" s="56" t="inlineStr">
        <is>
          <t>https://headfonics.com/category/portable-amps-dacs/</t>
        </is>
      </c>
      <c r="Q47" s="45" t="inlineStr">
        <is>
          <t>À évaluer</t>
        </is>
      </c>
      <c r="R47" s="45" t="inlineStr">
        <is>
          <t>À évaluer</t>
        </is>
      </c>
      <c r="S47" s="53" t="n">
        <v>7.9</v>
      </c>
      <c r="T47" s="49" t="inlineStr">
        <is>
          <t>Reader</t>
        </is>
      </c>
      <c r="U47" s="81" t="n">
        <v>45945</v>
      </c>
      <c r="V47" s="49" t="n">
        <v>1</v>
      </c>
      <c r="W47" s="41" t="inlineStr">
        <is>
          <t>https://headfonics.com/?s=ddHiFi+TC44+Pro+E3</t>
        </is>
      </c>
      <c r="X47" s="49" t="inlineStr">
        <is>
          <t>Dual CS43198 dongle DAC, up to 510 mW</t>
        </is>
      </c>
    </row>
    <row r="48">
      <c r="A48" s="44" t="inlineStr">
        <is>
          <t>xDuoo</t>
        </is>
      </c>
      <c r="B48" s="44" t="inlineStr">
        <is>
          <t>Link10</t>
        </is>
      </c>
      <c r="C48" s="45" t="inlineStr">
        <is>
          <t>2x CS43131; jusqu’à 2x300 mW @ 32Ω</t>
        </is>
      </c>
      <c r="D48" s="192" t="inlineStr">
        <is>
          <t>Non</t>
        </is>
      </c>
      <c r="E48" s="192" t="inlineStr">
        <is>
          <t>Non</t>
        </is>
      </c>
      <c r="F48" s="190" t="inlineStr">
        <is>
          <t>Oui</t>
        </is>
      </c>
      <c r="G48" s="190" t="inlineStr">
        <is>
          <t>Oui</t>
        </is>
      </c>
      <c r="H48" s="190" t="inlineStr">
        <is>
          <t>Non</t>
        </is>
      </c>
      <c r="I48" s="190" t="inlineStr">
        <is>
          <t>Non</t>
        </is>
      </c>
      <c r="J48" s="190" t="inlineStr">
        <is>
          <t>Non</t>
        </is>
      </c>
      <c r="K48" s="190" t="inlineStr">
        <is>
          <t>Non</t>
        </is>
      </c>
      <c r="L48" s="45" t="n"/>
      <c r="M48" s="55" t="n">
        <v>109</v>
      </c>
      <c r="N48" s="44" t="inlineStr">
        <is>
          <t>Portable Amp/DAC (Headfonics)</t>
        </is>
      </c>
      <c r="O48" s="44" t="inlineStr">
        <is>
          <t>Import Headfonics — à enrichir</t>
        </is>
      </c>
      <c r="P48" s="56" t="inlineStr">
        <is>
          <t>https://headfonics.com/category/portable-amps-dacs/page/2/</t>
        </is>
      </c>
      <c r="Q48" s="45" t="inlineStr">
        <is>
          <t>À évaluer</t>
        </is>
      </c>
      <c r="R48" s="45" t="inlineStr">
        <is>
          <t>À évaluer</t>
        </is>
      </c>
      <c r="S48" s="53" t="n">
        <v>7.7</v>
      </c>
      <c r="T48" s="49" t="inlineStr">
        <is>
          <t>Reader</t>
        </is>
      </c>
      <c r="U48" s="81" t="n">
        <v>45931</v>
      </c>
      <c r="V48" s="49" t="n">
        <v>2</v>
      </c>
      <c r="W48" s="41" t="inlineStr">
        <is>
          <t>https://headfonics.com/?s=xDuoo+Link10</t>
        </is>
      </c>
      <c r="X48" s="49" t="inlineStr">
        <is>
          <t>Dual CS43131 USB DAC/amp, up to 300 mW</t>
        </is>
      </c>
    </row>
    <row r="49">
      <c r="A49" s="44" t="inlineStr">
        <is>
          <t>FiiO</t>
        </is>
      </c>
      <c r="B49" s="44" t="inlineStr">
        <is>
          <t>JIEZI</t>
        </is>
      </c>
      <c r="C49" s="45" t="n"/>
      <c r="D49" s="45" t="inlineStr">
        <is>
          <t>Non</t>
        </is>
      </c>
      <c r="E49" s="192" t="inlineStr">
        <is>
          <t>Non</t>
        </is>
      </c>
      <c r="F49" s="190" t="inlineStr">
        <is>
          <t>Selon variante</t>
        </is>
      </c>
      <c r="G49" s="190" t="inlineStr">
        <is>
          <t>Selon variante</t>
        </is>
      </c>
      <c r="H49" s="190" t="inlineStr">
        <is>
          <t>Non</t>
        </is>
      </c>
      <c r="I49" s="190" t="inlineStr">
        <is>
          <t>Non</t>
        </is>
      </c>
      <c r="J49" s="190" t="inlineStr">
        <is>
          <t>Non</t>
        </is>
      </c>
      <c r="K49" s="190" t="inlineStr">
        <is>
          <t>Oui</t>
        </is>
      </c>
      <c r="L49" s="45" t="n"/>
      <c r="M49" s="55" t="n">
        <v>11</v>
      </c>
      <c r="N49" s="44" t="inlineStr">
        <is>
          <t>Portable Amp/DAC (Headfonics)</t>
        </is>
      </c>
      <c r="O49" s="44" t="inlineStr">
        <is>
          <t>Import Headfonics — à enrichir</t>
        </is>
      </c>
      <c r="P49" s="56" t="inlineStr">
        <is>
          <t>https://headfonics.com/category/portable-amps-dacs/page/2/</t>
        </is>
      </c>
      <c r="Q49" s="45" t="inlineStr">
        <is>
          <t>À évaluer</t>
        </is>
      </c>
      <c r="R49" s="45" t="inlineStr">
        <is>
          <t>À évaluer</t>
        </is>
      </c>
      <c r="S49" s="54" t="n">
        <v>7.4</v>
      </c>
      <c r="T49" s="49" t="inlineStr">
        <is>
          <t>Reader</t>
        </is>
      </c>
      <c r="U49" s="81" t="n">
        <v>45927</v>
      </c>
      <c r="V49" s="49" t="n">
        <v>2</v>
      </c>
      <c r="W49" s="41" t="inlineStr">
        <is>
          <t>https://headfonics.com/?s=FiiO+JIEZI</t>
        </is>
      </c>
      <c r="X49" s="49" t="inlineStr">
        <is>
          <t>Affordable 4.4 mm dongle DAC with 10-band PEQ</t>
        </is>
      </c>
    </row>
    <row r="50">
      <c r="A50" s="44" t="inlineStr">
        <is>
          <t>FiiO</t>
        </is>
      </c>
      <c r="B50" s="44" t="inlineStr">
        <is>
          <t>SNOWSKY Melody</t>
        </is>
      </c>
      <c r="C50" s="45" t="n"/>
      <c r="D50" s="45" t="inlineStr">
        <is>
          <t>Non</t>
        </is>
      </c>
      <c r="E50" s="192" t="inlineStr">
        <is>
          <t>Non</t>
        </is>
      </c>
      <c r="F50" s="190" t="inlineStr">
        <is>
          <t>Oui</t>
        </is>
      </c>
      <c r="G50" s="190" t="inlineStr">
        <is>
          <t>Oui</t>
        </is>
      </c>
      <c r="H50" s="190" t="inlineStr">
        <is>
          <t>Non</t>
        </is>
      </c>
      <c r="I50" s="190" t="inlineStr">
        <is>
          <t>Non</t>
        </is>
      </c>
      <c r="J50" s="190" t="inlineStr">
        <is>
          <t>Non</t>
        </is>
      </c>
      <c r="K50" s="190" t="inlineStr">
        <is>
          <t>Oui</t>
        </is>
      </c>
      <c r="L50" s="45" t="n"/>
      <c r="M50" s="55" t="n">
        <v>35</v>
      </c>
      <c r="N50" s="44" t="inlineStr">
        <is>
          <t>Portable Amp/DAC (Headfonics)</t>
        </is>
      </c>
      <c r="O50" s="44" t="inlineStr">
        <is>
          <t>Import Headfonics — à enrichir</t>
        </is>
      </c>
      <c r="P50" s="56" t="inlineStr">
        <is>
          <t>https://headfonics.com/category/portable-amps-dacs/page/2/</t>
        </is>
      </c>
      <c r="Q50" s="45" t="inlineStr">
        <is>
          <t>À évaluer</t>
        </is>
      </c>
      <c r="R50" s="45" t="inlineStr">
        <is>
          <t>À évaluer</t>
        </is>
      </c>
      <c r="S50" s="53" t="n">
        <v>7.7</v>
      </c>
      <c r="T50" s="49" t="inlineStr">
        <is>
          <t>Reader</t>
        </is>
      </c>
      <c r="U50" s="81" t="n">
        <v>45913</v>
      </c>
      <c r="V50" s="49" t="n">
        <v>2</v>
      </c>
      <c r="W50" s="41" t="inlineStr">
        <is>
          <t>https://headfonics.com/?s=FiiO+SNOWSKY+Melody</t>
        </is>
      </c>
      <c r="X50" s="49" t="inlineStr">
        <is>
          <t>Dual CS43131 wood-design dongle DAC, 250 mW</t>
        </is>
      </c>
    </row>
    <row r="51">
      <c r="A51" s="44" t="inlineStr">
        <is>
          <t>xDuoo</t>
        </is>
      </c>
      <c r="B51" s="44" t="inlineStr">
        <is>
          <t>XD05 Basic2</t>
        </is>
      </c>
      <c r="C51" s="45" t="inlineStr">
        <is>
          <t>CS43131; Bluetooth 5.4; PCM 32/384; DSD256</t>
        </is>
      </c>
      <c r="D51" s="192" t="inlineStr">
        <is>
          <t>Oui</t>
        </is>
      </c>
      <c r="E51" s="192" t="inlineStr">
        <is>
          <t>Oui</t>
        </is>
      </c>
      <c r="F51" s="190" t="inlineStr">
        <is>
          <t>Non</t>
        </is>
      </c>
      <c r="G51" s="190" t="inlineStr">
        <is>
          <t>Non</t>
        </is>
      </c>
      <c r="H51" s="190" t="inlineStr">
        <is>
          <t>Non</t>
        </is>
      </c>
      <c r="I51" s="190" t="inlineStr">
        <is>
          <t>Oui</t>
        </is>
      </c>
      <c r="J51" s="190" t="inlineStr">
        <is>
          <t>Non</t>
        </is>
      </c>
      <c r="K51" s="187" t="inlineStr">
        <is>
          <t>Non</t>
        </is>
      </c>
      <c r="L51" s="45" t="n"/>
      <c r="M51" s="55" t="n">
        <v>299</v>
      </c>
      <c r="N51" s="44" t="inlineStr">
        <is>
          <t>Portable Amp/DAC (Headfonics)</t>
        </is>
      </c>
      <c r="O51" s="44" t="inlineStr">
        <is>
          <t>Import Headfonics — à enrichir</t>
        </is>
      </c>
      <c r="P51" s="56" t="inlineStr">
        <is>
          <t>https://headfonics.com/category/portable-amps-dacs/page/2/</t>
        </is>
      </c>
      <c r="Q51" s="45" t="inlineStr">
        <is>
          <t>À évaluer</t>
        </is>
      </c>
      <c r="R51" s="45" t="inlineStr">
        <is>
          <t>À évaluer</t>
        </is>
      </c>
      <c r="S51" s="52" t="n">
        <v>8.300000000000001</v>
      </c>
      <c r="T51" s="49" t="inlineStr">
        <is>
          <t>Reader</t>
        </is>
      </c>
      <c r="U51" s="81" t="n">
        <v>45889</v>
      </c>
      <c r="V51" s="49" t="n">
        <v>2</v>
      </c>
      <c r="W51" s="41" t="inlineStr">
        <is>
          <t>https://headfonics.com/?s=xDuoo+XD05+Basic2</t>
        </is>
      </c>
      <c r="X51" s="49" t="inlineStr">
        <is>
          <t>CS43131 portable DAC/amp, 750 mW, swappable op-amps, wireless</t>
        </is>
      </c>
    </row>
    <row r="52">
      <c r="A52" s="44" t="inlineStr">
        <is>
          <t>iBasso</t>
        </is>
      </c>
      <c r="B52" s="44" t="inlineStr">
        <is>
          <t>Nunchaku</t>
        </is>
      </c>
      <c r="C52" s="45" t="inlineStr">
        <is>
          <t>2x CS43198; FPGA; amplification tube/transistor</t>
        </is>
      </c>
      <c r="D52" s="45" t="inlineStr">
        <is>
          <t>Non</t>
        </is>
      </c>
      <c r="E52" s="45" t="inlineStr">
        <is>
          <t>Non</t>
        </is>
      </c>
      <c r="F52" s="190" t="inlineStr">
        <is>
          <t>Oui</t>
        </is>
      </c>
      <c r="G52" s="190" t="inlineStr">
        <is>
          <t>Oui</t>
        </is>
      </c>
      <c r="H52" s="190" t="inlineStr">
        <is>
          <t>Non</t>
        </is>
      </c>
      <c r="I52" s="190" t="inlineStr">
        <is>
          <t>Non</t>
        </is>
      </c>
      <c r="J52" s="190" t="inlineStr">
        <is>
          <t>Non</t>
        </is>
      </c>
      <c r="K52" s="187" t="inlineStr">
        <is>
          <t>Non</t>
        </is>
      </c>
      <c r="L52" s="45" t="n"/>
      <c r="M52" s="55" t="n">
        <v>299</v>
      </c>
      <c r="N52" s="44" t="inlineStr">
        <is>
          <t>Portable Amp/DAC (Headfonics)</t>
        </is>
      </c>
      <c r="O52" s="44" t="inlineStr">
        <is>
          <t>Import Headfonics — à enrichir</t>
        </is>
      </c>
      <c r="P52" s="56" t="inlineStr">
        <is>
          <t>https://headfonics.com/category/portable-amps-dacs/page/2/</t>
        </is>
      </c>
      <c r="Q52" s="45" t="inlineStr">
        <is>
          <t>À évaluer</t>
        </is>
      </c>
      <c r="R52" s="45" t="inlineStr">
        <is>
          <t>À évaluer</t>
        </is>
      </c>
      <c r="S52" s="52" t="n">
        <v>8.6</v>
      </c>
      <c r="T52" s="49" t="inlineStr">
        <is>
          <t>Reader</t>
        </is>
      </c>
      <c r="U52" s="81" t="n">
        <v>45864</v>
      </c>
      <c r="V52" s="49" t="n">
        <v>2</v>
      </c>
      <c r="W52" s="41" t="inlineStr">
        <is>
          <t>https://headfonics.com/?s=iBasso+Nunchaku</t>
        </is>
      </c>
      <c r="X52" s="49" t="inlineStr">
        <is>
          <t>Portable DAC/amp; Headfonics category entry added after older cache snapshots</t>
        </is>
      </c>
    </row>
    <row r="53">
      <c r="A53" s="44" t="inlineStr">
        <is>
          <t>NiPO</t>
        </is>
      </c>
      <c r="B53" s="44" t="inlineStr">
        <is>
          <t>A100</t>
        </is>
      </c>
      <c r="C53" s="45" t="n"/>
      <c r="D53" s="192" t="inlineStr">
        <is>
          <t>Oui</t>
        </is>
      </c>
      <c r="E53" s="192" t="inlineStr">
        <is>
          <t>Non</t>
        </is>
      </c>
      <c r="F53" s="190" t="inlineStr">
        <is>
          <t>Oui</t>
        </is>
      </c>
      <c r="G53" s="190" t="inlineStr">
        <is>
          <t>Oui</t>
        </is>
      </c>
      <c r="H53" s="190" t="inlineStr">
        <is>
          <t>Non</t>
        </is>
      </c>
      <c r="I53" s="190" t="inlineStr">
        <is>
          <t>Non</t>
        </is>
      </c>
      <c r="J53" s="190" t="inlineStr">
        <is>
          <t>Non</t>
        </is>
      </c>
      <c r="K53" s="187" t="inlineStr">
        <is>
          <t>Non</t>
        </is>
      </c>
      <c r="L53" s="45" t="n"/>
      <c r="M53" s="55" t="n">
        <v>351</v>
      </c>
      <c r="N53" s="44" t="inlineStr">
        <is>
          <t>Portable Amp/DAC (Headfonics)</t>
        </is>
      </c>
      <c r="O53" s="44" t="inlineStr">
        <is>
          <t>Import Headfonics — à enrichir</t>
        </is>
      </c>
      <c r="P53" s="56" t="inlineStr">
        <is>
          <t>https://headfonics.com/category/portable-amps-dacs/page/2/</t>
        </is>
      </c>
      <c r="Q53" s="45" t="inlineStr">
        <is>
          <t>À évaluer</t>
        </is>
      </c>
      <c r="R53" s="45" t="inlineStr">
        <is>
          <t>À évaluer</t>
        </is>
      </c>
      <c r="S53" s="52" t="n">
        <v>8</v>
      </c>
      <c r="T53" s="49" t="inlineStr">
        <is>
          <t>Reader</t>
        </is>
      </c>
      <c r="U53" s="81" t="n">
        <v>45859</v>
      </c>
      <c r="V53" s="49" t="n">
        <v>2</v>
      </c>
      <c r="W53" s="41" t="inlineStr">
        <is>
          <t>https://headfonics.com/?s=NiPO+A100</t>
        </is>
      </c>
      <c r="X53" s="49" t="inlineStr">
        <is>
          <t>ES9039Q2M portable DAC/amp, up to 550 mW</t>
        </is>
      </c>
    </row>
    <row r="54">
      <c r="A54" s="44" t="inlineStr">
        <is>
          <t>ddHiFi</t>
        </is>
      </c>
      <c r="B54" s="44" t="inlineStr">
        <is>
          <t>TC44Pro M3</t>
        </is>
      </c>
      <c r="C54" s="45" t="n"/>
      <c r="D54" s="45" t="inlineStr">
        <is>
          <t>Non</t>
        </is>
      </c>
      <c r="E54" s="192" t="inlineStr">
        <is>
          <t>Non</t>
        </is>
      </c>
      <c r="F54" s="190" t="inlineStr">
        <is>
          <t>Oui</t>
        </is>
      </c>
      <c r="G54" s="190" t="inlineStr">
        <is>
          <t>Oui</t>
        </is>
      </c>
      <c r="H54" s="190" t="inlineStr">
        <is>
          <t>Non</t>
        </is>
      </c>
      <c r="I54" s="190" t="inlineStr">
        <is>
          <t>Non</t>
        </is>
      </c>
      <c r="J54" s="190" t="inlineStr">
        <is>
          <t>Non</t>
        </is>
      </c>
      <c r="K54" s="187" t="inlineStr">
        <is>
          <t>Non</t>
        </is>
      </c>
      <c r="L54" s="45" t="n"/>
      <c r="M54" s="55" t="n">
        <v>79</v>
      </c>
      <c r="N54" s="44" t="inlineStr">
        <is>
          <t>Portable Amp/DAC (Headfonics)</t>
        </is>
      </c>
      <c r="O54" s="44" t="inlineStr">
        <is>
          <t>Import Headfonics — à enrichir</t>
        </is>
      </c>
      <c r="P54" s="56" t="inlineStr">
        <is>
          <t>https://headfonics.com/category/portable-amps-dacs/page/2/</t>
        </is>
      </c>
      <c r="Q54" s="45" t="inlineStr">
        <is>
          <t>À évaluer</t>
        </is>
      </c>
      <c r="R54" s="45" t="inlineStr">
        <is>
          <t>À évaluer</t>
        </is>
      </c>
      <c r="S54" s="52" t="n">
        <v>8</v>
      </c>
      <c r="T54" s="49" t="inlineStr">
        <is>
          <t>Reader</t>
        </is>
      </c>
      <c r="U54" s="81" t="n">
        <v>45852</v>
      </c>
      <c r="V54" s="49" t="n">
        <v>2</v>
      </c>
      <c r="W54" s="41" t="inlineStr">
        <is>
          <t>https://headfonics.com/?s=ddHiFi+TC44Pro+M3</t>
        </is>
      </c>
      <c r="X54" s="49" t="inlineStr">
        <is>
          <t>Dual CS43198 dongle DAC, up to 120 mW balanced</t>
        </is>
      </c>
    </row>
    <row r="55">
      <c r="A55" s="44" t="inlineStr">
        <is>
          <t>Cayin</t>
        </is>
      </c>
      <c r="B55" s="44" t="inlineStr">
        <is>
          <t>RU9</t>
        </is>
      </c>
      <c r="C55" s="45" t="n"/>
      <c r="D55" s="192" t="inlineStr">
        <is>
          <t>Oui</t>
        </is>
      </c>
      <c r="E55" s="192" t="inlineStr">
        <is>
          <t>Oui</t>
        </is>
      </c>
      <c r="F55" s="190" t="inlineStr">
        <is>
          <t>Oui</t>
        </is>
      </c>
      <c r="G55" s="190" t="inlineStr">
        <is>
          <t>Oui</t>
        </is>
      </c>
      <c r="H55" s="190" t="inlineStr">
        <is>
          <t>Non</t>
        </is>
      </c>
      <c r="I55" s="190" t="inlineStr">
        <is>
          <t>Non</t>
        </is>
      </c>
      <c r="J55" s="190" t="inlineStr">
        <is>
          <t>Non</t>
        </is>
      </c>
      <c r="K55" s="190" t="inlineStr">
        <is>
          <t>Non</t>
        </is>
      </c>
      <c r="L55" s="45" t="n"/>
      <c r="M55" s="55" t="n">
        <v>438</v>
      </c>
      <c r="N55" s="44" t="inlineStr">
        <is>
          <t>Portable Amp/DAC (Headfonics)</t>
        </is>
      </c>
      <c r="O55" s="44" t="inlineStr">
        <is>
          <t>Import Headfonics — à enrichir</t>
        </is>
      </c>
      <c r="P55" s="56" t="inlineStr">
        <is>
          <t>https://headfonics.com/category/portable-amps-dacs/page/2/</t>
        </is>
      </c>
      <c r="Q55" s="45" t="inlineStr">
        <is>
          <t>À évaluer</t>
        </is>
      </c>
      <c r="R55" s="45" t="inlineStr">
        <is>
          <t>À évaluer</t>
        </is>
      </c>
      <c r="S55" s="52" t="n">
        <v>8.6</v>
      </c>
      <c r="T55" s="49" t="inlineStr">
        <is>
          <t>Reader</t>
        </is>
      </c>
      <c r="U55" s="81" t="n">
        <v>45850</v>
      </c>
      <c r="V55" s="49" t="n">
        <v>2</v>
      </c>
      <c r="W55" s="41" t="inlineStr">
        <is>
          <t>https://headfonics.com/?s=Cayin+RU9</t>
        </is>
      </c>
      <c r="X55" s="49" t="inlineStr">
        <is>
          <t>Tube/solid-state USB DAC/amp, up to 1 W</t>
        </is>
      </c>
    </row>
    <row r="56">
      <c r="A56" s="44" t="inlineStr">
        <is>
          <t>Shanling</t>
        </is>
      </c>
      <c r="B56" s="44" t="inlineStr">
        <is>
          <t>UP6</t>
        </is>
      </c>
      <c r="C56" s="45" t="inlineStr">
        <is>
          <t>2x ES9069Q; 2x SGM8262; Bluetooth 5.2</t>
        </is>
      </c>
      <c r="D56" s="192" t="inlineStr">
        <is>
          <t>Oui</t>
        </is>
      </c>
      <c r="E56" s="192" t="inlineStr">
        <is>
          <t>Oui</t>
        </is>
      </c>
      <c r="F56" s="190" t="inlineStr">
        <is>
          <t>Oui</t>
        </is>
      </c>
      <c r="G56" s="190" t="inlineStr">
        <is>
          <t>Oui</t>
        </is>
      </c>
      <c r="H56" s="190" t="inlineStr">
        <is>
          <t>Non</t>
        </is>
      </c>
      <c r="I56" s="190" t="inlineStr">
        <is>
          <t>Non</t>
        </is>
      </c>
      <c r="J56" s="190" t="inlineStr">
        <is>
          <t>Non</t>
        </is>
      </c>
      <c r="K56" s="187" t="inlineStr">
        <is>
          <t>Oui</t>
        </is>
      </c>
      <c r="L56" s="45" t="n"/>
      <c r="M56" s="55" t="n">
        <v>189</v>
      </c>
      <c r="N56" s="44" t="inlineStr">
        <is>
          <t>Portable Amp/DAC (Headfonics)</t>
        </is>
      </c>
      <c r="O56" s="44" t="inlineStr">
        <is>
          <t>Import Headfonics — à enrichir</t>
        </is>
      </c>
      <c r="P56" s="56" t="inlineStr">
        <is>
          <t>https://headfonics.com/category/portable-amps-dacs/page/2/</t>
        </is>
      </c>
      <c r="Q56" s="45" t="inlineStr">
        <is>
          <t>À évaluer</t>
        </is>
      </c>
      <c r="R56" s="45" t="inlineStr">
        <is>
          <t>À évaluer</t>
        </is>
      </c>
      <c r="S56" s="52" t="n">
        <v>8.4</v>
      </c>
      <c r="T56" s="49" t="inlineStr">
        <is>
          <t>Reader</t>
        </is>
      </c>
      <c r="U56" s="81" t="n">
        <v>45847</v>
      </c>
      <c r="V56" s="49" t="n">
        <v>2</v>
      </c>
      <c r="W56" s="41" t="inlineStr">
        <is>
          <t>https://headfonics.com/?s=Shanling+UP6</t>
        </is>
      </c>
      <c r="X56" s="49" t="inlineStr">
        <is>
          <t>Dual ES9069Q Bluetooth DAC/amp with LDAC/aptX</t>
        </is>
      </c>
    </row>
    <row r="57">
      <c r="A57" s="44" t="inlineStr">
        <is>
          <t>Questyle</t>
        </is>
      </c>
      <c r="B57" s="44" t="inlineStr">
        <is>
          <t>M18i</t>
        </is>
      </c>
      <c r="C57" s="45" t="n"/>
      <c r="D57" s="192" t="inlineStr">
        <is>
          <t>Oui</t>
        </is>
      </c>
      <c r="E57" s="192" t="inlineStr">
        <is>
          <t>Oui</t>
        </is>
      </c>
      <c r="F57" s="190" t="inlineStr">
        <is>
          <t>Oui</t>
        </is>
      </c>
      <c r="G57" s="190" t="inlineStr">
        <is>
          <t>Oui</t>
        </is>
      </c>
      <c r="H57" s="190" t="inlineStr">
        <is>
          <t>Non</t>
        </is>
      </c>
      <c r="I57" s="190" t="inlineStr">
        <is>
          <t>Non</t>
        </is>
      </c>
      <c r="J57" s="190" t="inlineStr">
        <is>
          <t>Non</t>
        </is>
      </c>
      <c r="K57" s="190" t="inlineStr">
        <is>
          <t>Non</t>
        </is>
      </c>
      <c r="L57" s="45" t="n"/>
      <c r="M57" s="55" t="n">
        <v>307</v>
      </c>
      <c r="N57" s="44" t="inlineStr">
        <is>
          <t>Portable Amp/DAC (Headfonics)</t>
        </is>
      </c>
      <c r="O57" s="44" t="inlineStr">
        <is>
          <t>Import Headfonics — à enrichir</t>
        </is>
      </c>
      <c r="P57" s="56" t="inlineStr">
        <is>
          <t>https://headfonics.com/category/portable-amps-dacs/page/2/</t>
        </is>
      </c>
      <c r="Q57" s="45" t="inlineStr">
        <is>
          <t>À évaluer</t>
        </is>
      </c>
      <c r="R57" s="45" t="inlineStr">
        <is>
          <t>À évaluer</t>
        </is>
      </c>
      <c r="S57" s="52" t="n">
        <v>8.300000000000001</v>
      </c>
      <c r="T57" s="49" t="inlineStr">
        <is>
          <t>Reader</t>
        </is>
      </c>
      <c r="U57" s="81" t="n">
        <v>45798</v>
      </c>
      <c r="V57" s="49" t="n">
        <v>2</v>
      </c>
      <c r="W57" s="41" t="inlineStr">
        <is>
          <t>https://headfonics.com/?s=Questyle+M18i</t>
        </is>
      </c>
      <c r="X57" s="49" t="inlineStr">
        <is>
          <t>ES9219Q wireless dongle DAC with Current Mode amplification</t>
        </is>
      </c>
    </row>
    <row r="58">
      <c r="A58" s="44" t="inlineStr">
        <is>
          <t>FiiO</t>
        </is>
      </c>
      <c r="B58" s="44" t="inlineStr">
        <is>
          <t>RR11</t>
        </is>
      </c>
      <c r="C58" s="45" t="n"/>
      <c r="D58" s="192" t="inlineStr">
        <is>
          <t>Oui</t>
        </is>
      </c>
      <c r="E58" s="45" t="inlineStr">
        <is>
          <t>Non</t>
        </is>
      </c>
      <c r="F58" s="190" t="inlineStr">
        <is>
          <t>Oui</t>
        </is>
      </c>
      <c r="G58" s="190" t="inlineStr">
        <is>
          <t>Non</t>
        </is>
      </c>
      <c r="H58" s="190" t="inlineStr">
        <is>
          <t>Non</t>
        </is>
      </c>
      <c r="I58" s="190" t="inlineStr">
        <is>
          <t>Non</t>
        </is>
      </c>
      <c r="J58" s="190" t="inlineStr">
        <is>
          <t>Non</t>
        </is>
      </c>
      <c r="K58" s="187" t="inlineStr">
        <is>
          <t>Non</t>
        </is>
      </c>
      <c r="L58" s="45" t="n"/>
      <c r="M58" s="55" t="n">
        <v>53</v>
      </c>
      <c r="N58" s="44" t="inlineStr">
        <is>
          <t>Portable Amp/DAC (Headfonics)</t>
        </is>
      </c>
      <c r="O58" s="44" t="inlineStr">
        <is>
          <t>Import Headfonics — à enrichir</t>
        </is>
      </c>
      <c r="P58" s="56" t="inlineStr">
        <is>
          <t>https://headfonics.com/category/portable-amps-dacs/page/2/</t>
        </is>
      </c>
      <c r="Q58" s="45" t="inlineStr">
        <is>
          <t>À évaluer</t>
        </is>
      </c>
      <c r="R58" s="45" t="inlineStr">
        <is>
          <t>À évaluer</t>
        </is>
      </c>
      <c r="S58" s="53" t="n">
        <v>7.7</v>
      </c>
      <c r="T58" s="49" t="inlineStr">
        <is>
          <t>Reader</t>
        </is>
      </c>
      <c r="U58" s="81" t="n">
        <v>45787</v>
      </c>
      <c r="V58" s="49" t="n">
        <v>2</v>
      </c>
      <c r="W58" s="41" t="inlineStr">
        <is>
          <t>https://headfonics.com/?s=FiiO+RR11</t>
        </is>
      </c>
      <c r="X58" s="49" t="inlineStr">
        <is>
          <t>Portable FM radio with dongle functionality</t>
        </is>
      </c>
    </row>
    <row r="59">
      <c r="A59" s="44" t="inlineStr">
        <is>
          <t>EarMen</t>
        </is>
      </c>
      <c r="B59" s="44" t="inlineStr">
        <is>
          <t>L-Amp</t>
        </is>
      </c>
      <c r="C59" s="45" t="n"/>
      <c r="D59" s="45" t="inlineStr">
        <is>
          <t>Non</t>
        </is>
      </c>
      <c r="E59" s="45" t="inlineStr">
        <is>
          <t>Non</t>
        </is>
      </c>
      <c r="F59" s="190" t="inlineStr">
        <is>
          <t>Oui</t>
        </is>
      </c>
      <c r="G59" s="190" t="inlineStr">
        <is>
          <t>Oui</t>
        </is>
      </c>
      <c r="H59" s="190" t="inlineStr">
        <is>
          <t>Non</t>
        </is>
      </c>
      <c r="I59" s="190" t="inlineStr">
        <is>
          <t>Non</t>
        </is>
      </c>
      <c r="J59" s="190" t="inlineStr">
        <is>
          <t>Non</t>
        </is>
      </c>
      <c r="K59" s="187" t="inlineStr">
        <is>
          <t>Non</t>
        </is>
      </c>
      <c r="L59" s="45" t="n"/>
      <c r="M59" s="55" t="n">
        <v>351</v>
      </c>
      <c r="N59" s="44" t="inlineStr">
        <is>
          <t>Portable Amp/DAC (Headfonics)</t>
        </is>
      </c>
      <c r="O59" s="44" t="inlineStr">
        <is>
          <t>Import Headfonics — à enrichir</t>
        </is>
      </c>
      <c r="P59" s="56" t="inlineStr">
        <is>
          <t>https://headfonics.com/category/portable-amps-dacs/page/2/</t>
        </is>
      </c>
      <c r="Q59" s="45" t="inlineStr">
        <is>
          <t>À évaluer</t>
        </is>
      </c>
      <c r="R59" s="45" t="inlineStr">
        <is>
          <t>À évaluer</t>
        </is>
      </c>
      <c r="S59" s="52" t="n">
        <v>8.6</v>
      </c>
      <c r="T59" s="49" t="inlineStr">
        <is>
          <t>Reader</t>
        </is>
      </c>
      <c r="U59" s="81" t="n">
        <v>45770</v>
      </c>
      <c r="V59" s="49" t="n">
        <v>2</v>
      </c>
      <c r="W59" s="41" t="inlineStr">
        <is>
          <t>https://headfonics.com/?s=EarMen+L-Amp</t>
        </is>
      </c>
      <c r="X59" s="49" t="inlineStr">
        <is>
          <t>Dual JAN6418 NOS tube portable headphone amplifier/DAC</t>
        </is>
      </c>
    </row>
    <row r="60">
      <c r="A60" s="44" t="inlineStr">
        <is>
          <t>FiiO</t>
        </is>
      </c>
      <c r="B60" s="44" t="inlineStr">
        <is>
          <t>SNOWSKY RETRO NANO</t>
        </is>
      </c>
      <c r="C60" s="45" t="n"/>
      <c r="D60" s="192" t="inlineStr">
        <is>
          <t>Oui</t>
        </is>
      </c>
      <c r="E60" s="192" t="inlineStr">
        <is>
          <t>Oui</t>
        </is>
      </c>
      <c r="F60" s="190" t="inlineStr">
        <is>
          <t>Oui</t>
        </is>
      </c>
      <c r="G60" s="190" t="inlineStr">
        <is>
          <t>Oui</t>
        </is>
      </c>
      <c r="H60" s="190" t="inlineStr">
        <is>
          <t>Non</t>
        </is>
      </c>
      <c r="I60" s="190" t="inlineStr">
        <is>
          <t>Non</t>
        </is>
      </c>
      <c r="J60" s="190" t="inlineStr">
        <is>
          <t>Non</t>
        </is>
      </c>
      <c r="K60" s="190" t="inlineStr">
        <is>
          <t>Oui</t>
        </is>
      </c>
      <c r="L60" s="45" t="n"/>
      <c r="M60" s="55" t="n">
        <v>53</v>
      </c>
      <c r="N60" s="44" t="inlineStr">
        <is>
          <t>Portable Amp/DAC (Headfonics)</t>
        </is>
      </c>
      <c r="O60" s="44" t="inlineStr">
        <is>
          <t>Import Headfonics — à enrichir</t>
        </is>
      </c>
      <c r="P60" s="56" t="inlineStr">
        <is>
          <t>https://headfonics.com/category/portable-amps-dacs/page/2/</t>
        </is>
      </c>
      <c r="Q60" s="45" t="inlineStr">
        <is>
          <t>À évaluer</t>
        </is>
      </c>
      <c r="R60" s="45" t="inlineStr">
        <is>
          <t>À évaluer</t>
        </is>
      </c>
      <c r="S60" s="52" t="n">
        <v>8.1</v>
      </c>
      <c r="T60" s="49" t="inlineStr">
        <is>
          <t>Reader</t>
        </is>
      </c>
      <c r="U60" s="81" t="n">
        <v>45745</v>
      </c>
      <c r="V60" s="49" t="n">
        <v>2</v>
      </c>
      <c r="W60" s="41" t="inlineStr">
        <is>
          <t>https://headfonics.com/?s=FiiO+SNOWSKY+RETRO+NANO</t>
        </is>
      </c>
      <c r="X60" s="49" t="inlineStr">
        <is>
          <t>Self-powered Bluetooth dongle DAC, up to 220 mW</t>
        </is>
      </c>
    </row>
    <row r="61">
      <c r="A61" s="44" t="inlineStr">
        <is>
          <t>Cayin</t>
        </is>
      </c>
      <c r="B61" s="44" t="inlineStr">
        <is>
          <t>C9ii</t>
        </is>
      </c>
      <c r="C61" s="45" t="n"/>
      <c r="D61" s="192" t="inlineStr">
        <is>
          <t>Oui</t>
        </is>
      </c>
      <c r="E61" s="45" t="inlineStr">
        <is>
          <t>Non</t>
        </is>
      </c>
      <c r="F61" s="190" t="inlineStr">
        <is>
          <t>Oui</t>
        </is>
      </c>
      <c r="G61" s="190" t="inlineStr">
        <is>
          <t>Oui</t>
        </is>
      </c>
      <c r="H61" s="190" t="inlineStr">
        <is>
          <t>Non</t>
        </is>
      </c>
      <c r="I61" s="190" t="inlineStr">
        <is>
          <t>Non</t>
        </is>
      </c>
      <c r="J61" s="190" t="inlineStr">
        <is>
          <t>Non</t>
        </is>
      </c>
      <c r="K61" s="187" t="inlineStr">
        <is>
          <t>Non</t>
        </is>
      </c>
      <c r="L61" s="45" t="n"/>
      <c r="M61" s="55" t="n">
        <v>2108</v>
      </c>
      <c r="N61" s="44" t="inlineStr">
        <is>
          <t>Portable Amp/DAC (Headfonics)</t>
        </is>
      </c>
      <c r="O61" s="44" t="inlineStr">
        <is>
          <t>Import Headfonics — à enrichir</t>
        </is>
      </c>
      <c r="P61" s="56" t="inlineStr">
        <is>
          <t>https://headfonics.com/category/portable-amps-dacs/page/2/</t>
        </is>
      </c>
      <c r="Q61" s="45" t="inlineStr">
        <is>
          <t>À évaluer</t>
        </is>
      </c>
      <c r="R61" s="45" t="inlineStr">
        <is>
          <t>À évaluer</t>
        </is>
      </c>
      <c r="S61" s="50" t="n">
        <v>9.1</v>
      </c>
      <c r="T61" s="49" t="inlineStr">
        <is>
          <t>Reader</t>
        </is>
      </c>
      <c r="U61" s="81" t="n">
        <v>45735</v>
      </c>
      <c r="V61" s="49" t="n">
        <v>2</v>
      </c>
      <c r="W61" s="41" t="inlineStr">
        <is>
          <t>https://headfonics.com/?s=Cayin+C9ii</t>
        </is>
      </c>
      <c r="X61" s="49" t="inlineStr">
        <is>
          <t>Solid-state / Gen 5 Nutube portable headphone amplifier</t>
        </is>
      </c>
    </row>
    <row r="62">
      <c r="A62" s="44" t="inlineStr">
        <is>
          <t>ddHiFi</t>
        </is>
      </c>
      <c r="B62" s="44" t="inlineStr">
        <is>
          <t>TC35M2</t>
        </is>
      </c>
      <c r="C62" s="45" t="n"/>
      <c r="D62" s="45" t="inlineStr">
        <is>
          <t>Non</t>
        </is>
      </c>
      <c r="E62" s="192" t="inlineStr">
        <is>
          <t>Non</t>
        </is>
      </c>
      <c r="F62" s="190" t="inlineStr">
        <is>
          <t>Oui</t>
        </is>
      </c>
      <c r="G62" s="190" t="inlineStr">
        <is>
          <t>Non</t>
        </is>
      </c>
      <c r="H62" s="190" t="inlineStr">
        <is>
          <t>Non</t>
        </is>
      </c>
      <c r="I62" s="190" t="inlineStr">
        <is>
          <t>Non</t>
        </is>
      </c>
      <c r="J62" s="190" t="inlineStr">
        <is>
          <t>Non</t>
        </is>
      </c>
      <c r="K62" s="187" t="inlineStr">
        <is>
          <t>Non</t>
        </is>
      </c>
      <c r="L62" s="45" t="n"/>
      <c r="M62" s="55" t="n">
        <v>32</v>
      </c>
      <c r="N62" s="44" t="inlineStr">
        <is>
          <t>Portable Amp/DAC (Headfonics)</t>
        </is>
      </c>
      <c r="O62" s="44" t="inlineStr">
        <is>
          <t>Import Headfonics — à enrichir</t>
        </is>
      </c>
      <c r="P62" s="56" t="inlineStr">
        <is>
          <t>https://headfonics.com/category/portable-amps-dacs/page/2/</t>
        </is>
      </c>
      <c r="Q62" s="45" t="inlineStr">
        <is>
          <t>À évaluer</t>
        </is>
      </c>
      <c r="R62" s="45" t="inlineStr">
        <is>
          <t>À évaluer</t>
        </is>
      </c>
      <c r="S62" s="53" t="n">
        <v>7.9</v>
      </c>
      <c r="T62" s="49" t="inlineStr">
        <is>
          <t>Reader</t>
        </is>
      </c>
      <c r="U62" s="81" t="n">
        <v>45691</v>
      </c>
      <c r="V62" s="49" t="n">
        <v>2</v>
      </c>
      <c r="W62" s="41" t="inlineStr">
        <is>
          <t>https://headfonics.com/?s=ddHiFi+TC35M2</t>
        </is>
      </c>
      <c r="X62" s="49" t="inlineStr">
        <is>
          <t>Tiny 384 kHz USB-C DAC to 3.5 mm converter</t>
        </is>
      </c>
    </row>
    <row r="63">
      <c r="A63" s="44" t="inlineStr">
        <is>
          <t>iFi audio</t>
        </is>
      </c>
      <c r="B63" s="44" t="inlineStr">
        <is>
          <t>GO link Max</t>
        </is>
      </c>
      <c r="C63" s="45" t="n"/>
      <c r="D63" s="192" t="inlineStr">
        <is>
          <t>Non</t>
        </is>
      </c>
      <c r="E63" s="192" t="inlineStr">
        <is>
          <t>Non</t>
        </is>
      </c>
      <c r="F63" s="190" t="inlineStr">
        <is>
          <t>Oui</t>
        </is>
      </c>
      <c r="G63" s="190" t="inlineStr">
        <is>
          <t>Oui</t>
        </is>
      </c>
      <c r="H63" s="190" t="inlineStr">
        <is>
          <t>Non</t>
        </is>
      </c>
      <c r="I63" s="190" t="inlineStr">
        <is>
          <t>Non</t>
        </is>
      </c>
      <c r="J63" s="190" t="inlineStr">
        <is>
          <t>Non</t>
        </is>
      </c>
      <c r="K63" s="190" t="inlineStr">
        <is>
          <t>Non</t>
        </is>
      </c>
      <c r="L63" s="45" t="n"/>
      <c r="M63" s="55" t="n">
        <v>69</v>
      </c>
      <c r="N63" s="44" t="inlineStr">
        <is>
          <t>Portable Amp/DAC (Headfonics)</t>
        </is>
      </c>
      <c r="O63" s="44" t="inlineStr">
        <is>
          <t>Import Headfonics — à enrichir</t>
        </is>
      </c>
      <c r="P63" s="56" t="inlineStr">
        <is>
          <t>https://headfonics.com/category/portable-amps-dacs/page/2/</t>
        </is>
      </c>
      <c r="Q63" s="45" t="inlineStr">
        <is>
          <t>À évaluer</t>
        </is>
      </c>
      <c r="R63" s="45" t="inlineStr">
        <is>
          <t>À évaluer</t>
        </is>
      </c>
      <c r="S63" s="53" t="n">
        <v>7.8</v>
      </c>
      <c r="T63" s="49" t="inlineStr">
        <is>
          <t>Reader</t>
        </is>
      </c>
      <c r="U63" s="81" t="n">
        <v>45672</v>
      </c>
      <c r="V63" s="49" t="n">
        <v>2</v>
      </c>
      <c r="W63" s="41" t="inlineStr">
        <is>
          <t>https://headfonics.com/?s=iFi+audio+GO+link+Max</t>
        </is>
      </c>
      <c r="X63" s="49" t="inlineStr">
        <is>
          <t>Compact DSD256-capable dongle DAC</t>
        </is>
      </c>
    </row>
    <row r="64">
      <c r="A64" s="44" t="inlineStr">
        <is>
          <t>Heartfield</t>
        </is>
      </c>
      <c r="B64" s="44" t="inlineStr">
        <is>
          <t>R1</t>
        </is>
      </c>
      <c r="C64" s="45" t="n"/>
      <c r="D64" s="45" t="inlineStr">
        <is>
          <t>Non</t>
        </is>
      </c>
      <c r="E64" s="192" t="inlineStr">
        <is>
          <t>Non</t>
        </is>
      </c>
      <c r="F64" s="190" t="inlineStr">
        <is>
          <t>Oui</t>
        </is>
      </c>
      <c r="G64" s="190" t="inlineStr">
        <is>
          <t>Oui</t>
        </is>
      </c>
      <c r="H64" s="190" t="inlineStr">
        <is>
          <t>Non</t>
        </is>
      </c>
      <c r="I64" s="190" t="inlineStr">
        <is>
          <t>Non</t>
        </is>
      </c>
      <c r="J64" s="190" t="inlineStr">
        <is>
          <t>Non</t>
        </is>
      </c>
      <c r="K64" s="187" t="inlineStr">
        <is>
          <t>Non</t>
        </is>
      </c>
      <c r="L64" s="45" t="n"/>
      <c r="M64" s="55" t="n">
        <v>140</v>
      </c>
      <c r="N64" s="44" t="inlineStr">
        <is>
          <t>Portable Amp/DAC (Headfonics)</t>
        </is>
      </c>
      <c r="O64" s="44" t="inlineStr">
        <is>
          <t>Import Headfonics — à enrichir</t>
        </is>
      </c>
      <c r="P64" s="56" t="inlineStr">
        <is>
          <t>https://headfonics.com/category/portable-amps-dacs/page/2/</t>
        </is>
      </c>
      <c r="Q64" s="45" t="inlineStr">
        <is>
          <t>À évaluer</t>
        </is>
      </c>
      <c r="R64" s="45" t="inlineStr">
        <is>
          <t>À évaluer</t>
        </is>
      </c>
      <c r="S64" s="53" t="n">
        <v>7.7</v>
      </c>
      <c r="T64" s="49" t="inlineStr">
        <is>
          <t>Reader</t>
        </is>
      </c>
      <c r="U64" s="81" t="n">
        <v>45665</v>
      </c>
      <c r="V64" s="49" t="n">
        <v>2</v>
      </c>
      <c r="W64" s="41" t="inlineStr">
        <is>
          <t>https://headfonics.com/?s=Heartfield+R1</t>
        </is>
      </c>
      <c r="X64" s="49" t="inlineStr">
        <is>
          <t>64-resistor R2R balanced dongle DAC</t>
        </is>
      </c>
    </row>
    <row r="65">
      <c r="A65" s="44" t="inlineStr">
        <is>
          <t>iBasso</t>
        </is>
      </c>
      <c r="B65" s="44" t="inlineStr">
        <is>
          <t>PB5 Osprey</t>
        </is>
      </c>
      <c r="C65" s="45" t="n"/>
      <c r="D65" s="192" t="inlineStr">
        <is>
          <t>Oui</t>
        </is>
      </c>
      <c r="E65" s="192" t="inlineStr">
        <is>
          <t>Non</t>
        </is>
      </c>
      <c r="F65" s="190" t="inlineStr">
        <is>
          <t>Oui</t>
        </is>
      </c>
      <c r="G65" s="190" t="inlineStr">
        <is>
          <t>Oui</t>
        </is>
      </c>
      <c r="H65" s="190" t="inlineStr">
        <is>
          <t>Non</t>
        </is>
      </c>
      <c r="I65" s="190" t="inlineStr">
        <is>
          <t>Non</t>
        </is>
      </c>
      <c r="J65" s="190" t="inlineStr">
        <is>
          <t>Non</t>
        </is>
      </c>
      <c r="K65" s="187" t="inlineStr">
        <is>
          <t>Non</t>
        </is>
      </c>
      <c r="L65" s="45" t="n"/>
      <c r="M65" s="55" t="n">
        <v>1317</v>
      </c>
      <c r="N65" s="44" t="inlineStr">
        <is>
          <t>Portable Amp/DAC (Headfonics)</t>
        </is>
      </c>
      <c r="O65" s="44" t="inlineStr">
        <is>
          <t>Import Headfonics — à enrichir</t>
        </is>
      </c>
      <c r="P65" s="56" t="inlineStr">
        <is>
          <t>https://headfonics.com/category/portable-amps-dacs/page/3/</t>
        </is>
      </c>
      <c r="Q65" s="45" t="inlineStr">
        <is>
          <t>À évaluer</t>
        </is>
      </c>
      <c r="R65" s="45" t="inlineStr">
        <is>
          <t>À évaluer</t>
        </is>
      </c>
      <c r="S65" s="50" t="n">
        <v>9</v>
      </c>
      <c r="T65" s="49" t="inlineStr">
        <is>
          <t>Reader</t>
        </is>
      </c>
      <c r="U65" s="81" t="n">
        <v>45647</v>
      </c>
      <c r="V65" s="49" t="n">
        <v>3</v>
      </c>
      <c r="W65" s="41" t="inlineStr">
        <is>
          <t>https://headfonics.com/?s=iBasso+PB5+Osprey</t>
        </is>
      </c>
      <c r="X65" s="49" t="inlineStr">
        <is>
          <t>Dual Nutube 6P1 portable headphone amplifier, up to 1.7 W</t>
        </is>
      </c>
    </row>
    <row r="66">
      <c r="A66" s="44" t="inlineStr">
        <is>
          <t>FiiO</t>
        </is>
      </c>
      <c r="B66" s="44" t="inlineStr">
        <is>
          <t>KA15</t>
        </is>
      </c>
      <c r="C66" s="45" t="inlineStr">
        <is>
          <t>2x CS43198; 2x SGM8262</t>
        </is>
      </c>
      <c r="D66" s="45" t="inlineStr">
        <is>
          <t>Non</t>
        </is>
      </c>
      <c r="E66" s="45" t="inlineStr">
        <is>
          <t>Non</t>
        </is>
      </c>
      <c r="F66" s="190" t="inlineStr">
        <is>
          <t>Oui</t>
        </is>
      </c>
      <c r="G66" s="190" t="inlineStr">
        <is>
          <t>Oui</t>
        </is>
      </c>
      <c r="H66" s="190" t="inlineStr">
        <is>
          <t>Non</t>
        </is>
      </c>
      <c r="I66" s="190" t="inlineStr">
        <is>
          <t>Non</t>
        </is>
      </c>
      <c r="J66" s="190" t="inlineStr">
        <is>
          <t>Non</t>
        </is>
      </c>
      <c r="K66" s="190" t="inlineStr">
        <is>
          <t>Oui</t>
        </is>
      </c>
      <c r="L66" s="45" t="n"/>
      <c r="M66" s="55" t="n">
        <v>109</v>
      </c>
      <c r="N66" s="44" t="inlineStr">
        <is>
          <t>Portable Amp/DAC (Headfonics)</t>
        </is>
      </c>
      <c r="O66" s="44" t="inlineStr">
        <is>
          <t>Import Headfonics — à enrichir</t>
        </is>
      </c>
      <c r="P66" s="56" t="inlineStr">
        <is>
          <t>https://headfonics.com/category/portable-amps-dacs/page/3/</t>
        </is>
      </c>
      <c r="Q66" s="45" t="inlineStr">
        <is>
          <t>À évaluer</t>
        </is>
      </c>
      <c r="R66" s="45" t="inlineStr">
        <is>
          <t>À évaluer</t>
        </is>
      </c>
      <c r="S66" s="52" t="n">
        <v>8.1</v>
      </c>
      <c r="T66" s="49" t="inlineStr">
        <is>
          <t>Reader</t>
        </is>
      </c>
      <c r="U66" s="81" t="n">
        <v>45619</v>
      </c>
      <c r="V66" s="49" t="n">
        <v>3</v>
      </c>
      <c r="W66" s="41" t="inlineStr">
        <is>
          <t>https://headfonics.com/?s=FiiO+KA15</t>
        </is>
      </c>
      <c r="X66" s="49" t="inlineStr">
        <is>
          <t>Dual CS43198 dongle DAC, up to 500 mW</t>
        </is>
      </c>
    </row>
    <row r="67">
      <c r="A67" s="44" t="inlineStr">
        <is>
          <t>TempoTec</t>
        </is>
      </c>
      <c r="B67" s="44" t="inlineStr">
        <is>
          <t>Sonata BHD Pro</t>
        </is>
      </c>
      <c r="C67" s="45" t="n"/>
      <c r="D67" s="192" t="inlineStr">
        <is>
          <t>Non</t>
        </is>
      </c>
      <c r="E67" s="45" t="inlineStr">
        <is>
          <t>Non</t>
        </is>
      </c>
      <c r="F67" s="190" t="inlineStr">
        <is>
          <t>Oui</t>
        </is>
      </c>
      <c r="G67" s="190" t="inlineStr">
        <is>
          <t>Oui</t>
        </is>
      </c>
      <c r="H67" s="190" t="inlineStr">
        <is>
          <t>Non</t>
        </is>
      </c>
      <c r="I67" s="190" t="inlineStr">
        <is>
          <t>Non</t>
        </is>
      </c>
      <c r="J67" s="190" t="inlineStr">
        <is>
          <t>Non</t>
        </is>
      </c>
      <c r="K67" s="187" t="inlineStr">
        <is>
          <t>Non</t>
        </is>
      </c>
      <c r="L67" s="45" t="n"/>
      <c r="M67" s="55" t="n">
        <v>61</v>
      </c>
      <c r="N67" s="44" t="inlineStr">
        <is>
          <t>Portable Amp/DAC (Headfonics)</t>
        </is>
      </c>
      <c r="O67" s="44" t="inlineStr">
        <is>
          <t>Import Headfonics — à enrichir</t>
        </is>
      </c>
      <c r="P67" s="56" t="inlineStr">
        <is>
          <t>https://headfonics.com/category/portable-amps-dacs/page/3/</t>
        </is>
      </c>
      <c r="Q67" s="45" t="inlineStr">
        <is>
          <t>À évaluer</t>
        </is>
      </c>
      <c r="R67" s="45" t="inlineStr">
        <is>
          <t>À évaluer</t>
        </is>
      </c>
      <c r="S67" s="54" t="n">
        <v>7</v>
      </c>
      <c r="T67" s="49" t="inlineStr">
        <is>
          <t>Reader</t>
        </is>
      </c>
      <c r="U67" s="81" t="n">
        <v>45609</v>
      </c>
      <c r="V67" s="49" t="n">
        <v>3</v>
      </c>
      <c r="W67" s="41" t="inlineStr">
        <is>
          <t>https://headfonics.com/?s=TempoTec+Sonata+BHD+Pro</t>
        </is>
      </c>
      <c r="X67" s="49" t="inlineStr">
        <is>
          <t>Dual CS43131 dongle DAC, up to 280 mW</t>
        </is>
      </c>
    </row>
    <row r="68">
      <c r="A68" s="44" t="inlineStr">
        <is>
          <t>iBasso</t>
        </is>
      </c>
      <c r="B68" s="44" t="inlineStr">
        <is>
          <t>D16 Taipan</t>
        </is>
      </c>
      <c r="C68" s="45" t="inlineStr">
        <is>
          <t>DAC 1-bit discret; FPGA; Class A</t>
        </is>
      </c>
      <c r="D68" s="192" t="inlineStr">
        <is>
          <t>Oui</t>
        </is>
      </c>
      <c r="E68" s="192" t="inlineStr">
        <is>
          <t>Non</t>
        </is>
      </c>
      <c r="F68" s="190" t="inlineStr">
        <is>
          <t>Oui</t>
        </is>
      </c>
      <c r="G68" s="190" t="inlineStr">
        <is>
          <t>Oui</t>
        </is>
      </c>
      <c r="H68" s="187" t="inlineStr">
        <is>
          <t>Non</t>
        </is>
      </c>
      <c r="I68" s="187" t="inlineStr">
        <is>
          <t>Non</t>
        </is>
      </c>
      <c r="J68" s="187" t="inlineStr">
        <is>
          <t>Non</t>
        </is>
      </c>
      <c r="K68" s="187" t="inlineStr">
        <is>
          <t>Non</t>
        </is>
      </c>
      <c r="L68" s="45" t="n"/>
      <c r="M68" s="55" t="n">
        <v>1490</v>
      </c>
      <c r="N68" s="44" t="inlineStr">
        <is>
          <t>Portable Amp/DAC (Headfonics)</t>
        </is>
      </c>
      <c r="O68" s="44" t="inlineStr">
        <is>
          <t>Import Headfonics — à enrichir</t>
        </is>
      </c>
      <c r="P68" s="56" t="inlineStr">
        <is>
          <t>https://headfonics.com/category/portable-amps-dacs/page/3/</t>
        </is>
      </c>
      <c r="Q68" s="45" t="inlineStr">
        <is>
          <t>À évaluer</t>
        </is>
      </c>
      <c r="R68" s="45" t="inlineStr">
        <is>
          <t>À évaluer</t>
        </is>
      </c>
      <c r="S68" s="50" t="n">
        <v>8.699999999999999</v>
      </c>
      <c r="T68" s="49" t="inlineStr">
        <is>
          <t>Reader</t>
        </is>
      </c>
      <c r="U68" s="81" t="n">
        <v>45591</v>
      </c>
      <c r="V68" s="49" t="n">
        <v>3</v>
      </c>
      <c r="W68" s="41" t="inlineStr">
        <is>
          <t>https://headfonics.com/?s=iBasso+D16+Taipan</t>
        </is>
      </c>
      <c r="X68" s="49" t="inlineStr">
        <is>
          <t>Discrete 1-bit DAC + Super Class A amp, up to 1.125 W</t>
        </is>
      </c>
    </row>
    <row r="69">
      <c r="A69" s="44" t="inlineStr">
        <is>
          <t>7Hz</t>
        </is>
      </c>
      <c r="B69" s="44" t="inlineStr">
        <is>
          <t>Artemis39</t>
        </is>
      </c>
      <c r="C69" s="45" t="inlineStr">
        <is>
          <t>ES9039Q2M; Bluetooth; batterie 1100 mAh</t>
        </is>
      </c>
      <c r="D69" s="192" t="inlineStr">
        <is>
          <t>Oui</t>
        </is>
      </c>
      <c r="E69" s="192" t="inlineStr">
        <is>
          <t>Oui</t>
        </is>
      </c>
      <c r="F69" s="190" t="inlineStr">
        <is>
          <t>Oui</t>
        </is>
      </c>
      <c r="G69" s="190" t="inlineStr">
        <is>
          <t>Oui</t>
        </is>
      </c>
      <c r="H69" s="190" t="inlineStr">
        <is>
          <t>Non</t>
        </is>
      </c>
      <c r="I69" s="190" t="inlineStr">
        <is>
          <t>Non</t>
        </is>
      </c>
      <c r="J69" s="190" t="inlineStr">
        <is>
          <t>Non</t>
        </is>
      </c>
      <c r="K69" s="187" t="inlineStr">
        <is>
          <t>Non</t>
        </is>
      </c>
      <c r="L69" s="45" t="n"/>
      <c r="M69" s="55" t="n">
        <v>149</v>
      </c>
      <c r="N69" s="44" t="inlineStr">
        <is>
          <t>Portable Amp/DAC (Headfonics)</t>
        </is>
      </c>
      <c r="O69" s="44" t="inlineStr">
        <is>
          <t>Import Headfonics — à enrichir</t>
        </is>
      </c>
      <c r="P69" s="56" t="inlineStr">
        <is>
          <t>https://headfonics.com/category/portable-amps-dacs/page/3/</t>
        </is>
      </c>
      <c r="Q69" s="45" t="inlineStr">
        <is>
          <t>À évaluer</t>
        </is>
      </c>
      <c r="R69" s="45" t="inlineStr">
        <is>
          <t>À évaluer</t>
        </is>
      </c>
      <c r="S69" s="52" t="n">
        <v>8</v>
      </c>
      <c r="T69" s="49" t="inlineStr">
        <is>
          <t>Reader</t>
        </is>
      </c>
      <c r="U69" s="81" t="n">
        <v>45567</v>
      </c>
      <c r="V69" s="49" t="n">
        <v>3</v>
      </c>
      <c r="W69" s="41" t="inlineStr">
        <is>
          <t>https://headfonics.com/?s=7Hz+Artemis39</t>
        </is>
      </c>
      <c r="X69" s="49" t="inlineStr">
        <is>
          <t>Wireless ES9039Q2M dongle DAC, LDAC, up to 405 mW</t>
        </is>
      </c>
    </row>
    <row r="70">
      <c r="A70" s="44" t="inlineStr">
        <is>
          <t>SMSL</t>
        </is>
      </c>
      <c r="B70" s="44" t="inlineStr">
        <is>
          <t>D10</t>
        </is>
      </c>
      <c r="C70" s="45" t="n"/>
      <c r="D70" s="45" t="inlineStr">
        <is>
          <t>Non</t>
        </is>
      </c>
      <c r="E70" s="45" t="inlineStr">
        <is>
          <t>Non</t>
        </is>
      </c>
      <c r="F70" s="190" t="inlineStr">
        <is>
          <t>Oui</t>
        </is>
      </c>
      <c r="G70" s="190" t="inlineStr">
        <is>
          <t>Oui</t>
        </is>
      </c>
      <c r="H70" s="190" t="inlineStr">
        <is>
          <t>Non</t>
        </is>
      </c>
      <c r="I70" s="190" t="inlineStr">
        <is>
          <t>Non</t>
        </is>
      </c>
      <c r="J70" s="190" t="inlineStr">
        <is>
          <t>Non</t>
        </is>
      </c>
      <c r="K70" s="187" t="inlineStr">
        <is>
          <t>Non</t>
        </is>
      </c>
      <c r="L70" s="45" t="n"/>
      <c r="M70" s="55" t="n">
        <v>62</v>
      </c>
      <c r="N70" s="44" t="inlineStr">
        <is>
          <t>Portable Amp/DAC (Headfonics)</t>
        </is>
      </c>
      <c r="O70" s="44" t="inlineStr">
        <is>
          <t>Import Headfonics — à enrichir</t>
        </is>
      </c>
      <c r="P70" s="56" t="inlineStr">
        <is>
          <t>https://headfonics.com/category/portable-amps-dacs/page/3/</t>
        </is>
      </c>
      <c r="Q70" s="45" t="inlineStr">
        <is>
          <t>À évaluer</t>
        </is>
      </c>
      <c r="R70" s="45" t="inlineStr">
        <is>
          <t>À évaluer</t>
        </is>
      </c>
      <c r="S70" s="52" t="n">
        <v>8.1</v>
      </c>
      <c r="T70" s="49" t="inlineStr">
        <is>
          <t>Reader</t>
        </is>
      </c>
      <c r="U70" s="81" t="n">
        <v>45555</v>
      </c>
      <c r="V70" s="49" t="n">
        <v>3</v>
      </c>
      <c r="W70" s="41" t="inlineStr">
        <is>
          <t>https://headfonics.com/?s=SMSL+D10</t>
        </is>
      </c>
      <c r="X70" s="49" t="inlineStr">
        <is>
          <t>Dual CS43131 balanced dongle DAC, up to 500 mW</t>
        </is>
      </c>
    </row>
    <row r="71">
      <c r="A71" s="44" t="inlineStr">
        <is>
          <t>FiiO</t>
        </is>
      </c>
      <c r="B71" s="44" t="inlineStr">
        <is>
          <t>JA11</t>
        </is>
      </c>
      <c r="C71" s="45" t="n"/>
      <c r="D71" s="45" t="inlineStr">
        <is>
          <t>Non</t>
        </is>
      </c>
      <c r="E71" s="45" t="inlineStr">
        <is>
          <t>Non</t>
        </is>
      </c>
      <c r="F71" s="190" t="inlineStr">
        <is>
          <t>Oui</t>
        </is>
      </c>
      <c r="G71" s="190" t="inlineStr">
        <is>
          <t>Non</t>
        </is>
      </c>
      <c r="H71" s="190" t="inlineStr">
        <is>
          <t>Non</t>
        </is>
      </c>
      <c r="I71" s="190" t="inlineStr">
        <is>
          <t>Non</t>
        </is>
      </c>
      <c r="J71" s="190" t="inlineStr">
        <is>
          <t>Non</t>
        </is>
      </c>
      <c r="K71" s="190" t="inlineStr">
        <is>
          <t>Oui</t>
        </is>
      </c>
      <c r="L71" s="45" t="n"/>
      <c r="M71" s="55" t="n">
        <v>13</v>
      </c>
      <c r="N71" s="44" t="inlineStr">
        <is>
          <t>Portable Amp/DAC (Headfonics)</t>
        </is>
      </c>
      <c r="O71" s="44" t="inlineStr">
        <is>
          <t>Import Headfonics — à enrichir</t>
        </is>
      </c>
      <c r="P71" s="56" t="inlineStr">
        <is>
          <t>https://headfonics.com/category/portable-amps-dacs/page/3/</t>
        </is>
      </c>
      <c r="Q71" s="45" t="inlineStr">
        <is>
          <t>À évaluer</t>
        </is>
      </c>
      <c r="R71" s="45" t="inlineStr">
        <is>
          <t>À évaluer</t>
        </is>
      </c>
      <c r="S71" s="53" t="n">
        <v>7.5</v>
      </c>
      <c r="T71" s="49" t="inlineStr">
        <is>
          <t>Reader</t>
        </is>
      </c>
      <c r="U71" s="81" t="n">
        <v>45513</v>
      </c>
      <c r="V71" s="49" t="n">
        <v>3</v>
      </c>
      <c r="W71" s="41" t="inlineStr">
        <is>
          <t>https://headfonics.com/?s=FiiO+JA11</t>
        </is>
      </c>
      <c r="X71" s="49" t="inlineStr">
        <is>
          <t>Portable dongle DAC/amp</t>
        </is>
      </c>
    </row>
    <row r="72">
      <c r="A72" s="44" t="inlineStr">
        <is>
          <t>Shanling</t>
        </is>
      </c>
      <c r="B72" s="44" t="inlineStr">
        <is>
          <t>H2</t>
        </is>
      </c>
      <c r="C72" s="45" t="n"/>
      <c r="D72" s="192" t="inlineStr">
        <is>
          <t>Oui</t>
        </is>
      </c>
      <c r="E72" s="192" t="inlineStr">
        <is>
          <t>Oui</t>
        </is>
      </c>
      <c r="F72" s="190" t="inlineStr">
        <is>
          <t>Oui</t>
        </is>
      </c>
      <c r="G72" s="190" t="inlineStr">
        <is>
          <t>Oui</t>
        </is>
      </c>
      <c r="H72" s="190" t="inlineStr">
        <is>
          <t>Non</t>
        </is>
      </c>
      <c r="I72" s="190" t="inlineStr">
        <is>
          <t>Non</t>
        </is>
      </c>
      <c r="J72" s="190" t="inlineStr">
        <is>
          <t>Non</t>
        </is>
      </c>
      <c r="K72" s="187" t="inlineStr">
        <is>
          <t>Non</t>
        </is>
      </c>
      <c r="L72" s="45" t="n"/>
      <c r="M72" s="55" t="n">
        <v>149</v>
      </c>
      <c r="N72" s="44" t="inlineStr">
        <is>
          <t>Portable Amp/DAC (Headfonics)</t>
        </is>
      </c>
      <c r="O72" s="44" t="inlineStr">
        <is>
          <t>Import Headfonics — à enrichir</t>
        </is>
      </c>
      <c r="P72" s="56" t="inlineStr">
        <is>
          <t>https://headfonics.com/category/portable-amps-dacs/page/3/</t>
        </is>
      </c>
      <c r="Q72" s="45" t="inlineStr">
        <is>
          <t>À évaluer</t>
        </is>
      </c>
      <c r="R72" s="45" t="inlineStr">
        <is>
          <t>À évaluer</t>
        </is>
      </c>
      <c r="S72" s="52" t="n">
        <v>8.1</v>
      </c>
      <c r="T72" s="49" t="inlineStr">
        <is>
          <t>Reader</t>
        </is>
      </c>
      <c r="U72" s="81" t="n">
        <v>45509</v>
      </c>
      <c r="V72" s="49" t="n">
        <v>3</v>
      </c>
      <c r="W72" s="41" t="inlineStr">
        <is>
          <t>https://headfonics.com/?s=Shanling+H2</t>
        </is>
      </c>
      <c r="X72" s="49" t="inlineStr">
        <is>
          <t>CS43198 portable DAC/headphone amp</t>
        </is>
      </c>
    </row>
    <row r="73">
      <c r="A73" s="44" t="inlineStr">
        <is>
          <t>LETSHUOER</t>
        </is>
      </c>
      <c r="B73" s="44" t="inlineStr">
        <is>
          <t>DT03</t>
        </is>
      </c>
      <c r="C73" s="45" t="n"/>
      <c r="D73" s="45" t="inlineStr">
        <is>
          <t>Non</t>
        </is>
      </c>
      <c r="E73" s="45" t="inlineStr">
        <is>
          <t>Non</t>
        </is>
      </c>
      <c r="F73" s="190" t="inlineStr">
        <is>
          <t>Oui</t>
        </is>
      </c>
      <c r="G73" s="190" t="inlineStr">
        <is>
          <t>Oui</t>
        </is>
      </c>
      <c r="H73" s="187" t="inlineStr">
        <is>
          <t>Non</t>
        </is>
      </c>
      <c r="I73" s="187" t="inlineStr">
        <is>
          <t>Non</t>
        </is>
      </c>
      <c r="J73" s="187" t="inlineStr">
        <is>
          <t>Non</t>
        </is>
      </c>
      <c r="K73" s="187" t="inlineStr">
        <is>
          <t>Non</t>
        </is>
      </c>
      <c r="L73" s="45" t="n"/>
      <c r="M73" s="55" t="n">
        <v>87</v>
      </c>
      <c r="N73" s="44" t="inlineStr">
        <is>
          <t>Portable Amp/DAC (Headfonics)</t>
        </is>
      </c>
      <c r="O73" s="44" t="inlineStr">
        <is>
          <t>Import Headfonics — à enrichir</t>
        </is>
      </c>
      <c r="P73" s="56" t="inlineStr">
        <is>
          <t>https://headfonics.com/category/portable-amps-dacs/page/3/</t>
        </is>
      </c>
      <c r="Q73" s="45" t="inlineStr">
        <is>
          <t>À évaluer</t>
        </is>
      </c>
      <c r="R73" s="45" t="inlineStr">
        <is>
          <t>À évaluer</t>
        </is>
      </c>
      <c r="S73" s="53" t="n">
        <v>7.8</v>
      </c>
      <c r="T73" s="49" t="inlineStr">
        <is>
          <t>Reader</t>
        </is>
      </c>
      <c r="U73" s="81" t="n">
        <v>45495</v>
      </c>
      <c r="V73" s="49" t="n">
        <v>3</v>
      </c>
      <c r="W73" s="41" t="inlineStr">
        <is>
          <t>https://headfonics.com/?s=LETSHUOER+DT03</t>
        </is>
      </c>
      <c r="X73" s="49" t="inlineStr">
        <is>
          <t>Portable dongle DAC/amp</t>
        </is>
      </c>
    </row>
    <row r="74">
      <c r="A74" s="44" t="inlineStr">
        <is>
          <t>Kiwi Ears</t>
        </is>
      </c>
      <c r="B74" s="44" t="inlineStr">
        <is>
          <t>Allegro</t>
        </is>
      </c>
      <c r="C74" s="45" t="n"/>
      <c r="D74" s="45" t="inlineStr">
        <is>
          <t>Non</t>
        </is>
      </c>
      <c r="E74" s="45" t="inlineStr">
        <is>
          <t>Non</t>
        </is>
      </c>
      <c r="F74" s="190" t="inlineStr">
        <is>
          <t>Oui</t>
        </is>
      </c>
      <c r="G74" s="190" t="inlineStr">
        <is>
          <t>Oui</t>
        </is>
      </c>
      <c r="H74" s="190" t="inlineStr">
        <is>
          <t>Non</t>
        </is>
      </c>
      <c r="I74" s="190" t="inlineStr">
        <is>
          <t>Non</t>
        </is>
      </c>
      <c r="J74" s="190" t="inlineStr">
        <is>
          <t>Non</t>
        </is>
      </c>
      <c r="K74" s="187" t="inlineStr">
        <is>
          <t>Non</t>
        </is>
      </c>
      <c r="L74" s="45" t="n"/>
      <c r="M74" s="55" t="n">
        <v>53</v>
      </c>
      <c r="N74" s="44" t="inlineStr">
        <is>
          <t>Portable Amp/DAC (Headfonics)</t>
        </is>
      </c>
      <c r="O74" s="44" t="inlineStr">
        <is>
          <t>Import Headfonics — à enrichir</t>
        </is>
      </c>
      <c r="P74" s="56" t="inlineStr">
        <is>
          <t>https://headfonics.com/category/portable-amps-dacs/page/3/</t>
        </is>
      </c>
      <c r="Q74" s="45" t="inlineStr">
        <is>
          <t>À évaluer</t>
        </is>
      </c>
      <c r="R74" s="45" t="inlineStr">
        <is>
          <t>À évaluer</t>
        </is>
      </c>
      <c r="S74" s="53" t="n">
        <v>7.7</v>
      </c>
      <c r="T74" s="49" t="inlineStr">
        <is>
          <t>Reader</t>
        </is>
      </c>
      <c r="U74" s="81" t="n">
        <v>45476</v>
      </c>
      <c r="V74" s="49" t="n">
        <v>3</v>
      </c>
      <c r="W74" s="41" t="inlineStr">
        <is>
          <t>https://headfonics.com/?s=Kiwi+Ears+Allegro</t>
        </is>
      </c>
      <c r="X74" s="49" t="inlineStr">
        <is>
          <t>Portable dongle DAC/amp</t>
        </is>
      </c>
    </row>
    <row r="75">
      <c r="A75" s="44" t="inlineStr">
        <is>
          <t>Hidizs</t>
        </is>
      </c>
      <c r="B75" s="44" t="inlineStr">
        <is>
          <t>S8 Pro Robin</t>
        </is>
      </c>
      <c r="C75" s="45" t="inlineStr">
        <is>
          <t>2x CS43131; 160+160 mW @ 32Ω</t>
        </is>
      </c>
      <c r="D75" s="192" t="inlineStr">
        <is>
          <t>Non</t>
        </is>
      </c>
      <c r="E75" s="45" t="inlineStr">
        <is>
          <t>Non</t>
        </is>
      </c>
      <c r="F75" s="190" t="inlineStr">
        <is>
          <t>Oui</t>
        </is>
      </c>
      <c r="G75" s="190" t="inlineStr">
        <is>
          <t>Oui</t>
        </is>
      </c>
      <c r="H75" s="190" t="inlineStr">
        <is>
          <t>Non</t>
        </is>
      </c>
      <c r="I75" s="190" t="inlineStr">
        <is>
          <t>Non</t>
        </is>
      </c>
      <c r="J75" s="190" t="inlineStr">
        <is>
          <t>Non</t>
        </is>
      </c>
      <c r="K75" s="187" t="inlineStr">
        <is>
          <t>Non</t>
        </is>
      </c>
      <c r="L75" s="45" t="n"/>
      <c r="M75" s="55" t="n">
        <v>69.52</v>
      </c>
      <c r="N75" s="44" t="inlineStr">
        <is>
          <t>Portable Amp/DAC (Headfonics)</t>
        </is>
      </c>
      <c r="O75" s="44" t="inlineStr">
        <is>
          <t>Import Headfonics — à enrichir</t>
        </is>
      </c>
      <c r="P75" s="56" t="inlineStr">
        <is>
          <t>https://headfonics.com/category/portable-amps-dacs/page/3/</t>
        </is>
      </c>
      <c r="Q75" s="45" t="inlineStr">
        <is>
          <t>À évaluer</t>
        </is>
      </c>
      <c r="R75" s="45" t="inlineStr">
        <is>
          <t>À évaluer</t>
        </is>
      </c>
      <c r="S75" s="52" t="n">
        <v>8</v>
      </c>
      <c r="T75" s="49" t="inlineStr">
        <is>
          <t>Reader</t>
        </is>
      </c>
      <c r="U75" s="81" t="n">
        <v>45471</v>
      </c>
      <c r="V75" s="49" t="n">
        <v>3</v>
      </c>
      <c r="W75" s="41" t="inlineStr">
        <is>
          <t>https://headfonics.com/?s=Hidizs+S8+Pro+Robin</t>
        </is>
      </c>
      <c r="X75" s="49" t="inlineStr">
        <is>
          <t>Portable dongle DAC/amp</t>
        </is>
      </c>
    </row>
    <row r="76">
      <c r="A76" s="44" t="inlineStr">
        <is>
          <t>iFi audio</t>
        </is>
      </c>
      <c r="B76" s="44" t="inlineStr">
        <is>
          <t>GO bar Kensei</t>
        </is>
      </c>
      <c r="C76" s="45" t="inlineStr">
        <is>
          <t>XMOS; K2HD; PCM 32/384; DSD256</t>
        </is>
      </c>
      <c r="D76" s="45" t="inlineStr">
        <is>
          <t>Non</t>
        </is>
      </c>
      <c r="E76" s="192" t="inlineStr">
        <is>
          <t>Non</t>
        </is>
      </c>
      <c r="F76" s="190" t="inlineStr">
        <is>
          <t>Oui</t>
        </is>
      </c>
      <c r="G76" s="190" t="inlineStr">
        <is>
          <t>Oui</t>
        </is>
      </c>
      <c r="H76" s="190" t="inlineStr">
        <is>
          <t>Non</t>
        </is>
      </c>
      <c r="I76" s="190" t="inlineStr">
        <is>
          <t>Non</t>
        </is>
      </c>
      <c r="J76" s="190" t="inlineStr">
        <is>
          <t>Non</t>
        </is>
      </c>
      <c r="K76" s="187" t="inlineStr">
        <is>
          <t>Non</t>
        </is>
      </c>
      <c r="L76" s="45" t="n"/>
      <c r="M76" s="55" t="n">
        <v>449</v>
      </c>
      <c r="N76" s="44" t="inlineStr">
        <is>
          <t>Portable Amp/DAC (Headfonics)</t>
        </is>
      </c>
      <c r="O76" s="44" t="inlineStr">
        <is>
          <t>Import Headfonics — à enrichir</t>
        </is>
      </c>
      <c r="P76" s="56" t="inlineStr">
        <is>
          <t>https://headfonics.com/category/portable-amps-dacs/page/3/</t>
        </is>
      </c>
      <c r="Q76" s="45" t="inlineStr">
        <is>
          <t>À évaluer</t>
        </is>
      </c>
      <c r="R76" s="45" t="inlineStr">
        <is>
          <t>À évaluer</t>
        </is>
      </c>
      <c r="S76" s="52" t="n">
        <v>8.1</v>
      </c>
      <c r="T76" s="49" t="inlineStr">
        <is>
          <t>Reader</t>
        </is>
      </c>
      <c r="U76" s="81" t="n">
        <v>45465</v>
      </c>
      <c r="V76" s="49" t="n">
        <v>3</v>
      </c>
      <c r="W76" s="41" t="inlineStr">
        <is>
          <t>https://headfonics.com/?s=iFi+audio+GO+bar+Kensei</t>
        </is>
      </c>
      <c r="X76" s="49" t="inlineStr">
        <is>
          <t>Portable dongle DAC/amp</t>
        </is>
      </c>
    </row>
    <row r="77">
      <c r="A77" s="44" t="inlineStr">
        <is>
          <t>ONIX</t>
        </is>
      </c>
      <c r="B77" s="44" t="inlineStr">
        <is>
          <t>Mystic XP1</t>
        </is>
      </c>
      <c r="C77" s="45" t="n"/>
      <c r="D77" s="192" t="inlineStr">
        <is>
          <t>Oui</t>
        </is>
      </c>
      <c r="E77" s="192" t="inlineStr">
        <is>
          <t>Oui</t>
        </is>
      </c>
      <c r="F77" s="190" t="inlineStr">
        <is>
          <t>Oui</t>
        </is>
      </c>
      <c r="G77" s="190" t="inlineStr">
        <is>
          <t>Oui</t>
        </is>
      </c>
      <c r="H77" s="190" t="inlineStr">
        <is>
          <t>Non</t>
        </is>
      </c>
      <c r="I77" s="190" t="inlineStr">
        <is>
          <t>Oui</t>
        </is>
      </c>
      <c r="J77" s="190" t="inlineStr">
        <is>
          <t>Non</t>
        </is>
      </c>
      <c r="K77" s="187" t="inlineStr">
        <is>
          <t>Non</t>
        </is>
      </c>
      <c r="L77" s="45" t="n"/>
      <c r="M77" s="55" t="n">
        <v>1317</v>
      </c>
      <c r="N77" s="44" t="inlineStr">
        <is>
          <t>Portable Amp/DAC (Headfonics)</t>
        </is>
      </c>
      <c r="O77" s="44" t="inlineStr">
        <is>
          <t>Import Headfonics — à enrichir</t>
        </is>
      </c>
      <c r="P77" s="56" t="inlineStr">
        <is>
          <t>https://headfonics.com/category/portable-amps-dacs/page/3/</t>
        </is>
      </c>
      <c r="Q77" s="45" t="inlineStr">
        <is>
          <t>À évaluer</t>
        </is>
      </c>
      <c r="R77" s="45" t="inlineStr">
        <is>
          <t>À évaluer</t>
        </is>
      </c>
      <c r="S77" s="50" t="n">
        <v>8.699999999999999</v>
      </c>
      <c r="T77" s="49" t="inlineStr">
        <is>
          <t>Reader</t>
        </is>
      </c>
      <c r="U77" s="81" t="n">
        <v>45439</v>
      </c>
      <c r="V77" s="49" t="n">
        <v>3</v>
      </c>
      <c r="W77" s="41" t="inlineStr">
        <is>
          <t>https://headfonics.com/?s=ONIX+Mystic+XP1</t>
        </is>
      </c>
      <c r="X77" s="49" t="inlineStr">
        <is>
          <t>Portable amplifier/DAC</t>
        </is>
      </c>
    </row>
    <row r="78">
      <c r="A78" s="44" t="inlineStr">
        <is>
          <t>Shanling</t>
        </is>
      </c>
      <c r="B78" s="44" t="inlineStr">
        <is>
          <t>UA4</t>
        </is>
      </c>
      <c r="C78" s="45" t="inlineStr">
        <is>
          <t>ES9069Q; PCM 32/768; DSD512</t>
        </is>
      </c>
      <c r="D78" s="45" t="inlineStr">
        <is>
          <t>Non</t>
        </is>
      </c>
      <c r="E78" s="45" t="inlineStr">
        <is>
          <t>Non</t>
        </is>
      </c>
      <c r="F78" s="190" t="inlineStr">
        <is>
          <t>Oui</t>
        </is>
      </c>
      <c r="G78" s="190" t="inlineStr">
        <is>
          <t>Oui</t>
        </is>
      </c>
      <c r="H78" s="190" t="inlineStr">
        <is>
          <t>Non</t>
        </is>
      </c>
      <c r="I78" s="190" t="inlineStr">
        <is>
          <t>Non</t>
        </is>
      </c>
      <c r="J78" s="190" t="inlineStr">
        <is>
          <t>Non</t>
        </is>
      </c>
      <c r="K78" s="187" t="inlineStr">
        <is>
          <t>Non</t>
        </is>
      </c>
      <c r="L78" s="45" t="n"/>
      <c r="M78" s="55" t="n">
        <v>99</v>
      </c>
      <c r="N78" s="44" t="inlineStr">
        <is>
          <t>Portable Amp/DAC (Headfonics)</t>
        </is>
      </c>
      <c r="O78" s="44" t="inlineStr">
        <is>
          <t>Import Headfonics — à enrichir</t>
        </is>
      </c>
      <c r="P78" s="56" t="inlineStr">
        <is>
          <t>https://headfonics.com/category/portable-amps-dacs/page/3/</t>
        </is>
      </c>
      <c r="Q78" s="45" t="inlineStr">
        <is>
          <t>À évaluer</t>
        </is>
      </c>
      <c r="R78" s="45" t="inlineStr">
        <is>
          <t>À évaluer</t>
        </is>
      </c>
      <c r="S78" s="53" t="n">
        <v>7.5</v>
      </c>
      <c r="T78" s="49" t="inlineStr">
        <is>
          <t>Reader</t>
        </is>
      </c>
      <c r="U78" s="81" t="n">
        <v>45425</v>
      </c>
      <c r="V78" s="49" t="n">
        <v>3</v>
      </c>
      <c r="W78" s="41" t="inlineStr">
        <is>
          <t>https://headfonics.com/?s=Shanling+UA4</t>
        </is>
      </c>
      <c r="X78" s="49" t="inlineStr">
        <is>
          <t>Portable dongle DAC/amp</t>
        </is>
      </c>
    </row>
    <row r="79">
      <c r="A79" s="44" t="inlineStr">
        <is>
          <t>FiiO</t>
        </is>
      </c>
      <c r="B79" s="44" t="inlineStr">
        <is>
          <t>KA11</t>
        </is>
      </c>
      <c r="C79" s="45" t="n"/>
      <c r="D79" s="45" t="inlineStr">
        <is>
          <t>Non</t>
        </is>
      </c>
      <c r="E79" s="45" t="inlineStr">
        <is>
          <t>Non</t>
        </is>
      </c>
      <c r="F79" s="190" t="inlineStr">
        <is>
          <t>Oui</t>
        </is>
      </c>
      <c r="G79" s="190" t="inlineStr">
        <is>
          <t>Non</t>
        </is>
      </c>
      <c r="H79" s="190" t="inlineStr">
        <is>
          <t>Non</t>
        </is>
      </c>
      <c r="I79" s="190" t="inlineStr">
        <is>
          <t>Non</t>
        </is>
      </c>
      <c r="J79" s="190" t="inlineStr">
        <is>
          <t>Non</t>
        </is>
      </c>
      <c r="K79" s="187" t="inlineStr">
        <is>
          <t>Non</t>
        </is>
      </c>
      <c r="L79" s="45" t="n"/>
      <c r="M79" s="55" t="n">
        <v>26</v>
      </c>
      <c r="N79" s="44" t="inlineStr">
        <is>
          <t>Portable Amp/DAC (Headfonics)</t>
        </is>
      </c>
      <c r="O79" s="44" t="inlineStr">
        <is>
          <t>Import Headfonics — à enrichir</t>
        </is>
      </c>
      <c r="P79" s="56" t="inlineStr">
        <is>
          <t>https://headfonics.com/category/portable-amps-dacs/page/3/</t>
        </is>
      </c>
      <c r="Q79" s="45" t="inlineStr">
        <is>
          <t>À évaluer</t>
        </is>
      </c>
      <c r="R79" s="45" t="inlineStr">
        <is>
          <t>À évaluer</t>
        </is>
      </c>
      <c r="S79" s="49" t="n"/>
      <c r="T79" s="49" t="inlineStr">
        <is>
          <t>Reader (non relevé)</t>
        </is>
      </c>
      <c r="U79" s="81" t="n">
        <v>45418</v>
      </c>
      <c r="V79" s="49" t="n">
        <v>3</v>
      </c>
      <c r="W79" s="41" t="inlineStr">
        <is>
          <t>https://headfonics.com/?s=FiiO+KA11</t>
        </is>
      </c>
      <c r="X79" s="49" t="inlineStr">
        <is>
          <t>Portable dongle DAC/amp</t>
        </is>
      </c>
    </row>
    <row r="80">
      <c r="A80" s="44" t="inlineStr">
        <is>
          <t>FiiO</t>
        </is>
      </c>
      <c r="B80" s="44" t="inlineStr">
        <is>
          <t>KA17</t>
        </is>
      </c>
      <c r="C80" s="45" t="inlineStr">
        <is>
          <t>2x ES9069Q; THX AAA 78+; XMOS XU316</t>
        </is>
      </c>
      <c r="D80" s="45" t="inlineStr">
        <is>
          <t>Non</t>
        </is>
      </c>
      <c r="E80" s="45" t="inlineStr">
        <is>
          <t>Non</t>
        </is>
      </c>
      <c r="F80" s="190" t="inlineStr">
        <is>
          <t>Oui</t>
        </is>
      </c>
      <c r="G80" s="190" t="inlineStr">
        <is>
          <t>Oui</t>
        </is>
      </c>
      <c r="H80" s="190" t="inlineStr">
        <is>
          <t>Non</t>
        </is>
      </c>
      <c r="I80" s="190" t="inlineStr">
        <is>
          <t>Non</t>
        </is>
      </c>
      <c r="J80" s="190" t="inlineStr">
        <is>
          <t>Non</t>
        </is>
      </c>
      <c r="K80" s="190" t="inlineStr">
        <is>
          <t>Oui</t>
        </is>
      </c>
      <c r="L80" s="45" t="n"/>
      <c r="M80" s="55" t="n">
        <v>159</v>
      </c>
      <c r="N80" s="44" t="inlineStr">
        <is>
          <t>Portable Amp/DAC (Headfonics)</t>
        </is>
      </c>
      <c r="O80" s="44" t="inlineStr">
        <is>
          <t>Import Headfonics — à enrichir</t>
        </is>
      </c>
      <c r="P80" s="56" t="inlineStr">
        <is>
          <t>https://headfonics.com/category/portable-amps-dacs/page/3/</t>
        </is>
      </c>
      <c r="Q80" s="45" t="inlineStr">
        <is>
          <t>À évaluer</t>
        </is>
      </c>
      <c r="R80" s="45" t="inlineStr">
        <is>
          <t>À évaluer</t>
        </is>
      </c>
      <c r="S80" s="49" t="n"/>
      <c r="T80" s="49" t="inlineStr">
        <is>
          <t>Reader (non relevé)</t>
        </is>
      </c>
      <c r="U80" s="81" t="n">
        <v>45409</v>
      </c>
      <c r="V80" s="49" t="n">
        <v>3</v>
      </c>
      <c r="W80" s="41" t="inlineStr">
        <is>
          <t>https://headfonics.com/?s=FiiO+KA17</t>
        </is>
      </c>
      <c r="X80" s="49" t="inlineStr">
        <is>
          <t>Portable dongle DAC/amp</t>
        </is>
      </c>
    </row>
    <row r="81">
      <c r="A81" s="44" t="inlineStr">
        <is>
          <t>Colorfly</t>
        </is>
      </c>
      <c r="B81" s="44" t="inlineStr">
        <is>
          <t>CDA-M2</t>
        </is>
      </c>
      <c r="C81" s="45" t="n"/>
      <c r="D81" s="45" t="inlineStr">
        <is>
          <t>Non</t>
        </is>
      </c>
      <c r="E81" s="192" t="inlineStr">
        <is>
          <t>Non</t>
        </is>
      </c>
      <c r="F81" s="190" t="inlineStr">
        <is>
          <t>Oui</t>
        </is>
      </c>
      <c r="G81" s="190" t="inlineStr">
        <is>
          <t>Oui</t>
        </is>
      </c>
      <c r="H81" s="190" t="inlineStr">
        <is>
          <t>Non</t>
        </is>
      </c>
      <c r="I81" s="190" t="inlineStr">
        <is>
          <t>Non</t>
        </is>
      </c>
      <c r="J81" s="190" t="inlineStr">
        <is>
          <t>Non</t>
        </is>
      </c>
      <c r="K81" s="187" t="inlineStr">
        <is>
          <t>Non</t>
        </is>
      </c>
      <c r="L81" s="45" t="n"/>
      <c r="M81" s="55" t="n">
        <v>140</v>
      </c>
      <c r="N81" s="44" t="inlineStr">
        <is>
          <t>Portable Amp/DAC (Headfonics)</t>
        </is>
      </c>
      <c r="O81" s="44" t="inlineStr">
        <is>
          <t>Import Headfonics — à enrichir</t>
        </is>
      </c>
      <c r="P81" s="56" t="inlineStr">
        <is>
          <t>https://headfonics.com/category/portable-amps-dacs/page/3/</t>
        </is>
      </c>
      <c r="Q81" s="45" t="inlineStr">
        <is>
          <t>À évaluer</t>
        </is>
      </c>
      <c r="R81" s="45" t="inlineStr">
        <is>
          <t>À évaluer</t>
        </is>
      </c>
      <c r="S81" s="52" t="n">
        <v>8</v>
      </c>
      <c r="T81" s="49" t="inlineStr">
        <is>
          <t>Reader</t>
        </is>
      </c>
      <c r="U81" s="81" t="n">
        <v>45408</v>
      </c>
      <c r="V81" s="49" t="n">
        <v>3</v>
      </c>
      <c r="W81" s="41" t="inlineStr">
        <is>
          <t>https://headfonics.com/?s=Colorfly+CDA-M2</t>
        </is>
      </c>
      <c r="X81" s="49" t="inlineStr">
        <is>
          <t>Portable dongle DAC/amp</t>
        </is>
      </c>
    </row>
    <row r="82">
      <c r="A82" s="44" t="inlineStr">
        <is>
          <t>ddHiFi</t>
        </is>
      </c>
      <c r="B82" s="44" t="inlineStr">
        <is>
          <t>TC44Pro E2</t>
        </is>
      </c>
      <c r="C82" s="45" t="inlineStr">
        <is>
          <t>2x CS43131; 4.4 mm; USB-C ou Lightning</t>
        </is>
      </c>
      <c r="D82" s="45" t="inlineStr">
        <is>
          <t>Non</t>
        </is>
      </c>
      <c r="E82" s="192" t="inlineStr">
        <is>
          <t>Non</t>
        </is>
      </c>
      <c r="F82" s="190" t="inlineStr">
        <is>
          <t>Non</t>
        </is>
      </c>
      <c r="G82" s="190" t="inlineStr">
        <is>
          <t>Oui</t>
        </is>
      </c>
      <c r="H82" s="190" t="inlineStr">
        <is>
          <t>Non</t>
        </is>
      </c>
      <c r="I82" s="190" t="inlineStr">
        <is>
          <t>Non</t>
        </is>
      </c>
      <c r="J82" s="190" t="inlineStr">
        <is>
          <t>Non</t>
        </is>
      </c>
      <c r="K82" s="190" t="inlineStr">
        <is>
          <t>Non</t>
        </is>
      </c>
      <c r="L82" s="45" t="n"/>
      <c r="M82" s="55" t="n">
        <v>79</v>
      </c>
      <c r="N82" s="44" t="inlineStr">
        <is>
          <t>Portable Amp/DAC (Headfonics)</t>
        </is>
      </c>
      <c r="O82" s="44" t="inlineStr">
        <is>
          <t>Import Headfonics — à enrichir</t>
        </is>
      </c>
      <c r="P82" s="56" t="inlineStr">
        <is>
          <t>https://headfonics.com/category/portable-amps-dacs/page/4/</t>
        </is>
      </c>
      <c r="Q82" s="45" t="inlineStr">
        <is>
          <t>À évaluer</t>
        </is>
      </c>
      <c r="R82" s="45" t="inlineStr">
        <is>
          <t>À évaluer</t>
        </is>
      </c>
      <c r="S82" s="52" t="n">
        <v>8</v>
      </c>
      <c r="T82" s="49" t="inlineStr">
        <is>
          <t>Reader</t>
        </is>
      </c>
      <c r="U82" s="81" t="n">
        <v>45394</v>
      </c>
      <c r="V82" s="49" t="n">
        <v>4</v>
      </c>
      <c r="W82" s="41" t="inlineStr">
        <is>
          <t>https://headfonics.com/?s=ddHiFi+TC44Pro+E2</t>
        </is>
      </c>
      <c r="X82" s="49" t="inlineStr">
        <is>
          <t>Portable dongle DAC/amp</t>
        </is>
      </c>
    </row>
    <row r="83">
      <c r="A83" s="44" t="inlineStr">
        <is>
          <t>Hidizs</t>
        </is>
      </c>
      <c r="B83" s="44" t="inlineStr">
        <is>
          <t>SD2</t>
        </is>
      </c>
      <c r="C83" s="45" t="n"/>
      <c r="D83" s="45" t="inlineStr">
        <is>
          <t>Non</t>
        </is>
      </c>
      <c r="E83" s="192" t="inlineStr">
        <is>
          <t>Non</t>
        </is>
      </c>
      <c r="F83" s="190" t="inlineStr">
        <is>
          <t>Oui</t>
        </is>
      </c>
      <c r="G83" s="190" t="inlineStr">
        <is>
          <t>Non</t>
        </is>
      </c>
      <c r="H83" s="190" t="inlineStr">
        <is>
          <t>Non</t>
        </is>
      </c>
      <c r="I83" s="190" t="inlineStr">
        <is>
          <t>Non</t>
        </is>
      </c>
      <c r="J83" s="190" t="inlineStr">
        <is>
          <t>Non</t>
        </is>
      </c>
      <c r="K83" s="187" t="inlineStr">
        <is>
          <t>Non</t>
        </is>
      </c>
      <c r="L83" s="45" t="n"/>
      <c r="M83" s="55" t="n">
        <v>44</v>
      </c>
      <c r="N83" s="44" t="inlineStr">
        <is>
          <t>Portable Amp/DAC (Headfonics)</t>
        </is>
      </c>
      <c r="O83" s="44" t="inlineStr">
        <is>
          <t>Import Headfonics — à enrichir</t>
        </is>
      </c>
      <c r="P83" s="56" t="inlineStr">
        <is>
          <t>https://headfonics.com/category/portable-amps-dacs/page/4/</t>
        </is>
      </c>
      <c r="Q83" s="45" t="inlineStr">
        <is>
          <t>À évaluer</t>
        </is>
      </c>
      <c r="R83" s="45" t="inlineStr">
        <is>
          <t>À évaluer</t>
        </is>
      </c>
      <c r="S83" s="53" t="n">
        <v>7.8</v>
      </c>
      <c r="T83" s="49" t="inlineStr">
        <is>
          <t>Reader</t>
        </is>
      </c>
      <c r="U83" s="81" t="n">
        <v>45359</v>
      </c>
      <c r="V83" s="49" t="n">
        <v>4</v>
      </c>
      <c r="W83" s="41" t="inlineStr">
        <is>
          <t>https://headfonics.com/?s=Hidizs+SD2</t>
        </is>
      </c>
      <c r="X83" s="49" t="inlineStr">
        <is>
          <t>Portable dongle DAC/amp</t>
        </is>
      </c>
    </row>
    <row r="84">
      <c r="A84" s="44" t="inlineStr">
        <is>
          <t>Colorfly</t>
        </is>
      </c>
      <c r="B84" s="44" t="inlineStr">
        <is>
          <t>CDA-M1P</t>
        </is>
      </c>
      <c r="C84" s="45" t="n"/>
      <c r="D84" s="45" t="inlineStr">
        <is>
          <t>Non</t>
        </is>
      </c>
      <c r="E84" s="192" t="inlineStr">
        <is>
          <t>Non</t>
        </is>
      </c>
      <c r="F84" s="190" t="inlineStr">
        <is>
          <t>Oui</t>
        </is>
      </c>
      <c r="G84" s="190" t="inlineStr">
        <is>
          <t>Oui</t>
        </is>
      </c>
      <c r="H84" s="190" t="inlineStr">
        <is>
          <t>Non</t>
        </is>
      </c>
      <c r="I84" s="190" t="inlineStr">
        <is>
          <t>Non</t>
        </is>
      </c>
      <c r="J84" s="190" t="inlineStr">
        <is>
          <t>Non</t>
        </is>
      </c>
      <c r="K84" s="187" t="inlineStr">
        <is>
          <t>Non</t>
        </is>
      </c>
      <c r="L84" s="45" t="n"/>
      <c r="M84" s="55" t="n">
        <v>69</v>
      </c>
      <c r="N84" s="44" t="inlineStr">
        <is>
          <t>Portable Amp/DAC (Headfonics)</t>
        </is>
      </c>
      <c r="O84" s="44" t="inlineStr">
        <is>
          <t>Import Headfonics — à enrichir</t>
        </is>
      </c>
      <c r="P84" s="56" t="inlineStr">
        <is>
          <t>https://headfonics.com/category/portable-amps-dacs/page/4/</t>
        </is>
      </c>
      <c r="Q84" s="45" t="inlineStr">
        <is>
          <t>À évaluer</t>
        </is>
      </c>
      <c r="R84" s="45" t="inlineStr">
        <is>
          <t>À évaluer</t>
        </is>
      </c>
      <c r="S84" s="52" t="n">
        <v>8.199999999999999</v>
      </c>
      <c r="T84" s="49" t="inlineStr">
        <is>
          <t>Reader</t>
        </is>
      </c>
      <c r="U84" s="81" t="n">
        <v>45350</v>
      </c>
      <c r="V84" s="49" t="n">
        <v>4</v>
      </c>
      <c r="W84" s="41" t="inlineStr">
        <is>
          <t>https://headfonics.com/?s=Colorfly+CDA-M1P</t>
        </is>
      </c>
      <c r="X84" s="49" t="inlineStr">
        <is>
          <t>Portable dongle DAC/amp</t>
        </is>
      </c>
    </row>
    <row r="85">
      <c r="A85" s="44" t="inlineStr">
        <is>
          <t>FiiO</t>
        </is>
      </c>
      <c r="B85" s="44" t="inlineStr">
        <is>
          <t>Q15</t>
        </is>
      </c>
      <c r="C85" s="45" t="n"/>
      <c r="D85" s="192" t="inlineStr">
        <is>
          <t>Oui</t>
        </is>
      </c>
      <c r="E85" s="192" t="inlineStr">
        <is>
          <t>Oui</t>
        </is>
      </c>
      <c r="F85" s="190" t="inlineStr">
        <is>
          <t>Oui</t>
        </is>
      </c>
      <c r="G85" s="190" t="inlineStr">
        <is>
          <t>Oui</t>
        </is>
      </c>
      <c r="H85" s="190" t="inlineStr">
        <is>
          <t>Non</t>
        </is>
      </c>
      <c r="I85" s="190" t="inlineStr">
        <is>
          <t>Non</t>
        </is>
      </c>
      <c r="J85" s="190" t="inlineStr">
        <is>
          <t>Non</t>
        </is>
      </c>
      <c r="K85" s="190" t="inlineStr">
        <is>
          <t>Oui</t>
        </is>
      </c>
      <c r="L85" s="45" t="n"/>
      <c r="M85" s="55" t="n">
        <v>351</v>
      </c>
      <c r="N85" s="44" t="inlineStr">
        <is>
          <t>Portable Amp/DAC (Headfonics)</t>
        </is>
      </c>
      <c r="O85" s="44" t="inlineStr">
        <is>
          <t>Import Headfonics — à enrichir</t>
        </is>
      </c>
      <c r="P85" s="56" t="inlineStr">
        <is>
          <t>https://headfonics.com/category/portable-amps-dacs/page/4/</t>
        </is>
      </c>
      <c r="Q85" s="45" t="inlineStr">
        <is>
          <t>À évaluer</t>
        </is>
      </c>
      <c r="R85" s="45" t="inlineStr">
        <is>
          <t>À évaluer</t>
        </is>
      </c>
      <c r="S85" s="49" t="n"/>
      <c r="T85" s="49" t="inlineStr">
        <is>
          <t>Reader (non relevé)</t>
        </is>
      </c>
      <c r="U85" s="81" t="n">
        <v>45339</v>
      </c>
      <c r="V85" s="49" t="n">
        <v>4</v>
      </c>
      <c r="W85" s="41" t="inlineStr">
        <is>
          <t>https://headfonics.com/?s=FiiO+Q15</t>
        </is>
      </c>
      <c r="X85" s="49" t="inlineStr">
        <is>
          <t>Portable DAC/amp</t>
        </is>
      </c>
    </row>
    <row r="86">
      <c r="A86" s="44" t="inlineStr">
        <is>
          <t>iFi audio</t>
        </is>
      </c>
      <c r="B86" s="44" t="inlineStr">
        <is>
          <t>iDSD Diablo 2</t>
        </is>
      </c>
      <c r="C86" s="45" t="n"/>
      <c r="D86" s="192" t="inlineStr">
        <is>
          <t>Oui</t>
        </is>
      </c>
      <c r="E86" s="192" t="inlineStr">
        <is>
          <t>Oui</t>
        </is>
      </c>
      <c r="F86" s="190" t="inlineStr">
        <is>
          <t>Non</t>
        </is>
      </c>
      <c r="G86" s="190" t="inlineStr">
        <is>
          <t>Oui</t>
        </is>
      </c>
      <c r="H86" s="190" t="inlineStr">
        <is>
          <t>Non</t>
        </is>
      </c>
      <c r="I86" s="190" t="inlineStr">
        <is>
          <t>Oui</t>
        </is>
      </c>
      <c r="J86" s="190" t="inlineStr">
        <is>
          <t>Non</t>
        </is>
      </c>
      <c r="K86" s="187" t="inlineStr">
        <is>
          <t>Non</t>
        </is>
      </c>
      <c r="L86" s="45" t="n"/>
      <c r="M86" s="55" t="n">
        <v>1141</v>
      </c>
      <c r="N86" s="44" t="inlineStr">
        <is>
          <t>Portable Amp/DAC (Headfonics)</t>
        </is>
      </c>
      <c r="O86" s="44" t="inlineStr">
        <is>
          <t>Import Headfonics — à enrichir</t>
        </is>
      </c>
      <c r="P86" s="56" t="inlineStr">
        <is>
          <t>https://headfonics.com/category/portable-amps-dacs/page/4/</t>
        </is>
      </c>
      <c r="Q86" s="45" t="inlineStr">
        <is>
          <t>À évaluer</t>
        </is>
      </c>
      <c r="R86" s="45" t="inlineStr">
        <is>
          <t>À évaluer</t>
        </is>
      </c>
      <c r="S86" s="50" t="n">
        <v>8.800000000000001</v>
      </c>
      <c r="T86" s="49" t="inlineStr">
        <is>
          <t>Reader</t>
        </is>
      </c>
      <c r="U86" s="81" t="n">
        <v>45318</v>
      </c>
      <c r="V86" s="49" t="n">
        <v>4</v>
      </c>
      <c r="W86" s="41" t="inlineStr">
        <is>
          <t>https://headfonics.com/?s=iFi+audio+iDSD+Diablo+2</t>
        </is>
      </c>
      <c r="X86" s="49" t="inlineStr">
        <is>
          <t>Transportable/portable DAC/amp</t>
        </is>
      </c>
    </row>
    <row r="87">
      <c r="A87" s="44" t="inlineStr">
        <is>
          <t>ddHiFi</t>
        </is>
      </c>
      <c r="B87" s="44" t="inlineStr">
        <is>
          <t>TC35Pro Eye2 &amp; Mountain2</t>
        </is>
      </c>
      <c r="C87" s="45" t="n"/>
      <c r="D87" s="45" t="inlineStr">
        <is>
          <t>Non</t>
        </is>
      </c>
      <c r="E87" s="192" t="inlineStr">
        <is>
          <t>Non</t>
        </is>
      </c>
      <c r="F87" s="190" t="inlineStr">
        <is>
          <t>Oui</t>
        </is>
      </c>
      <c r="G87" s="190" t="inlineStr">
        <is>
          <t>Non</t>
        </is>
      </c>
      <c r="H87" s="190" t="inlineStr">
        <is>
          <t>Non</t>
        </is>
      </c>
      <c r="I87" s="190" t="inlineStr">
        <is>
          <t>Non</t>
        </is>
      </c>
      <c r="J87" s="190" t="inlineStr">
        <is>
          <t>Non</t>
        </is>
      </c>
      <c r="K87" s="187" t="inlineStr">
        <is>
          <t>Non</t>
        </is>
      </c>
      <c r="L87" s="45" t="n"/>
      <c r="M87" s="55" t="n">
        <v>62</v>
      </c>
      <c r="N87" s="44" t="inlineStr">
        <is>
          <t>Portable Amp/DAC (Headfonics)</t>
        </is>
      </c>
      <c r="O87" s="44" t="inlineStr">
        <is>
          <t>Import Headfonics — à enrichir</t>
        </is>
      </c>
      <c r="P87" s="56" t="inlineStr">
        <is>
          <t>https://headfonics.com/category/portable-amps-dacs/page/4/</t>
        </is>
      </c>
      <c r="Q87" s="45" t="inlineStr">
        <is>
          <t>À évaluer</t>
        </is>
      </c>
      <c r="R87" s="45" t="inlineStr">
        <is>
          <t>À évaluer</t>
        </is>
      </c>
      <c r="S87" s="53" t="n">
        <v>7.9</v>
      </c>
      <c r="T87" s="49" t="inlineStr">
        <is>
          <t>Reader</t>
        </is>
      </c>
      <c r="U87" s="81" t="n">
        <v>45294</v>
      </c>
      <c r="V87" s="49" t="n">
        <v>4</v>
      </c>
      <c r="W87" s="41" t="inlineStr">
        <is>
          <t>https://headfonics.com/?s=ddHiFi+TC35Pro+Eye2+%26+Mountain2</t>
        </is>
      </c>
      <c r="X87" s="49" t="inlineStr">
        <is>
          <t>Portable USB DAC adapters</t>
        </is>
      </c>
    </row>
    <row r="88">
      <c r="A88" s="44" t="inlineStr">
        <is>
          <t>Shanling</t>
        </is>
      </c>
      <c r="B88" s="44" t="inlineStr">
        <is>
          <t>UA1 Plus</t>
        </is>
      </c>
      <c r="C88" s="45" t="n"/>
      <c r="D88" s="45" t="inlineStr">
        <is>
          <t>Non</t>
        </is>
      </c>
      <c r="E88" s="192" t="inlineStr">
        <is>
          <t>Non</t>
        </is>
      </c>
      <c r="F88" s="190" t="inlineStr">
        <is>
          <t>Oui</t>
        </is>
      </c>
      <c r="G88" s="190" t="inlineStr">
        <is>
          <t>Non</t>
        </is>
      </c>
      <c r="H88" s="190" t="inlineStr">
        <is>
          <t>Non</t>
        </is>
      </c>
      <c r="I88" s="190" t="inlineStr">
        <is>
          <t>Non</t>
        </is>
      </c>
      <c r="J88" s="190" t="inlineStr">
        <is>
          <t>Non</t>
        </is>
      </c>
      <c r="K88" s="187" t="inlineStr">
        <is>
          <t>Non</t>
        </is>
      </c>
      <c r="L88" s="45" t="n"/>
      <c r="M88" s="55" t="n">
        <v>43</v>
      </c>
      <c r="N88" s="44" t="inlineStr">
        <is>
          <t>Portable Amp/DAC (Headfonics)</t>
        </is>
      </c>
      <c r="O88" s="44" t="inlineStr">
        <is>
          <t>Import Headfonics — à enrichir</t>
        </is>
      </c>
      <c r="P88" s="56" t="inlineStr">
        <is>
          <t>https://headfonics.com/category/portable-amps-dacs/page/4/</t>
        </is>
      </c>
      <c r="Q88" s="45" t="inlineStr">
        <is>
          <t>À évaluer</t>
        </is>
      </c>
      <c r="R88" s="45" t="inlineStr">
        <is>
          <t>À évaluer</t>
        </is>
      </c>
      <c r="S88" s="52" t="n">
        <v>8</v>
      </c>
      <c r="T88" s="49" t="inlineStr">
        <is>
          <t>Reader</t>
        </is>
      </c>
      <c r="U88" s="81" t="n">
        <v>45290</v>
      </c>
      <c r="V88" s="49" t="n">
        <v>4</v>
      </c>
      <c r="W88" s="41" t="inlineStr">
        <is>
          <t>https://headfonics.com/?s=Shanling+UA1+Plus</t>
        </is>
      </c>
      <c r="X88" s="49" t="inlineStr">
        <is>
          <t>Portable dongle DAC/amp</t>
        </is>
      </c>
    </row>
    <row r="89">
      <c r="A89" s="44" t="inlineStr">
        <is>
          <t>iFi audio</t>
        </is>
      </c>
      <c r="B89" s="44" t="inlineStr">
        <is>
          <t>hip-dac 3</t>
        </is>
      </c>
      <c r="C89" s="45" t="inlineStr">
        <is>
          <t>Burr-Brown; XMOS; symétrique</t>
        </is>
      </c>
      <c r="D89" s="192" t="inlineStr">
        <is>
          <t>Oui</t>
        </is>
      </c>
      <c r="E89" s="192" t="inlineStr">
        <is>
          <t>Non</t>
        </is>
      </c>
      <c r="F89" s="190" t="inlineStr">
        <is>
          <t>Oui</t>
        </is>
      </c>
      <c r="G89" s="190" t="inlineStr">
        <is>
          <t>Oui</t>
        </is>
      </c>
      <c r="H89" s="190" t="inlineStr">
        <is>
          <t>Non</t>
        </is>
      </c>
      <c r="I89" s="190" t="inlineStr">
        <is>
          <t>Non</t>
        </is>
      </c>
      <c r="J89" s="190" t="inlineStr">
        <is>
          <t>Non</t>
        </is>
      </c>
      <c r="K89" s="187" t="inlineStr">
        <is>
          <t>Non</t>
        </is>
      </c>
      <c r="L89" s="45" t="n"/>
      <c r="M89" s="55" t="n">
        <v>199</v>
      </c>
      <c r="N89" s="44" t="inlineStr">
        <is>
          <t>Portable Amp/DAC (Headfonics)</t>
        </is>
      </c>
      <c r="O89" s="44" t="inlineStr">
        <is>
          <t>Import Headfonics — à enrichir</t>
        </is>
      </c>
      <c r="P89" s="56" t="inlineStr">
        <is>
          <t>https://headfonics.com/category/portable-amps-dacs/page/4/</t>
        </is>
      </c>
      <c r="Q89" s="45" t="inlineStr">
        <is>
          <t>À évaluer</t>
        </is>
      </c>
      <c r="R89" s="45" t="inlineStr">
        <is>
          <t>À évaluer</t>
        </is>
      </c>
      <c r="S89" s="52" t="n">
        <v>8.1</v>
      </c>
      <c r="T89" s="49" t="inlineStr">
        <is>
          <t>Reader</t>
        </is>
      </c>
      <c r="U89" s="81" t="n">
        <v>45271</v>
      </c>
      <c r="V89" s="49" t="n">
        <v>4</v>
      </c>
      <c r="W89" s="41" t="inlineStr">
        <is>
          <t>https://headfonics.com/?s=iFi+audio+hip-dac+3</t>
        </is>
      </c>
      <c r="X89" s="49" t="inlineStr">
        <is>
          <t>Battery portable DAC/amp</t>
        </is>
      </c>
    </row>
    <row r="90">
      <c r="A90" s="44" t="inlineStr">
        <is>
          <t>Hidizs</t>
        </is>
      </c>
      <c r="B90" s="44" t="inlineStr">
        <is>
          <t>S9 Pro Plus Martha</t>
        </is>
      </c>
      <c r="C90" s="45" t="inlineStr">
        <is>
          <t>ES9038Q2M; symétrique</t>
        </is>
      </c>
      <c r="D90" s="45" t="inlineStr">
        <is>
          <t>Non</t>
        </is>
      </c>
      <c r="E90" s="192" t="inlineStr">
        <is>
          <t>Non</t>
        </is>
      </c>
      <c r="F90" s="190" t="inlineStr">
        <is>
          <t>Oui</t>
        </is>
      </c>
      <c r="G90" s="190" t="inlineStr">
        <is>
          <t>Oui</t>
        </is>
      </c>
      <c r="H90" s="190" t="inlineStr">
        <is>
          <t>Non</t>
        </is>
      </c>
      <c r="I90" s="190" t="inlineStr">
        <is>
          <t>Non</t>
        </is>
      </c>
      <c r="J90" s="190" t="inlineStr">
        <is>
          <t>Non</t>
        </is>
      </c>
      <c r="K90" s="187" t="inlineStr">
        <is>
          <t>Non</t>
        </is>
      </c>
      <c r="L90" s="45" t="n"/>
      <c r="M90" s="55" t="n">
        <v>85</v>
      </c>
      <c r="N90" s="44" t="inlineStr">
        <is>
          <t>Portable Amp/DAC (Headfonics)</t>
        </is>
      </c>
      <c r="O90" s="44" t="inlineStr">
        <is>
          <t>Import Headfonics — à enrichir</t>
        </is>
      </c>
      <c r="P90" s="56" t="inlineStr">
        <is>
          <t>https://headfonics.com/category/portable-amps-dacs/page/4/</t>
        </is>
      </c>
      <c r="Q90" s="45" t="inlineStr">
        <is>
          <t>À évaluer</t>
        </is>
      </c>
      <c r="R90" s="45" t="inlineStr">
        <is>
          <t>À évaluer</t>
        </is>
      </c>
      <c r="S90" s="52" t="n">
        <v>8.1</v>
      </c>
      <c r="T90" s="49" t="inlineStr">
        <is>
          <t>Reader</t>
        </is>
      </c>
      <c r="U90" s="81" t="n">
        <v>45264</v>
      </c>
      <c r="V90" s="49" t="n">
        <v>4</v>
      </c>
      <c r="W90" s="41" t="inlineStr">
        <is>
          <t>https://headfonics.com/?s=Hidizs+S9+Pro+Plus+Martha</t>
        </is>
      </c>
      <c r="X90" s="49" t="inlineStr">
        <is>
          <t>Portable dongle DAC/amp</t>
        </is>
      </c>
    </row>
    <row r="91">
      <c r="A91" s="44" t="inlineStr">
        <is>
          <t>xDuoo</t>
        </is>
      </c>
      <c r="B91" s="44" t="inlineStr">
        <is>
          <t>XD05 Pro</t>
        </is>
      </c>
      <c r="C91" s="45" t="inlineStr">
        <is>
          <t>ES9039SPRO; XMOS XU316; modules remplaçables</t>
        </is>
      </c>
      <c r="D91" s="192" t="inlineStr">
        <is>
          <t>Oui</t>
        </is>
      </c>
      <c r="E91" s="192" t="inlineStr">
        <is>
          <t>Oui</t>
        </is>
      </c>
      <c r="F91" s="190" t="inlineStr">
        <is>
          <t>Non</t>
        </is>
      </c>
      <c r="G91" s="190" t="inlineStr">
        <is>
          <t>Oui</t>
        </is>
      </c>
      <c r="H91" s="190" t="inlineStr">
        <is>
          <t>Non</t>
        </is>
      </c>
      <c r="I91" s="190" t="inlineStr">
        <is>
          <t>Oui</t>
        </is>
      </c>
      <c r="J91" s="190" t="inlineStr">
        <is>
          <t>Non</t>
        </is>
      </c>
      <c r="K91" s="187" t="inlineStr">
        <is>
          <t>Non</t>
        </is>
      </c>
      <c r="L91" s="45" t="n"/>
      <c r="M91" s="55" t="n">
        <v>749</v>
      </c>
      <c r="N91" s="44" t="inlineStr">
        <is>
          <t>Portable Amp/DAC (Headfonics)</t>
        </is>
      </c>
      <c r="O91" s="44" t="inlineStr">
        <is>
          <t>Import Headfonics — à enrichir</t>
        </is>
      </c>
      <c r="P91" s="56" t="inlineStr">
        <is>
          <t>https://headfonics.com/category/portable-amps-dacs/page/4/</t>
        </is>
      </c>
      <c r="Q91" s="45" t="inlineStr">
        <is>
          <t>À évaluer</t>
        </is>
      </c>
      <c r="R91" s="45" t="inlineStr">
        <is>
          <t>À évaluer</t>
        </is>
      </c>
      <c r="S91" s="50" t="n">
        <v>8.699999999999999</v>
      </c>
      <c r="T91" s="49" t="inlineStr">
        <is>
          <t>Reader</t>
        </is>
      </c>
      <c r="U91" s="81" t="n">
        <v>45250</v>
      </c>
      <c r="V91" s="49" t="n">
        <v>4</v>
      </c>
      <c r="W91" s="41" t="inlineStr">
        <is>
          <t>https://headfonics.com/?s=xDuoo+XD05+Pro</t>
        </is>
      </c>
      <c r="X91" s="49" t="inlineStr">
        <is>
          <t>Modular transportable DAC/amp</t>
        </is>
      </c>
    </row>
    <row r="92">
      <c r="A92" s="44" t="inlineStr">
        <is>
          <t>FiiO</t>
        </is>
      </c>
      <c r="B92" s="44" t="inlineStr">
        <is>
          <t>KA13</t>
        </is>
      </c>
      <c r="C92" s="45" t="n"/>
      <c r="D92" s="45" t="inlineStr">
        <is>
          <t>Non</t>
        </is>
      </c>
      <c r="E92" s="192" t="inlineStr">
        <is>
          <t>Non</t>
        </is>
      </c>
      <c r="F92" s="190" t="inlineStr">
        <is>
          <t>Oui</t>
        </is>
      </c>
      <c r="G92" s="190" t="inlineStr">
        <is>
          <t>Oui</t>
        </is>
      </c>
      <c r="H92" s="190" t="inlineStr">
        <is>
          <t>Non</t>
        </is>
      </c>
      <c r="I92" s="190" t="inlineStr">
        <is>
          <t>Non</t>
        </is>
      </c>
      <c r="J92" s="190" t="inlineStr">
        <is>
          <t>Non</t>
        </is>
      </c>
      <c r="K92" s="190" t="inlineStr">
        <is>
          <t>Non</t>
        </is>
      </c>
      <c r="L92" s="45" t="n"/>
      <c r="M92" s="55" t="n">
        <v>79</v>
      </c>
      <c r="N92" s="44" t="inlineStr">
        <is>
          <t>Portable Amp/DAC (Headfonics)</t>
        </is>
      </c>
      <c r="O92" s="44" t="inlineStr">
        <is>
          <t>Import Headfonics — à enrichir</t>
        </is>
      </c>
      <c r="P92" s="56" t="inlineStr">
        <is>
          <t>https://headfonics.com/category/portable-amps-dacs/page/4/</t>
        </is>
      </c>
      <c r="Q92" s="45" t="inlineStr">
        <is>
          <t>À évaluer</t>
        </is>
      </c>
      <c r="R92" s="45" t="inlineStr">
        <is>
          <t>À évaluer</t>
        </is>
      </c>
      <c r="S92" s="49" t="n"/>
      <c r="T92" s="49" t="inlineStr">
        <is>
          <t>Reader (non relevé)</t>
        </is>
      </c>
      <c r="U92" s="81" t="n">
        <v>45234</v>
      </c>
      <c r="V92" s="49" t="n">
        <v>4</v>
      </c>
      <c r="W92" s="41" t="inlineStr">
        <is>
          <t>https://headfonics.com/?s=FiiO+KA13</t>
        </is>
      </c>
      <c r="X92" s="49" t="inlineStr">
        <is>
          <t>Portable dongle DAC/amp</t>
        </is>
      </c>
    </row>
    <row r="93">
      <c r="A93" s="44" t="inlineStr">
        <is>
          <t>Audirect</t>
        </is>
      </c>
      <c r="B93" s="44" t="inlineStr">
        <is>
          <t>Beam 4</t>
        </is>
      </c>
      <c r="C93" s="45" t="n"/>
      <c r="D93" s="192" t="inlineStr">
        <is>
          <t>Oui</t>
        </is>
      </c>
      <c r="E93" s="192" t="inlineStr">
        <is>
          <t>Non</t>
        </is>
      </c>
      <c r="F93" s="190" t="inlineStr">
        <is>
          <t>Oui</t>
        </is>
      </c>
      <c r="G93" s="190" t="inlineStr">
        <is>
          <t>Oui</t>
        </is>
      </c>
      <c r="H93" s="190" t="inlineStr">
        <is>
          <t>Non</t>
        </is>
      </c>
      <c r="I93" s="190" t="inlineStr">
        <is>
          <t>Non</t>
        </is>
      </c>
      <c r="J93" s="190" t="inlineStr">
        <is>
          <t>Non</t>
        </is>
      </c>
      <c r="K93" s="187" t="inlineStr">
        <is>
          <t>Non</t>
        </is>
      </c>
      <c r="L93" s="45" t="n"/>
      <c r="M93" s="55" t="n">
        <v>211</v>
      </c>
      <c r="N93" s="44" t="inlineStr">
        <is>
          <t>Portable Amp/DAC (Headfonics)</t>
        </is>
      </c>
      <c r="O93" s="44" t="inlineStr">
        <is>
          <t>Import Headfonics — à enrichir</t>
        </is>
      </c>
      <c r="P93" s="56" t="inlineStr">
        <is>
          <t>https://headfonics.com/category/portable-amps-dacs/page/4/</t>
        </is>
      </c>
      <c r="Q93" s="45" t="inlineStr">
        <is>
          <t>À évaluer</t>
        </is>
      </c>
      <c r="R93" s="45" t="inlineStr">
        <is>
          <t>À évaluer</t>
        </is>
      </c>
      <c r="S93" s="52" t="n">
        <v>8</v>
      </c>
      <c r="T93" s="49" t="inlineStr">
        <is>
          <t>Reader</t>
        </is>
      </c>
      <c r="U93" s="81" t="n">
        <v>45231</v>
      </c>
      <c r="V93" s="49" t="n">
        <v>4</v>
      </c>
      <c r="W93" s="41" t="inlineStr">
        <is>
          <t>https://headfonics.com/?s=Audirect+Beam+4</t>
        </is>
      </c>
      <c r="X93" s="49" t="inlineStr">
        <is>
          <t>Portable DAC/amp</t>
        </is>
      </c>
    </row>
    <row r="94">
      <c r="A94" s="44" t="inlineStr">
        <is>
          <t>ddHiFi</t>
        </is>
      </c>
      <c r="B94" s="44" t="inlineStr">
        <is>
          <t>TC44Pro</t>
        </is>
      </c>
      <c r="C94" s="45" t="n"/>
      <c r="D94" s="45" t="inlineStr">
        <is>
          <t>Non</t>
        </is>
      </c>
      <c r="E94" s="45" t="inlineStr">
        <is>
          <t>Non</t>
        </is>
      </c>
      <c r="F94" s="190" t="inlineStr">
        <is>
          <t>Non</t>
        </is>
      </c>
      <c r="G94" s="190" t="inlineStr">
        <is>
          <t>Oui</t>
        </is>
      </c>
      <c r="H94" s="190" t="inlineStr">
        <is>
          <t>Non</t>
        </is>
      </c>
      <c r="I94" s="190" t="inlineStr">
        <is>
          <t>Non</t>
        </is>
      </c>
      <c r="J94" s="190" t="inlineStr">
        <is>
          <t>Non</t>
        </is>
      </c>
      <c r="K94" s="190" t="inlineStr">
        <is>
          <t>Non</t>
        </is>
      </c>
      <c r="L94" s="45" t="n"/>
      <c r="M94" s="55" t="n">
        <v>70</v>
      </c>
      <c r="N94" s="44" t="inlineStr">
        <is>
          <t>Portable Amp/DAC (Headfonics)</t>
        </is>
      </c>
      <c r="O94" s="44" t="inlineStr">
        <is>
          <t>Import Headfonics — à enrichir</t>
        </is>
      </c>
      <c r="P94" s="56" t="inlineStr">
        <is>
          <t>https://headfonics.com/category/portable-amps-dacs/page/4/</t>
        </is>
      </c>
      <c r="Q94" s="45" t="inlineStr">
        <is>
          <t>À évaluer</t>
        </is>
      </c>
      <c r="R94" s="45" t="inlineStr">
        <is>
          <t>À évaluer</t>
        </is>
      </c>
      <c r="S94" s="52" t="n">
        <v>8.199999999999999</v>
      </c>
      <c r="T94" s="49" t="inlineStr">
        <is>
          <t>Reader</t>
        </is>
      </c>
      <c r="U94" s="81" t="n">
        <v>45229</v>
      </c>
      <c r="V94" s="49" t="n">
        <v>4</v>
      </c>
      <c r="W94" s="41" t="inlineStr">
        <is>
          <t>https://headfonics.com/?s=ddHiFi+TC44Pro</t>
        </is>
      </c>
      <c r="X94" s="49" t="inlineStr">
        <is>
          <t>Portable dongle DAC/amp</t>
        </is>
      </c>
    </row>
    <row r="95">
      <c r="A95" s="44" t="inlineStr">
        <is>
          <t>Moondrop</t>
        </is>
      </c>
      <c r="B95" s="44" t="inlineStr">
        <is>
          <t>Dawn Pro</t>
        </is>
      </c>
      <c r="C95" s="45" t="n"/>
      <c r="D95" s="45" t="inlineStr">
        <is>
          <t>Non</t>
        </is>
      </c>
      <c r="E95" s="192" t="inlineStr">
        <is>
          <t>Non</t>
        </is>
      </c>
      <c r="F95" s="190" t="inlineStr">
        <is>
          <t>Oui</t>
        </is>
      </c>
      <c r="G95" s="190" t="inlineStr">
        <is>
          <t>Oui</t>
        </is>
      </c>
      <c r="H95" s="190" t="inlineStr">
        <is>
          <t>Non</t>
        </is>
      </c>
      <c r="I95" s="190" t="inlineStr">
        <is>
          <t>Non</t>
        </is>
      </c>
      <c r="J95" s="190" t="inlineStr">
        <is>
          <t>Non</t>
        </is>
      </c>
      <c r="K95" s="187" t="inlineStr">
        <is>
          <t>Non</t>
        </is>
      </c>
      <c r="L95" s="45" t="n"/>
      <c r="M95" s="55" t="n">
        <v>44</v>
      </c>
      <c r="N95" s="44" t="inlineStr">
        <is>
          <t>Portable Amp/DAC (Headfonics)</t>
        </is>
      </c>
      <c r="O95" s="44" t="inlineStr">
        <is>
          <t>Import Headfonics — à enrichir</t>
        </is>
      </c>
      <c r="P95" s="56" t="inlineStr">
        <is>
          <t>https://headfonics.com/category/portable-amps-dacs/page/4/</t>
        </is>
      </c>
      <c r="Q95" s="45" t="inlineStr">
        <is>
          <t>À évaluer</t>
        </is>
      </c>
      <c r="R95" s="45" t="inlineStr">
        <is>
          <t>À évaluer</t>
        </is>
      </c>
      <c r="S95" s="53" t="n">
        <v>7.7</v>
      </c>
      <c r="T95" s="49" t="inlineStr">
        <is>
          <t>Reader</t>
        </is>
      </c>
      <c r="U95" s="81" t="n">
        <v>45219</v>
      </c>
      <c r="V95" s="49" t="n">
        <v>4</v>
      </c>
      <c r="W95" s="41" t="inlineStr">
        <is>
          <t>https://headfonics.com/?s=Moondrop+Dawn+Pro</t>
        </is>
      </c>
      <c r="X95" s="49" t="inlineStr">
        <is>
          <t>Portable dongle DAC/amp</t>
        </is>
      </c>
    </row>
    <row r="96">
      <c r="A96" s="44" t="inlineStr">
        <is>
          <t>Moondrop</t>
        </is>
      </c>
      <c r="B96" s="44" t="inlineStr">
        <is>
          <t>MoonRiver 2: Ti</t>
        </is>
      </c>
      <c r="C96" s="45" t="n"/>
      <c r="D96" s="45" t="inlineStr">
        <is>
          <t>Non</t>
        </is>
      </c>
      <c r="E96" s="192" t="inlineStr">
        <is>
          <t>Non</t>
        </is>
      </c>
      <c r="F96" s="190" t="inlineStr">
        <is>
          <t>Oui</t>
        </is>
      </c>
      <c r="G96" s="190" t="inlineStr">
        <is>
          <t>Oui</t>
        </is>
      </c>
      <c r="H96" s="190" t="inlineStr">
        <is>
          <t>Non</t>
        </is>
      </c>
      <c r="I96" s="190" t="inlineStr">
        <is>
          <t>Non</t>
        </is>
      </c>
      <c r="J96" s="190" t="inlineStr">
        <is>
          <t>Non</t>
        </is>
      </c>
      <c r="K96" s="190" t="inlineStr">
        <is>
          <t>Non</t>
        </is>
      </c>
      <c r="L96" s="45" t="n"/>
      <c r="M96" s="55" t="n">
        <v>167</v>
      </c>
      <c r="N96" s="44" t="inlineStr">
        <is>
          <t>Portable Amp/DAC (Headfonics)</t>
        </is>
      </c>
      <c r="O96" s="44" t="inlineStr">
        <is>
          <t>Import Headfonics — à enrichir</t>
        </is>
      </c>
      <c r="P96" s="56" t="inlineStr">
        <is>
          <t>https://headfonics.com/category/portable-amps-dacs/page/4/</t>
        </is>
      </c>
      <c r="Q96" s="45" t="inlineStr">
        <is>
          <t>À évaluer</t>
        </is>
      </c>
      <c r="R96" s="45" t="inlineStr">
        <is>
          <t>À évaluer</t>
        </is>
      </c>
      <c r="S96" s="49" t="n"/>
      <c r="T96" s="49" t="inlineStr">
        <is>
          <t>Reader (non relevé)</t>
        </is>
      </c>
      <c r="U96" s="81" t="n">
        <v>45163</v>
      </c>
      <c r="V96" s="49" t="n">
        <v>4</v>
      </c>
      <c r="W96" s="41" t="inlineStr">
        <is>
          <t>https://headfonics.com/?s=Moondrop+MoonRiver+2%3A+Ti</t>
        </is>
      </c>
      <c r="X96" s="49" t="inlineStr">
        <is>
          <t>Portable dongle DAC/amp</t>
        </is>
      </c>
    </row>
    <row r="97">
      <c r="A97" s="44" t="inlineStr">
        <is>
          <t>HiBy</t>
        </is>
      </c>
      <c r="B97" s="44" t="inlineStr">
        <is>
          <t>FC6</t>
        </is>
      </c>
      <c r="C97" s="45" t="n"/>
      <c r="D97" s="192" t="inlineStr">
        <is>
          <t>Non</t>
        </is>
      </c>
      <c r="E97" s="192" t="inlineStr">
        <is>
          <t>Non</t>
        </is>
      </c>
      <c r="F97" s="190" t="inlineStr">
        <is>
          <t>Oui</t>
        </is>
      </c>
      <c r="G97" s="190" t="inlineStr">
        <is>
          <t>Non</t>
        </is>
      </c>
      <c r="H97" s="190" t="inlineStr">
        <is>
          <t>Non</t>
        </is>
      </c>
      <c r="I97" s="190" t="inlineStr">
        <is>
          <t>Non</t>
        </is>
      </c>
      <c r="J97" s="190" t="inlineStr">
        <is>
          <t>Non</t>
        </is>
      </c>
      <c r="K97" s="187" t="inlineStr">
        <is>
          <t>Non</t>
        </is>
      </c>
      <c r="L97" s="45" t="n"/>
      <c r="M97" s="55" t="n">
        <v>263</v>
      </c>
      <c r="N97" s="44" t="inlineStr">
        <is>
          <t>Portable Amp/DAC (Headfonics)</t>
        </is>
      </c>
      <c r="O97" s="44" t="inlineStr">
        <is>
          <t>Import Headfonics — à enrichir</t>
        </is>
      </c>
      <c r="P97" s="56" t="inlineStr">
        <is>
          <t>https://headfonics.com/category/portable-amps-dacs/page/4/</t>
        </is>
      </c>
      <c r="Q97" s="45" t="inlineStr">
        <is>
          <t>À évaluer</t>
        </is>
      </c>
      <c r="R97" s="45" t="inlineStr">
        <is>
          <t>À évaluer</t>
        </is>
      </c>
      <c r="S97" s="49" t="n"/>
      <c r="T97" s="49" t="inlineStr">
        <is>
          <t>Reader (non relevé)</t>
        </is>
      </c>
      <c r="U97" s="81" t="n">
        <v>45124</v>
      </c>
      <c r="V97" s="49" t="n">
        <v>4</v>
      </c>
      <c r="W97" s="41" t="inlineStr">
        <is>
          <t>https://headfonics.com/?s=HiBy+FC6</t>
        </is>
      </c>
      <c r="X97" s="49" t="inlineStr">
        <is>
          <t>Portable dongle DAC/amp</t>
        </is>
      </c>
    </row>
    <row r="98">
      <c r="A98" s="44" t="inlineStr">
        <is>
          <t>ddHiFi</t>
        </is>
      </c>
      <c r="B98" s="44" t="inlineStr">
        <is>
          <t>TC35C</t>
        </is>
      </c>
      <c r="C98" s="45" t="n"/>
      <c r="D98" s="192" t="inlineStr">
        <is>
          <t>Non</t>
        </is>
      </c>
      <c r="E98" s="192" t="inlineStr">
        <is>
          <t>Non</t>
        </is>
      </c>
      <c r="F98" s="190" t="inlineStr">
        <is>
          <t>Oui</t>
        </is>
      </c>
      <c r="G98" s="190" t="inlineStr">
        <is>
          <t>Non</t>
        </is>
      </c>
      <c r="H98" s="190" t="inlineStr">
        <is>
          <t>Non</t>
        </is>
      </c>
      <c r="I98" s="190" t="inlineStr">
        <is>
          <t>Non</t>
        </is>
      </c>
      <c r="J98" s="190" t="inlineStr">
        <is>
          <t>Non</t>
        </is>
      </c>
      <c r="K98" s="187" t="inlineStr">
        <is>
          <t>Non</t>
        </is>
      </c>
      <c r="L98" s="45" t="n"/>
      <c r="M98" s="55" t="n">
        <v>43</v>
      </c>
      <c r="N98" s="44" t="inlineStr">
        <is>
          <t>Portable Amp/DAC (Headfonics)</t>
        </is>
      </c>
      <c r="O98" s="44" t="inlineStr">
        <is>
          <t>Import Headfonics — à enrichir</t>
        </is>
      </c>
      <c r="P98" s="56" t="inlineStr">
        <is>
          <t>https://headfonics.com/category/portable-amps-dacs/page/4/</t>
        </is>
      </c>
      <c r="Q98" s="45" t="inlineStr">
        <is>
          <t>À évaluer</t>
        </is>
      </c>
      <c r="R98" s="45" t="inlineStr">
        <is>
          <t>À évaluer</t>
        </is>
      </c>
      <c r="S98" s="53" t="n">
        <v>7.9</v>
      </c>
      <c r="T98" s="49" t="inlineStr">
        <is>
          <t>Reader</t>
        </is>
      </c>
      <c r="U98" s="81" t="n">
        <v>45114</v>
      </c>
      <c r="V98" s="49" t="n">
        <v>4</v>
      </c>
      <c r="W98" s="41" t="inlineStr">
        <is>
          <t>https://headfonics.com/?s=ddHiFi+TC35C</t>
        </is>
      </c>
      <c r="X98" s="49" t="inlineStr">
        <is>
          <t>Portable USB DAC adapter</t>
        </is>
      </c>
    </row>
    <row r="99">
      <c r="A99" s="44" t="inlineStr">
        <is>
          <t>FiiO</t>
        </is>
      </c>
      <c r="B99" s="44" t="inlineStr">
        <is>
          <t>KA5</t>
        </is>
      </c>
      <c r="C99" s="45" t="n"/>
      <c r="D99" s="45" t="inlineStr">
        <is>
          <t>Non</t>
        </is>
      </c>
      <c r="E99" s="192" t="inlineStr">
        <is>
          <t>Non</t>
        </is>
      </c>
      <c r="F99" s="190" t="inlineStr">
        <is>
          <t>Oui</t>
        </is>
      </c>
      <c r="G99" s="190" t="inlineStr">
        <is>
          <t>Oui</t>
        </is>
      </c>
      <c r="H99" s="190" t="inlineStr">
        <is>
          <t>Non</t>
        </is>
      </c>
      <c r="I99" s="190" t="inlineStr">
        <is>
          <t>Non</t>
        </is>
      </c>
      <c r="J99" s="190" t="inlineStr">
        <is>
          <t>Non</t>
        </is>
      </c>
      <c r="K99" s="190" t="inlineStr">
        <is>
          <t>Non</t>
        </is>
      </c>
      <c r="L99" s="45" t="n"/>
      <c r="M99" s="55" t="n">
        <v>129</v>
      </c>
      <c r="N99" s="44" t="inlineStr">
        <is>
          <t>Portable Amp/DAC (Headfonics)</t>
        </is>
      </c>
      <c r="O99" s="44" t="inlineStr">
        <is>
          <t>Import Headfonics — à enrichir</t>
        </is>
      </c>
      <c r="P99" s="56" t="inlineStr">
        <is>
          <t>https://headfonics.com/category/portable-amps-dacs/page/5/</t>
        </is>
      </c>
      <c r="Q99" s="45" t="inlineStr">
        <is>
          <t>À évaluer</t>
        </is>
      </c>
      <c r="R99" s="45" t="inlineStr">
        <is>
          <t>À évaluer</t>
        </is>
      </c>
      <c r="S99" s="49" t="n"/>
      <c r="T99" s="49" t="inlineStr">
        <is>
          <t>Reader (non relevé)</t>
        </is>
      </c>
      <c r="U99" s="81" t="n">
        <v>45103</v>
      </c>
      <c r="V99" s="49" t="n">
        <v>5</v>
      </c>
      <c r="W99" s="41" t="inlineStr">
        <is>
          <t>https://headfonics.com/?s=FiiO+KA5</t>
        </is>
      </c>
      <c r="X99" s="49" t="inlineStr">
        <is>
          <t>Portable dongle DAC/amp</t>
        </is>
      </c>
    </row>
    <row r="100">
      <c r="A100" s="44" t="inlineStr">
        <is>
          <t>FiiO</t>
        </is>
      </c>
      <c r="B100" s="44" t="inlineStr">
        <is>
          <t>Q11</t>
        </is>
      </c>
      <c r="C100" s="45" t="n"/>
      <c r="D100" s="192" t="inlineStr">
        <is>
          <t>Oui</t>
        </is>
      </c>
      <c r="E100" s="192" t="inlineStr">
        <is>
          <t>Non</t>
        </is>
      </c>
      <c r="F100" s="190" t="inlineStr">
        <is>
          <t>Oui</t>
        </is>
      </c>
      <c r="G100" s="190" t="inlineStr">
        <is>
          <t>Oui</t>
        </is>
      </c>
      <c r="H100" s="190" t="inlineStr">
        <is>
          <t>Non</t>
        </is>
      </c>
      <c r="I100" s="190" t="inlineStr">
        <is>
          <t>Non</t>
        </is>
      </c>
      <c r="J100" s="190" t="inlineStr">
        <is>
          <t>Non</t>
        </is>
      </c>
      <c r="K100" s="190" t="inlineStr">
        <is>
          <t>Non</t>
        </is>
      </c>
      <c r="L100" s="45" t="n"/>
      <c r="M100" s="55" t="n">
        <v>79</v>
      </c>
      <c r="N100" s="44" t="inlineStr">
        <is>
          <t>Portable Amp/DAC (Headfonics)</t>
        </is>
      </c>
      <c r="O100" s="44" t="inlineStr">
        <is>
          <t>Import Headfonics — à enrichir</t>
        </is>
      </c>
      <c r="P100" s="56" t="inlineStr">
        <is>
          <t>https://headfonics.com/category/portable-amps-dacs/page/5/</t>
        </is>
      </c>
      <c r="Q100" s="45" t="inlineStr">
        <is>
          <t>À évaluer</t>
        </is>
      </c>
      <c r="R100" s="45" t="inlineStr">
        <is>
          <t>À évaluer</t>
        </is>
      </c>
      <c r="S100" s="49" t="n"/>
      <c r="T100" s="49" t="inlineStr">
        <is>
          <t>Reader (non relevé)</t>
        </is>
      </c>
      <c r="U100" s="81" t="n">
        <v>45073</v>
      </c>
      <c r="V100" s="49" t="n">
        <v>5</v>
      </c>
      <c r="W100" s="41" t="inlineStr">
        <is>
          <t>https://headfonics.com/?s=FiiO+Q11</t>
        </is>
      </c>
      <c r="X100" s="49" t="inlineStr">
        <is>
          <t>Battery portable DAC/amp</t>
        </is>
      </c>
    </row>
    <row r="101">
      <c r="A101" s="44" t="inlineStr">
        <is>
          <t>iFi audio</t>
        </is>
      </c>
      <c r="B101" s="44" t="inlineStr">
        <is>
          <t>UNO</t>
        </is>
      </c>
      <c r="C101" s="45" t="n"/>
      <c r="D101" s="192" t="inlineStr">
        <is>
          <t>Non</t>
        </is>
      </c>
      <c r="E101" s="192" t="inlineStr">
        <is>
          <t>Non</t>
        </is>
      </c>
      <c r="F101" s="190" t="inlineStr">
        <is>
          <t>Oui</t>
        </is>
      </c>
      <c r="G101" s="190" t="inlineStr">
        <is>
          <t>Non</t>
        </is>
      </c>
      <c r="H101" s="190" t="inlineStr">
        <is>
          <t>Non</t>
        </is>
      </c>
      <c r="I101" s="190" t="inlineStr">
        <is>
          <t>Non</t>
        </is>
      </c>
      <c r="J101" s="190" t="inlineStr">
        <is>
          <t>Non</t>
        </is>
      </c>
      <c r="K101" s="187" t="inlineStr">
        <is>
          <t>Non</t>
        </is>
      </c>
      <c r="L101" s="45" t="n"/>
      <c r="M101" s="55" t="n">
        <v>69</v>
      </c>
      <c r="N101" s="44" t="inlineStr">
        <is>
          <t>Portable Amp/DAC (Headfonics)</t>
        </is>
      </c>
      <c r="O101" s="44" t="inlineStr">
        <is>
          <t>Import Headfonics — à enrichir</t>
        </is>
      </c>
      <c r="P101" s="56" t="inlineStr">
        <is>
          <t>https://headfonics.com/category/portable-amps-dacs/page/5/</t>
        </is>
      </c>
      <c r="Q101" s="45" t="inlineStr">
        <is>
          <t>À évaluer</t>
        </is>
      </c>
      <c r="R101" s="45" t="inlineStr">
        <is>
          <t>À évaluer</t>
        </is>
      </c>
      <c r="S101" s="52" t="n">
        <v>8.300000000000001</v>
      </c>
      <c r="T101" s="49" t="inlineStr">
        <is>
          <t>Reader</t>
        </is>
      </c>
      <c r="U101" s="81" t="n">
        <v>45066</v>
      </c>
      <c r="V101" s="49" t="n">
        <v>5</v>
      </c>
      <c r="W101" s="41" t="inlineStr">
        <is>
          <t>https://headfonics.com/?s=iFi+audio+UNO</t>
        </is>
      </c>
      <c r="X101" s="49" t="inlineStr">
        <is>
          <t>Portable/desktop USB DAC/amp</t>
        </is>
      </c>
    </row>
    <row r="102">
      <c r="A102" s="44" t="inlineStr">
        <is>
          <t>7Hz</t>
        </is>
      </c>
      <c r="B102" s="44" t="inlineStr">
        <is>
          <t>SEVENHERTZ 71</t>
        </is>
      </c>
      <c r="C102" s="45" t="n"/>
      <c r="D102" s="45" t="inlineStr">
        <is>
          <t>Non</t>
        </is>
      </c>
      <c r="E102" s="192" t="inlineStr">
        <is>
          <t>Non</t>
        </is>
      </c>
      <c r="F102" s="190" t="inlineStr">
        <is>
          <t>Oui</t>
        </is>
      </c>
      <c r="G102" s="190" t="inlineStr">
        <is>
          <t>Non</t>
        </is>
      </c>
      <c r="H102" s="190" t="inlineStr">
        <is>
          <t>Non</t>
        </is>
      </c>
      <c r="I102" s="190" t="inlineStr">
        <is>
          <t>Non</t>
        </is>
      </c>
      <c r="J102" s="190" t="inlineStr">
        <is>
          <t>Non</t>
        </is>
      </c>
      <c r="K102" s="187" t="inlineStr">
        <is>
          <t>Non</t>
        </is>
      </c>
      <c r="L102" s="45" t="n"/>
      <c r="M102" s="55" t="n">
        <v>31</v>
      </c>
      <c r="N102" s="44" t="inlineStr">
        <is>
          <t>Portable Amp/DAC (Headfonics)</t>
        </is>
      </c>
      <c r="O102" s="44" t="inlineStr">
        <is>
          <t>Import Headfonics — à enrichir</t>
        </is>
      </c>
      <c r="P102" s="56" t="inlineStr">
        <is>
          <t>https://headfonics.com/category/portable-amps-dacs/page/5/</t>
        </is>
      </c>
      <c r="Q102" s="45" t="inlineStr">
        <is>
          <t>À évaluer</t>
        </is>
      </c>
      <c r="R102" s="45" t="inlineStr">
        <is>
          <t>À évaluer</t>
        </is>
      </c>
      <c r="S102" s="53" t="n">
        <v>7.7</v>
      </c>
      <c r="T102" s="49" t="inlineStr">
        <is>
          <t>Reader</t>
        </is>
      </c>
      <c r="U102" s="81" t="n">
        <v>45028</v>
      </c>
      <c r="V102" s="49" t="n">
        <v>5</v>
      </c>
      <c r="W102" s="41" t="inlineStr">
        <is>
          <t>https://headfonics.com/?s=7Hz+SEVENHERTZ+71</t>
        </is>
      </c>
      <c r="X102" s="49" t="inlineStr">
        <is>
          <t>Portable dongle DAC/amp</t>
        </is>
      </c>
    </row>
    <row r="103">
      <c r="A103" s="44" t="inlineStr">
        <is>
          <t>Venture Electronics</t>
        </is>
      </c>
      <c r="B103" s="44" t="inlineStr">
        <is>
          <t>Megatron</t>
        </is>
      </c>
      <c r="C103" s="45" t="n"/>
      <c r="D103" s="192" t="inlineStr">
        <is>
          <t>Non</t>
        </is>
      </c>
      <c r="E103" s="192" t="inlineStr">
        <is>
          <t>Non</t>
        </is>
      </c>
      <c r="F103" s="190" t="inlineStr">
        <is>
          <t>Oui</t>
        </is>
      </c>
      <c r="G103" s="190" t="inlineStr">
        <is>
          <t>Oui</t>
        </is>
      </c>
      <c r="H103" s="190" t="inlineStr">
        <is>
          <t>Oui</t>
        </is>
      </c>
      <c r="I103" s="190" t="inlineStr">
        <is>
          <t>Non</t>
        </is>
      </c>
      <c r="J103" s="190" t="inlineStr">
        <is>
          <t>Non</t>
        </is>
      </c>
      <c r="K103" s="187" t="inlineStr">
        <is>
          <t>Non</t>
        </is>
      </c>
      <c r="L103" s="45" t="n"/>
      <c r="M103" s="55" t="n">
        <v>44</v>
      </c>
      <c r="N103" s="44" t="inlineStr">
        <is>
          <t>Portable Amp/DAC (Headfonics)</t>
        </is>
      </c>
      <c r="O103" s="44" t="inlineStr">
        <is>
          <t>Import Headfonics — à enrichir</t>
        </is>
      </c>
      <c r="P103" s="56" t="inlineStr">
        <is>
          <t>https://headfonics.com/category/portable-amps-dacs/page/5/</t>
        </is>
      </c>
      <c r="Q103" s="45" t="inlineStr">
        <is>
          <t>À évaluer</t>
        </is>
      </c>
      <c r="R103" s="45" t="inlineStr">
        <is>
          <t>À évaluer</t>
        </is>
      </c>
      <c r="S103" s="49" t="n"/>
      <c r="T103" s="49" t="inlineStr">
        <is>
          <t>Reader (non relevé)</t>
        </is>
      </c>
      <c r="U103" s="81" t="n">
        <v>45021</v>
      </c>
      <c r="V103" s="49" t="n">
        <v>5</v>
      </c>
      <c r="W103" s="41" t="inlineStr">
        <is>
          <t>https://headfonics.com/?s=Venture+Electronics+Megatron</t>
        </is>
      </c>
      <c r="X103" s="49" t="inlineStr">
        <is>
          <t>Portable DAC/amp</t>
        </is>
      </c>
    </row>
    <row r="104">
      <c r="A104" s="44" t="inlineStr">
        <is>
          <t>Shanling</t>
        </is>
      </c>
      <c r="B104" s="44" t="inlineStr">
        <is>
          <t>H7</t>
        </is>
      </c>
      <c r="C104" s="45" t="n"/>
      <c r="D104" s="192" t="inlineStr">
        <is>
          <t>Oui</t>
        </is>
      </c>
      <c r="E104" s="192" t="inlineStr">
        <is>
          <t>Oui</t>
        </is>
      </c>
      <c r="F104" s="190" t="inlineStr">
        <is>
          <t>Oui</t>
        </is>
      </c>
      <c r="G104" s="190" t="inlineStr">
        <is>
          <t>Oui</t>
        </is>
      </c>
      <c r="H104" s="190" t="inlineStr">
        <is>
          <t>Non</t>
        </is>
      </c>
      <c r="I104" s="190" t="inlineStr">
        <is>
          <t>Oui</t>
        </is>
      </c>
      <c r="J104" s="190" t="inlineStr">
        <is>
          <t>Non</t>
        </is>
      </c>
      <c r="K104" s="187" t="inlineStr">
        <is>
          <t>Non</t>
        </is>
      </c>
      <c r="L104" s="45" t="n"/>
      <c r="M104" s="55" t="n">
        <v>728</v>
      </c>
      <c r="N104" s="44" t="inlineStr">
        <is>
          <t>Portable Amp/DAC (Headfonics)</t>
        </is>
      </c>
      <c r="O104" s="44" t="inlineStr">
        <is>
          <t>Import Headfonics — à enrichir</t>
        </is>
      </c>
      <c r="P104" s="56" t="inlineStr">
        <is>
          <t>https://headfonics.com/category/portable-amps-dacs/page/5/</t>
        </is>
      </c>
      <c r="Q104" s="45" t="inlineStr">
        <is>
          <t>À évaluer</t>
        </is>
      </c>
      <c r="R104" s="45" t="inlineStr">
        <is>
          <t>À évaluer</t>
        </is>
      </c>
      <c r="S104" s="50" t="n">
        <v>8.699999999999999</v>
      </c>
      <c r="T104" s="49" t="inlineStr">
        <is>
          <t>Reader</t>
        </is>
      </c>
      <c r="U104" s="81" t="n">
        <v>45003</v>
      </c>
      <c r="V104" s="49" t="n">
        <v>5</v>
      </c>
      <c r="W104" s="41" t="inlineStr">
        <is>
          <t>https://headfonics.com/?s=Shanling+H7</t>
        </is>
      </c>
      <c r="X104" s="49" t="inlineStr">
        <is>
          <t>Battery portable DAC/amp</t>
        </is>
      </c>
    </row>
    <row r="105">
      <c r="A105" s="44" t="inlineStr">
        <is>
          <t>iKKO</t>
        </is>
      </c>
      <c r="B105" s="44" t="inlineStr">
        <is>
          <t>Zerda ITM02</t>
        </is>
      </c>
      <c r="C105" s="45" t="n"/>
      <c r="D105" s="192" t="inlineStr">
        <is>
          <t>Non</t>
        </is>
      </c>
      <c r="E105" s="192" t="inlineStr">
        <is>
          <t>Non</t>
        </is>
      </c>
      <c r="F105" s="190" t="inlineStr">
        <is>
          <t>Oui</t>
        </is>
      </c>
      <c r="G105" s="190" t="inlineStr">
        <is>
          <t>Non</t>
        </is>
      </c>
      <c r="H105" s="190" t="inlineStr">
        <is>
          <t>Non</t>
        </is>
      </c>
      <c r="I105" s="190" t="inlineStr">
        <is>
          <t>Non</t>
        </is>
      </c>
      <c r="J105" s="190" t="inlineStr">
        <is>
          <t>Non</t>
        </is>
      </c>
      <c r="K105" s="187" t="inlineStr">
        <is>
          <t>Non</t>
        </is>
      </c>
      <c r="L105" s="45" t="n"/>
      <c r="M105" s="55" t="n">
        <v>52</v>
      </c>
      <c r="N105" s="44" t="inlineStr">
        <is>
          <t>Portable Amp/DAC (Headfonics)</t>
        </is>
      </c>
      <c r="O105" s="44" t="inlineStr">
        <is>
          <t>Import Headfonics — à enrichir</t>
        </is>
      </c>
      <c r="P105" s="56" t="inlineStr">
        <is>
          <t>https://headfonics.com/category/portable-amps-dacs/page/5/</t>
        </is>
      </c>
      <c r="Q105" s="45" t="inlineStr">
        <is>
          <t>À évaluer</t>
        </is>
      </c>
      <c r="R105" s="45" t="inlineStr">
        <is>
          <t>À évaluer</t>
        </is>
      </c>
      <c r="S105" s="54" t="n">
        <v>7.3</v>
      </c>
      <c r="T105" s="49" t="inlineStr">
        <is>
          <t>Reader</t>
        </is>
      </c>
      <c r="U105" s="81" t="n">
        <v>44935</v>
      </c>
      <c r="V105" s="49" t="n">
        <v>5</v>
      </c>
      <c r="W105" s="41" t="inlineStr">
        <is>
          <t>https://headfonics.com/?s=iKKO+Zerda+ITM02</t>
        </is>
      </c>
      <c r="X105" s="49" t="inlineStr">
        <is>
          <t>Portable dongle DAC/amp</t>
        </is>
      </c>
    </row>
    <row r="106">
      <c r="A106" s="44" t="inlineStr">
        <is>
          <t>Quloos</t>
        </is>
      </c>
      <c r="B106" s="44" t="inlineStr">
        <is>
          <t>QLS MC01</t>
        </is>
      </c>
      <c r="C106" s="45" t="n"/>
      <c r="D106" s="45" t="inlineStr">
        <is>
          <t>Non</t>
        </is>
      </c>
      <c r="E106" s="192" t="inlineStr">
        <is>
          <t>Non</t>
        </is>
      </c>
      <c r="F106" s="190" t="inlineStr">
        <is>
          <t>Oui</t>
        </is>
      </c>
      <c r="G106" s="190" t="inlineStr">
        <is>
          <t>Oui</t>
        </is>
      </c>
      <c r="H106" s="190" t="inlineStr">
        <is>
          <t>Non</t>
        </is>
      </c>
      <c r="I106" s="190" t="inlineStr">
        <is>
          <t>Non</t>
        </is>
      </c>
      <c r="J106" s="190" t="inlineStr">
        <is>
          <t>Non</t>
        </is>
      </c>
      <c r="K106" s="190" t="inlineStr">
        <is>
          <t>Non</t>
        </is>
      </c>
      <c r="L106" s="45" t="n"/>
      <c r="M106" s="55" t="n">
        <v>220</v>
      </c>
      <c r="N106" s="44" t="inlineStr">
        <is>
          <t>Portable Amp/DAC (Headfonics)</t>
        </is>
      </c>
      <c r="O106" s="44" t="inlineStr">
        <is>
          <t>Import Headfonics — à enrichir</t>
        </is>
      </c>
      <c r="P106" s="56" t="inlineStr">
        <is>
          <t>https://headfonics.com/category/portable-amps-dacs/page/5/</t>
        </is>
      </c>
      <c r="Q106" s="45" t="inlineStr">
        <is>
          <t>À évaluer</t>
        </is>
      </c>
      <c r="R106" s="45" t="inlineStr">
        <is>
          <t>À évaluer</t>
        </is>
      </c>
      <c r="S106" s="52" t="n">
        <v>8.5</v>
      </c>
      <c r="T106" s="49" t="inlineStr">
        <is>
          <t>Reader</t>
        </is>
      </c>
      <c r="U106" s="81" t="n">
        <v>44921</v>
      </c>
      <c r="V106" s="49" t="n">
        <v>5</v>
      </c>
      <c r="W106" s="41" t="inlineStr">
        <is>
          <t>https://headfonics.com/?s=Quloos+QLS+MC01</t>
        </is>
      </c>
      <c r="X106" s="49" t="inlineStr">
        <is>
          <t>Portable dongle DAC/amp</t>
        </is>
      </c>
    </row>
    <row r="107">
      <c r="A107" s="44" t="inlineStr">
        <is>
          <t>Hidizs</t>
        </is>
      </c>
      <c r="B107" s="44" t="inlineStr">
        <is>
          <t>XO</t>
        </is>
      </c>
      <c r="C107" s="45" t="inlineStr">
        <is>
          <t>2x ES9219C; symétrique; MQA</t>
        </is>
      </c>
      <c r="D107" s="45" t="inlineStr">
        <is>
          <t>Non</t>
        </is>
      </c>
      <c r="E107" s="192" t="inlineStr">
        <is>
          <t>Non</t>
        </is>
      </c>
      <c r="F107" s="190" t="inlineStr">
        <is>
          <t>Oui</t>
        </is>
      </c>
      <c r="G107" s="190" t="inlineStr">
        <is>
          <t>Non</t>
        </is>
      </c>
      <c r="H107" s="190" t="inlineStr">
        <is>
          <t>Oui</t>
        </is>
      </c>
      <c r="I107" s="190" t="inlineStr">
        <is>
          <t>Non</t>
        </is>
      </c>
      <c r="J107" s="190" t="inlineStr">
        <is>
          <t>Non</t>
        </is>
      </c>
      <c r="K107" s="190" t="inlineStr">
        <is>
          <t>Non</t>
        </is>
      </c>
      <c r="L107" s="45" t="n"/>
      <c r="M107" s="55" t="n">
        <v>69.3</v>
      </c>
      <c r="N107" s="44" t="inlineStr">
        <is>
          <t>Portable Amp/DAC (Headfonics)</t>
        </is>
      </c>
      <c r="O107" s="44" t="inlineStr">
        <is>
          <t>Import Headfonics — à enrichir</t>
        </is>
      </c>
      <c r="P107" s="56" t="inlineStr">
        <is>
          <t>https://headfonics.com/category/portable-amps-dacs/page/5/</t>
        </is>
      </c>
      <c r="Q107" s="45" t="inlineStr">
        <is>
          <t>À évaluer</t>
        </is>
      </c>
      <c r="R107" s="45" t="inlineStr">
        <is>
          <t>À évaluer</t>
        </is>
      </c>
      <c r="S107" s="52" t="n">
        <v>8.300000000000001</v>
      </c>
      <c r="T107" s="49" t="inlineStr">
        <is>
          <t>Reader</t>
        </is>
      </c>
      <c r="U107" s="81" t="n">
        <v>44909</v>
      </c>
      <c r="V107" s="49" t="n">
        <v>5</v>
      </c>
      <c r="W107" s="41" t="inlineStr">
        <is>
          <t>https://headfonics.com/?s=Hidizs+XO</t>
        </is>
      </c>
      <c r="X107" s="49" t="inlineStr">
        <is>
          <t>Portable dongle DAC/amp</t>
        </is>
      </c>
    </row>
    <row r="108">
      <c r="A108" s="44" t="inlineStr">
        <is>
          <t>FiiO</t>
        </is>
      </c>
      <c r="B108" s="44" t="inlineStr">
        <is>
          <t>Q7</t>
        </is>
      </c>
      <c r="C108" s="45" t="inlineStr">
        <is>
          <t>ES9038Pro; THX AAA-788+; Bluetooth</t>
        </is>
      </c>
      <c r="D108" s="192" t="inlineStr">
        <is>
          <t>Oui</t>
        </is>
      </c>
      <c r="E108" s="192" t="inlineStr">
        <is>
          <t>Oui</t>
        </is>
      </c>
      <c r="F108" s="190" t="inlineStr">
        <is>
          <t>Oui</t>
        </is>
      </c>
      <c r="G108" s="190" t="inlineStr">
        <is>
          <t>Oui</t>
        </is>
      </c>
      <c r="H108" s="190" t="inlineStr">
        <is>
          <t>Oui</t>
        </is>
      </c>
      <c r="I108" s="190" t="inlineStr">
        <is>
          <t>Oui</t>
        </is>
      </c>
      <c r="J108" s="190" t="inlineStr">
        <is>
          <t>Non</t>
        </is>
      </c>
      <c r="K108" s="190" t="inlineStr">
        <is>
          <t>Oui</t>
        </is>
      </c>
      <c r="L108" s="45" t="n"/>
      <c r="M108" s="55" t="n">
        <v>790</v>
      </c>
      <c r="N108" s="44" t="inlineStr">
        <is>
          <t>Portable Amp/DAC (Headfonics)</t>
        </is>
      </c>
      <c r="O108" s="44" t="inlineStr">
        <is>
          <t>Import Headfonics — à enrichir</t>
        </is>
      </c>
      <c r="P108" s="56" t="inlineStr">
        <is>
          <t>https://headfonics.com/category/portable-amps-dacs/page/5/</t>
        </is>
      </c>
      <c r="Q108" s="45" t="inlineStr">
        <is>
          <t>À évaluer</t>
        </is>
      </c>
      <c r="R108" s="45" t="inlineStr">
        <is>
          <t>À évaluer</t>
        </is>
      </c>
      <c r="S108" s="52" t="n">
        <v>8.4</v>
      </c>
      <c r="T108" s="49" t="inlineStr">
        <is>
          <t>Reader</t>
        </is>
      </c>
      <c r="U108" s="81" t="n">
        <v>44891</v>
      </c>
      <c r="V108" s="49" t="n">
        <v>5</v>
      </c>
      <c r="W108" s="41" t="inlineStr">
        <is>
          <t>https://headfonics.com/?s=FiiO+Q7</t>
        </is>
      </c>
      <c r="X108" s="49" t="inlineStr">
        <is>
          <t>High-power portable DAC/amp</t>
        </is>
      </c>
    </row>
    <row r="109">
      <c r="A109" s="44" t="inlineStr">
        <is>
          <t>EarMen</t>
        </is>
      </c>
      <c r="B109" s="44" t="inlineStr">
        <is>
          <t>Angel</t>
        </is>
      </c>
      <c r="C109" s="45" t="n"/>
      <c r="D109" s="192" t="inlineStr">
        <is>
          <t>Oui</t>
        </is>
      </c>
      <c r="E109" s="192" t="inlineStr">
        <is>
          <t>Non</t>
        </is>
      </c>
      <c r="F109" s="190" t="inlineStr">
        <is>
          <t>Oui</t>
        </is>
      </c>
      <c r="G109" s="190" t="inlineStr">
        <is>
          <t>Oui</t>
        </is>
      </c>
      <c r="H109" s="190" t="inlineStr">
        <is>
          <t>Non</t>
        </is>
      </c>
      <c r="I109" s="190" t="inlineStr">
        <is>
          <t>Non</t>
        </is>
      </c>
      <c r="J109" s="190" t="inlineStr">
        <is>
          <t>Non</t>
        </is>
      </c>
      <c r="K109" s="187" t="inlineStr">
        <is>
          <t>Non</t>
        </is>
      </c>
      <c r="L109" s="45" t="n"/>
      <c r="M109" s="55" t="n">
        <v>702</v>
      </c>
      <c r="N109" s="44" t="inlineStr">
        <is>
          <t>Portable Amp/DAC (Headfonics)</t>
        </is>
      </c>
      <c r="O109" s="44" t="inlineStr">
        <is>
          <t>Import Headfonics — à enrichir</t>
        </is>
      </c>
      <c r="P109" s="56" t="inlineStr">
        <is>
          <t>https://headfonics.com/category/portable-amps-dacs/page/5/</t>
        </is>
      </c>
      <c r="Q109" s="45" t="inlineStr">
        <is>
          <t>À évaluer</t>
        </is>
      </c>
      <c r="R109" s="45" t="inlineStr">
        <is>
          <t>À évaluer</t>
        </is>
      </c>
      <c r="S109" s="50" t="n">
        <v>8.800000000000001</v>
      </c>
      <c r="T109" s="49" t="inlineStr">
        <is>
          <t>Reader</t>
        </is>
      </c>
      <c r="U109" s="81" t="n">
        <v>44867</v>
      </c>
      <c r="V109" s="49" t="n">
        <v>5</v>
      </c>
      <c r="W109" s="41" t="inlineStr">
        <is>
          <t>https://headfonics.com/?s=EarMen+Angel</t>
        </is>
      </c>
      <c r="X109" s="49" t="inlineStr">
        <is>
          <t>Battery portable DAC/amp</t>
        </is>
      </c>
    </row>
    <row r="110">
      <c r="A110" s="44" t="inlineStr">
        <is>
          <t>Moondrop</t>
        </is>
      </c>
      <c r="B110" s="44" t="inlineStr">
        <is>
          <t>Dawn</t>
        </is>
      </c>
      <c r="C110" s="45" t="n"/>
      <c r="D110" s="45" t="inlineStr">
        <is>
          <t>Non</t>
        </is>
      </c>
      <c r="E110" s="192" t="inlineStr">
        <is>
          <t>Non</t>
        </is>
      </c>
      <c r="F110" s="190" t="inlineStr">
        <is>
          <t>Non</t>
        </is>
      </c>
      <c r="G110" s="190" t="inlineStr">
        <is>
          <t>Oui</t>
        </is>
      </c>
      <c r="H110" s="190" t="inlineStr">
        <is>
          <t>Non</t>
        </is>
      </c>
      <c r="I110" s="190" t="inlineStr">
        <is>
          <t>Non</t>
        </is>
      </c>
      <c r="J110" s="190" t="inlineStr">
        <is>
          <t>Non</t>
        </is>
      </c>
      <c r="K110" s="187" t="inlineStr">
        <is>
          <t>Non</t>
        </is>
      </c>
      <c r="L110" s="45" t="n"/>
      <c r="M110" s="55" t="n">
        <v>62</v>
      </c>
      <c r="N110" s="44" t="inlineStr">
        <is>
          <t>Portable Amp/DAC (Headfonics)</t>
        </is>
      </c>
      <c r="O110" s="44" t="inlineStr">
        <is>
          <t>Import Headfonics — à enrichir</t>
        </is>
      </c>
      <c r="P110" s="56" t="inlineStr">
        <is>
          <t>https://headfonics.com/category/portable-amps-dacs/page/5/</t>
        </is>
      </c>
      <c r="Q110" s="45" t="inlineStr">
        <is>
          <t>À évaluer</t>
        </is>
      </c>
      <c r="R110" s="45" t="inlineStr">
        <is>
          <t>À évaluer</t>
        </is>
      </c>
      <c r="S110" s="53" t="n">
        <v>7.5</v>
      </c>
      <c r="T110" s="49" t="inlineStr">
        <is>
          <t>Reader</t>
        </is>
      </c>
      <c r="U110" s="81" t="n">
        <v>44865</v>
      </c>
      <c r="V110" s="49" t="n">
        <v>5</v>
      </c>
      <c r="W110" s="41" t="inlineStr">
        <is>
          <t>https://headfonics.com/?s=Moondrop+Dawn</t>
        </is>
      </c>
      <c r="X110" s="49" t="inlineStr">
        <is>
          <t>Portable dongle DAC/amp</t>
        </is>
      </c>
    </row>
    <row r="111">
      <c r="A111" s="44" t="inlineStr">
        <is>
          <t>FiiO</t>
        </is>
      </c>
      <c r="B111" s="44" t="inlineStr">
        <is>
          <t>KA2</t>
        </is>
      </c>
      <c r="C111" s="45" t="n"/>
      <c r="D111" s="45" t="inlineStr">
        <is>
          <t>Non</t>
        </is>
      </c>
      <c r="E111" s="45" t="inlineStr">
        <is>
          <t>Non</t>
        </is>
      </c>
      <c r="F111" s="190" t="inlineStr">
        <is>
          <t>Non</t>
        </is>
      </c>
      <c r="G111" s="190" t="inlineStr">
        <is>
          <t>Oui</t>
        </is>
      </c>
      <c r="H111" s="190" t="inlineStr">
        <is>
          <t>Non</t>
        </is>
      </c>
      <c r="I111" s="190" t="inlineStr">
        <is>
          <t>Non</t>
        </is>
      </c>
      <c r="J111" s="190" t="inlineStr">
        <is>
          <t>Non</t>
        </is>
      </c>
      <c r="K111" s="190" t="inlineStr">
        <is>
          <t>Non</t>
        </is>
      </c>
      <c r="L111" s="45" t="n"/>
      <c r="M111" s="55" t="n">
        <v>53</v>
      </c>
      <c r="N111" s="44" t="inlineStr">
        <is>
          <t>Portable Amp/DAC (Headfonics)</t>
        </is>
      </c>
      <c r="O111" s="44" t="inlineStr">
        <is>
          <t>Import Headfonics — à enrichir</t>
        </is>
      </c>
      <c r="P111" s="56" t="inlineStr">
        <is>
          <t>https://headfonics.com/category/portable-amps-dacs/page/5/</t>
        </is>
      </c>
      <c r="Q111" s="45" t="inlineStr">
        <is>
          <t>À évaluer</t>
        </is>
      </c>
      <c r="R111" s="45" t="inlineStr">
        <is>
          <t>À évaluer</t>
        </is>
      </c>
      <c r="S111" s="49" t="n"/>
      <c r="T111" s="49" t="inlineStr">
        <is>
          <t>Reader (non relevé)</t>
        </is>
      </c>
      <c r="U111" s="81" t="n">
        <v>44858</v>
      </c>
      <c r="V111" s="49" t="n">
        <v>5</v>
      </c>
      <c r="W111" s="41" t="inlineStr">
        <is>
          <t>https://headfonics.com/?s=FiiO+KA2</t>
        </is>
      </c>
      <c r="X111" s="49" t="inlineStr">
        <is>
          <t>Portable dongle DAC/amp</t>
        </is>
      </c>
    </row>
    <row r="112">
      <c r="A112" s="44" t="inlineStr">
        <is>
          <t>ddHiFi</t>
        </is>
      </c>
      <c r="B112" s="44" t="inlineStr">
        <is>
          <t>TC44A Lightning DAC</t>
        </is>
      </c>
      <c r="C112" s="45" t="inlineStr">
        <is>
          <t>CS43131; Lightning vers 4.4 mm</t>
        </is>
      </c>
      <c r="D112" s="192" t="inlineStr">
        <is>
          <t>Non</t>
        </is>
      </c>
      <c r="E112" s="192" t="inlineStr">
        <is>
          <t>Non</t>
        </is>
      </c>
      <c r="F112" s="190" t="inlineStr">
        <is>
          <t>Non</t>
        </is>
      </c>
      <c r="G112" s="190" t="inlineStr">
        <is>
          <t>Oui</t>
        </is>
      </c>
      <c r="H112" s="190" t="inlineStr">
        <is>
          <t>Non</t>
        </is>
      </c>
      <c r="I112" s="190" t="inlineStr">
        <is>
          <t>Non</t>
        </is>
      </c>
      <c r="J112" s="190" t="inlineStr">
        <is>
          <t>Non</t>
        </is>
      </c>
      <c r="K112" s="190" t="inlineStr">
        <is>
          <t>Non</t>
        </is>
      </c>
      <c r="L112" s="45" t="n"/>
      <c r="M112" s="55" t="n">
        <v>79</v>
      </c>
      <c r="N112" s="44" t="inlineStr">
        <is>
          <t>Portable Amp/DAC (Headfonics)</t>
        </is>
      </c>
      <c r="O112" s="44" t="inlineStr">
        <is>
          <t>Import Headfonics — à enrichir</t>
        </is>
      </c>
      <c r="P112" s="56" t="inlineStr">
        <is>
          <t>https://headfonics.com/category/portable-amps-dacs/page/5/</t>
        </is>
      </c>
      <c r="Q112" s="45" t="inlineStr">
        <is>
          <t>À évaluer</t>
        </is>
      </c>
      <c r="R112" s="45" t="inlineStr">
        <is>
          <t>À évaluer</t>
        </is>
      </c>
      <c r="S112" s="52" t="n">
        <v>8.300000000000001</v>
      </c>
      <c r="T112" s="49" t="inlineStr">
        <is>
          <t>Reader</t>
        </is>
      </c>
      <c r="U112" s="81" t="n">
        <v>44846</v>
      </c>
      <c r="V112" s="49" t="n">
        <v>5</v>
      </c>
      <c r="W112" s="41" t="inlineStr">
        <is>
          <t>https://headfonics.com/?s=ddHiFi+TC44A+Lightning+DAC</t>
        </is>
      </c>
      <c r="X112" s="49" t="inlineStr">
        <is>
          <t>Lightning portable DAC/amp</t>
        </is>
      </c>
    </row>
    <row r="113">
      <c r="A113" s="44" t="inlineStr">
        <is>
          <t>xDuoo</t>
        </is>
      </c>
      <c r="B113" s="44" t="inlineStr">
        <is>
          <t>Link2 Bal</t>
        </is>
      </c>
      <c r="C113" s="45" t="inlineStr">
        <is>
          <t>2x CS43131; symétrique</t>
        </is>
      </c>
      <c r="D113" s="45" t="inlineStr">
        <is>
          <t>Non</t>
        </is>
      </c>
      <c r="E113" s="192" t="inlineStr">
        <is>
          <t>Non</t>
        </is>
      </c>
      <c r="F113" s="190" t="inlineStr">
        <is>
          <t>Oui</t>
        </is>
      </c>
      <c r="G113" s="190" t="inlineStr">
        <is>
          <t>Oui</t>
        </is>
      </c>
      <c r="H113" s="190" t="inlineStr">
        <is>
          <t>Non</t>
        </is>
      </c>
      <c r="I113" s="190" t="inlineStr">
        <is>
          <t>Non</t>
        </is>
      </c>
      <c r="J113" s="190" t="inlineStr">
        <is>
          <t>Non</t>
        </is>
      </c>
      <c r="K113" s="190" t="inlineStr">
        <is>
          <t>Non</t>
        </is>
      </c>
      <c r="L113" s="45" t="n"/>
      <c r="M113" s="55" t="n">
        <v>99</v>
      </c>
      <c r="N113" s="44" t="inlineStr">
        <is>
          <t>Portable Amp/DAC (Headfonics)</t>
        </is>
      </c>
      <c r="O113" s="44" t="inlineStr">
        <is>
          <t>Import Headfonics — à enrichir</t>
        </is>
      </c>
      <c r="P113" s="56" t="inlineStr">
        <is>
          <t>https://headfonics.com/category/portable-amps-dacs/page/5/</t>
        </is>
      </c>
      <c r="Q113" s="45" t="inlineStr">
        <is>
          <t>À évaluer</t>
        </is>
      </c>
      <c r="R113" s="45" t="inlineStr">
        <is>
          <t>À évaluer</t>
        </is>
      </c>
      <c r="S113" s="52" t="n">
        <v>8.4</v>
      </c>
      <c r="T113" s="49" t="inlineStr">
        <is>
          <t>Reader</t>
        </is>
      </c>
      <c r="U113" s="81" t="n">
        <v>44841</v>
      </c>
      <c r="V113" s="49" t="n">
        <v>5</v>
      </c>
      <c r="W113" s="41" t="inlineStr">
        <is>
          <t>https://headfonics.com/?s=xDuoo+Link2+Bal</t>
        </is>
      </c>
      <c r="X113" s="49" t="inlineStr">
        <is>
          <t>Portable dongle DAC/amp</t>
        </is>
      </c>
    </row>
    <row r="114">
      <c r="A114" s="44" t="inlineStr">
        <is>
          <t>Shanling</t>
        </is>
      </c>
      <c r="B114" s="44" t="inlineStr">
        <is>
          <t>UA3</t>
        </is>
      </c>
      <c r="C114" s="45" t="n"/>
      <c r="D114" s="45" t="inlineStr">
        <is>
          <t>Non</t>
        </is>
      </c>
      <c r="E114" s="192" t="inlineStr">
        <is>
          <t>Non</t>
        </is>
      </c>
      <c r="F114" s="190" t="inlineStr">
        <is>
          <t>Oui</t>
        </is>
      </c>
      <c r="G114" s="190" t="inlineStr">
        <is>
          <t>Oui</t>
        </is>
      </c>
      <c r="H114" s="190" t="inlineStr">
        <is>
          <t>Non</t>
        </is>
      </c>
      <c r="I114" s="190" t="inlineStr">
        <is>
          <t>Non</t>
        </is>
      </c>
      <c r="J114" s="190" t="inlineStr">
        <is>
          <t>Non</t>
        </is>
      </c>
      <c r="K114" s="187" t="inlineStr">
        <is>
          <t>Non</t>
        </is>
      </c>
      <c r="L114" s="45" t="n"/>
      <c r="M114" s="55" t="n">
        <v>96</v>
      </c>
      <c r="N114" s="44" t="inlineStr">
        <is>
          <t>Portable Amp/DAC (Headfonics)</t>
        </is>
      </c>
      <c r="O114" s="44" t="inlineStr">
        <is>
          <t>Import Headfonics — à enrichir</t>
        </is>
      </c>
      <c r="P114" s="56" t="inlineStr">
        <is>
          <t>https://headfonics.com/category/portable-amps-dacs/page/5/</t>
        </is>
      </c>
      <c r="Q114" s="45" t="inlineStr">
        <is>
          <t>À évaluer</t>
        </is>
      </c>
      <c r="R114" s="45" t="inlineStr">
        <is>
          <t>À évaluer</t>
        </is>
      </c>
      <c r="S114" s="49" t="n"/>
      <c r="T114" s="49" t="inlineStr">
        <is>
          <t>Reader (non relevé)</t>
        </is>
      </c>
      <c r="U114" s="81" t="n">
        <v>44832</v>
      </c>
      <c r="V114" s="49" t="n">
        <v>5</v>
      </c>
      <c r="W114" s="41" t="inlineStr">
        <is>
          <t>https://headfonics.com/?s=Shanling+UA3</t>
        </is>
      </c>
      <c r="X114" s="49" t="inlineStr">
        <is>
          <t>Portable dongle DAC/amp</t>
        </is>
      </c>
    </row>
    <row r="115">
      <c r="A115" s="44" t="inlineStr">
        <is>
          <t>HiBy</t>
        </is>
      </c>
      <c r="B115" s="44" t="inlineStr">
        <is>
          <t>FC4</t>
        </is>
      </c>
      <c r="C115" s="45" t="n"/>
      <c r="D115" s="45" t="inlineStr">
        <is>
          <t>Non</t>
        </is>
      </c>
      <c r="E115" s="192" t="inlineStr">
        <is>
          <t>Non</t>
        </is>
      </c>
      <c r="F115" s="190" t="inlineStr">
        <is>
          <t>Oui</t>
        </is>
      </c>
      <c r="G115" s="190" t="inlineStr">
        <is>
          <t>Oui</t>
        </is>
      </c>
      <c r="H115" s="190" t="inlineStr">
        <is>
          <t>Non</t>
        </is>
      </c>
      <c r="I115" s="190" t="inlineStr">
        <is>
          <t>Non</t>
        </is>
      </c>
      <c r="J115" s="190" t="inlineStr">
        <is>
          <t>Non</t>
        </is>
      </c>
      <c r="K115" s="187" t="inlineStr">
        <is>
          <t>Oui</t>
        </is>
      </c>
      <c r="L115" s="45" t="n"/>
      <c r="M115" s="55" t="n">
        <v>87</v>
      </c>
      <c r="N115" s="44" t="inlineStr">
        <is>
          <t>Portable Amp/DAC (Headfonics)</t>
        </is>
      </c>
      <c r="O115" s="44" t="inlineStr">
        <is>
          <t>Import Headfonics — à enrichir</t>
        </is>
      </c>
      <c r="P115" s="56" t="inlineStr">
        <is>
          <t>https://headfonics.com/category/portable-amps-dacs/page/5/</t>
        </is>
      </c>
      <c r="Q115" s="45" t="inlineStr">
        <is>
          <t>À évaluer</t>
        </is>
      </c>
      <c r="R115" s="45" t="inlineStr">
        <is>
          <t>À évaluer</t>
        </is>
      </c>
      <c r="S115" s="49" t="n"/>
      <c r="T115" s="49" t="inlineStr">
        <is>
          <t>Reader (non relevé)</t>
        </is>
      </c>
      <c r="U115" s="81" t="n">
        <v>44820</v>
      </c>
      <c r="V115" s="49" t="n">
        <v>5</v>
      </c>
      <c r="W115" s="41" t="inlineStr">
        <is>
          <t>https://headfonics.com/?s=HiBy+FC4</t>
        </is>
      </c>
      <c r="X115" s="49" t="inlineStr">
        <is>
          <t>Portable dongle DAC/amp</t>
        </is>
      </c>
    </row>
    <row r="116">
      <c r="A116" s="44" t="inlineStr">
        <is>
          <t>Questyle</t>
        </is>
      </c>
      <c r="B116" s="44" t="inlineStr">
        <is>
          <t>M15</t>
        </is>
      </c>
      <c r="C116" s="45" t="n"/>
      <c r="D116" s="45" t="inlineStr">
        <is>
          <t>Non</t>
        </is>
      </c>
      <c r="E116" s="192" t="inlineStr">
        <is>
          <t>Non</t>
        </is>
      </c>
      <c r="F116" s="190" t="inlineStr">
        <is>
          <t>Oui</t>
        </is>
      </c>
      <c r="G116" s="190" t="inlineStr">
        <is>
          <t>Oui</t>
        </is>
      </c>
      <c r="H116" s="190" t="inlineStr">
        <is>
          <t>Non</t>
        </is>
      </c>
      <c r="I116" s="190" t="inlineStr">
        <is>
          <t>Non</t>
        </is>
      </c>
      <c r="J116" s="190" t="inlineStr">
        <is>
          <t>Non</t>
        </is>
      </c>
      <c r="K116" s="190" t="inlineStr">
        <is>
          <t>Non</t>
        </is>
      </c>
      <c r="L116" s="45" t="n"/>
      <c r="M116" s="55" t="n">
        <v>219</v>
      </c>
      <c r="N116" s="44" t="inlineStr">
        <is>
          <t>Portable Amp/DAC (Headfonics)</t>
        </is>
      </c>
      <c r="O116" s="44" t="inlineStr">
        <is>
          <t>Import Headfonics — à enrichir</t>
        </is>
      </c>
      <c r="P116" s="56" t="inlineStr">
        <is>
          <t>https://headfonics.com/category/portable-amps-dacs/page/5/</t>
        </is>
      </c>
      <c r="Q116" s="45" t="inlineStr">
        <is>
          <t>À évaluer</t>
        </is>
      </c>
      <c r="R116" s="45" t="inlineStr">
        <is>
          <t>À évaluer</t>
        </is>
      </c>
      <c r="S116" s="52" t="n">
        <v>8.5</v>
      </c>
      <c r="T116" s="49" t="inlineStr">
        <is>
          <t>Reader</t>
        </is>
      </c>
      <c r="U116" s="81" t="n">
        <v>44807</v>
      </c>
      <c r="V116" s="49" t="n">
        <v>5</v>
      </c>
      <c r="W116" s="41" t="inlineStr">
        <is>
          <t>https://headfonics.com/?s=Questyle+M15</t>
        </is>
      </c>
      <c r="X116" s="49" t="inlineStr">
        <is>
          <t>Current Mode portable dongle DAC/amp</t>
        </is>
      </c>
    </row>
    <row r="117">
      <c r="A117" s="44" t="inlineStr">
        <is>
          <t>iBasso</t>
        </is>
      </c>
      <c r="B117" s="44" t="inlineStr">
        <is>
          <t>DC06</t>
        </is>
      </c>
      <c r="C117" s="45" t="n"/>
      <c r="D117" s="45" t="inlineStr">
        <is>
          <t>Non</t>
        </is>
      </c>
      <c r="E117" s="192" t="inlineStr">
        <is>
          <t>Non</t>
        </is>
      </c>
      <c r="F117" s="190" t="inlineStr">
        <is>
          <t>Oui</t>
        </is>
      </c>
      <c r="G117" s="190" t="inlineStr">
        <is>
          <t>Oui</t>
        </is>
      </c>
      <c r="H117" s="190" t="inlineStr">
        <is>
          <t>Non</t>
        </is>
      </c>
      <c r="I117" s="190" t="inlineStr">
        <is>
          <t>Non</t>
        </is>
      </c>
      <c r="J117" s="190" t="inlineStr">
        <is>
          <t>Non</t>
        </is>
      </c>
      <c r="K117" s="187" t="inlineStr">
        <is>
          <t>Non</t>
        </is>
      </c>
      <c r="L117" s="45" t="n"/>
      <c r="M117" s="55" t="n">
        <v>105</v>
      </c>
      <c r="N117" s="44" t="inlineStr">
        <is>
          <t>Portable Amp/DAC (Headfonics)</t>
        </is>
      </c>
      <c r="O117" s="44" t="inlineStr">
        <is>
          <t>Import Headfonics — à enrichir</t>
        </is>
      </c>
      <c r="P117" s="56" t="inlineStr">
        <is>
          <t>https://headfonics.com/category/portable-amps-dacs/page/5/</t>
        </is>
      </c>
      <c r="Q117" s="45" t="inlineStr">
        <is>
          <t>À évaluer</t>
        </is>
      </c>
      <c r="R117" s="45" t="inlineStr">
        <is>
          <t>À évaluer</t>
        </is>
      </c>
      <c r="S117" s="52" t="n">
        <v>8.199999999999999</v>
      </c>
      <c r="T117" s="49" t="inlineStr">
        <is>
          <t>Reader</t>
        </is>
      </c>
      <c r="U117" s="81" t="n">
        <v>44802</v>
      </c>
      <c r="V117" s="49" t="n">
        <v>5</v>
      </c>
      <c r="W117" s="41" t="inlineStr">
        <is>
          <t>https://headfonics.com/?s=iBasso+DC06</t>
        </is>
      </c>
      <c r="X117" s="49" t="inlineStr">
        <is>
          <t>Portable dongle DAC/amp</t>
        </is>
      </c>
    </row>
    <row r="118">
      <c r="A118" s="44" t="inlineStr">
        <is>
          <t>Topping</t>
        </is>
      </c>
      <c r="B118" s="44" t="inlineStr">
        <is>
          <t>NX7</t>
        </is>
      </c>
      <c r="C118" s="45" t="n"/>
      <c r="D118" s="192" t="inlineStr">
        <is>
          <t>Oui</t>
        </is>
      </c>
      <c r="E118" s="192" t="inlineStr">
        <is>
          <t>Non</t>
        </is>
      </c>
      <c r="F118" s="190" t="inlineStr">
        <is>
          <t>Oui</t>
        </is>
      </c>
      <c r="G118" s="190" t="inlineStr">
        <is>
          <t>Oui</t>
        </is>
      </c>
      <c r="H118" s="190" t="inlineStr">
        <is>
          <t>Non</t>
        </is>
      </c>
      <c r="I118" s="190" t="inlineStr">
        <is>
          <t>Non</t>
        </is>
      </c>
      <c r="J118" s="190" t="inlineStr">
        <is>
          <t>Non</t>
        </is>
      </c>
      <c r="K118" s="190" t="inlineStr">
        <is>
          <t>Non</t>
        </is>
      </c>
      <c r="L118" s="45" t="n"/>
      <c r="M118" s="55" t="n">
        <v>157</v>
      </c>
      <c r="N118" s="44" t="inlineStr">
        <is>
          <t>Portable Amp/DAC (Headfonics)</t>
        </is>
      </c>
      <c r="O118" s="44" t="inlineStr">
        <is>
          <t>Import Headfonics — à enrichir</t>
        </is>
      </c>
      <c r="P118" s="56" t="inlineStr">
        <is>
          <t>https://headfonics.com/category/portable-amps-dacs/page/6/</t>
        </is>
      </c>
      <c r="Q118" s="45" t="inlineStr">
        <is>
          <t>À évaluer</t>
        </is>
      </c>
      <c r="R118" s="45" t="inlineStr">
        <is>
          <t>À évaluer</t>
        </is>
      </c>
      <c r="S118" s="49" t="n"/>
      <c r="T118" s="49" t="inlineStr">
        <is>
          <t>Reader (non relevé)</t>
        </is>
      </c>
      <c r="U118" s="81" t="n">
        <v>44767</v>
      </c>
      <c r="V118" s="49" t="n">
        <v>6</v>
      </c>
      <c r="W118" s="41" t="inlineStr">
        <is>
          <t>https://headfonics.com/?s=Topping+NX7</t>
        </is>
      </c>
      <c r="X118" s="49" t="inlineStr">
        <is>
          <t>Portable headphone amplifier</t>
        </is>
      </c>
    </row>
    <row r="119">
      <c r="A119" s="44" t="inlineStr">
        <is>
          <t>Moondrop</t>
        </is>
      </c>
      <c r="B119" s="44" t="inlineStr">
        <is>
          <t>MoonRiver 2</t>
        </is>
      </c>
      <c r="C119" s="45" t="n"/>
      <c r="D119" s="45" t="inlineStr">
        <is>
          <t>Non</t>
        </is>
      </c>
      <c r="E119" s="192" t="inlineStr">
        <is>
          <t>Non</t>
        </is>
      </c>
      <c r="F119" s="190" t="inlineStr">
        <is>
          <t>Oui</t>
        </is>
      </c>
      <c r="G119" s="190" t="inlineStr">
        <is>
          <t>Oui</t>
        </is>
      </c>
      <c r="H119" s="190" t="inlineStr">
        <is>
          <t>Non</t>
        </is>
      </c>
      <c r="I119" s="190" t="inlineStr">
        <is>
          <t>Non</t>
        </is>
      </c>
      <c r="J119" s="190" t="inlineStr">
        <is>
          <t>Non</t>
        </is>
      </c>
      <c r="K119" s="187" t="inlineStr">
        <is>
          <t>Non</t>
        </is>
      </c>
      <c r="L119" s="45" t="n"/>
      <c r="M119" s="55" t="n">
        <v>167</v>
      </c>
      <c r="N119" s="44" t="inlineStr">
        <is>
          <t>Portable Amp/DAC (Headfonics)</t>
        </is>
      </c>
      <c r="O119" s="44" t="inlineStr">
        <is>
          <t>Import Headfonics — à enrichir</t>
        </is>
      </c>
      <c r="P119" s="56" t="inlineStr">
        <is>
          <t>https://headfonics.com/category/portable-amps-dacs/page/6/</t>
        </is>
      </c>
      <c r="Q119" s="45" t="inlineStr">
        <is>
          <t>À évaluer</t>
        </is>
      </c>
      <c r="R119" s="45" t="inlineStr">
        <is>
          <t>À évaluer</t>
        </is>
      </c>
      <c r="S119" s="49" t="n"/>
      <c r="T119" s="49" t="inlineStr">
        <is>
          <t>Reader (non relevé)</t>
        </is>
      </c>
      <c r="U119" s="81" t="n">
        <v>44764</v>
      </c>
      <c r="V119" s="49" t="n">
        <v>6</v>
      </c>
      <c r="W119" s="41" t="inlineStr">
        <is>
          <t>https://headfonics.com/?s=Moondrop+MoonRiver+2</t>
        </is>
      </c>
      <c r="X119" s="49" t="inlineStr">
        <is>
          <t>Portable dongle DAC/amp</t>
        </is>
      </c>
    </row>
    <row r="120">
      <c r="A120" s="44" t="inlineStr">
        <is>
          <t>Colorfly</t>
        </is>
      </c>
      <c r="B120" s="44" t="inlineStr">
        <is>
          <t>CDA M1</t>
        </is>
      </c>
      <c r="C120" s="45" t="n"/>
      <c r="D120" s="192" t="inlineStr">
        <is>
          <t>Non</t>
        </is>
      </c>
      <c r="E120" s="192" t="inlineStr">
        <is>
          <t>Non</t>
        </is>
      </c>
      <c r="F120" s="190" t="inlineStr">
        <is>
          <t>Oui</t>
        </is>
      </c>
      <c r="G120" s="190" t="inlineStr">
        <is>
          <t>Oui</t>
        </is>
      </c>
      <c r="H120" s="190" t="inlineStr">
        <is>
          <t>Non</t>
        </is>
      </c>
      <c r="I120" s="190" t="inlineStr">
        <is>
          <t>Non</t>
        </is>
      </c>
      <c r="J120" s="190" t="inlineStr">
        <is>
          <t>Non</t>
        </is>
      </c>
      <c r="K120" s="187" t="inlineStr">
        <is>
          <t>Non</t>
        </is>
      </c>
      <c r="L120" s="45" t="n"/>
      <c r="M120" s="55" t="n">
        <v>79</v>
      </c>
      <c r="N120" s="44" t="inlineStr">
        <is>
          <t>Portable Amp/DAC (Headfonics)</t>
        </is>
      </c>
      <c r="O120" s="44" t="inlineStr">
        <is>
          <t>Import Headfonics — à enrichir</t>
        </is>
      </c>
      <c r="P120" s="56" t="inlineStr">
        <is>
          <t>https://headfonics.com/category/portable-amps-dacs/page/6/</t>
        </is>
      </c>
      <c r="Q120" s="45" t="inlineStr">
        <is>
          <t>À évaluer</t>
        </is>
      </c>
      <c r="R120" s="45" t="inlineStr">
        <is>
          <t>À évaluer</t>
        </is>
      </c>
      <c r="S120" s="49" t="n"/>
      <c r="T120" s="49" t="inlineStr">
        <is>
          <t>Reader (non relevé)</t>
        </is>
      </c>
      <c r="U120" s="81" t="n">
        <v>44751</v>
      </c>
      <c r="V120" s="49" t="n">
        <v>6</v>
      </c>
      <c r="W120" s="41" t="inlineStr">
        <is>
          <t>https://headfonics.com/?s=Colorfly+CDA+M1</t>
        </is>
      </c>
      <c r="X120" s="49" t="inlineStr">
        <is>
          <t>Portable dongle DAC/amp</t>
        </is>
      </c>
    </row>
    <row r="121">
      <c r="A121" s="44" t="inlineStr">
        <is>
          <t>FiiO</t>
        </is>
      </c>
      <c r="B121" s="44" t="inlineStr">
        <is>
          <t>KA1</t>
        </is>
      </c>
      <c r="C121" s="45" t="n"/>
      <c r="D121" s="192" t="inlineStr">
        <is>
          <t>Non</t>
        </is>
      </c>
      <c r="E121" s="192" t="inlineStr">
        <is>
          <t>Non</t>
        </is>
      </c>
      <c r="F121" s="190" t="inlineStr">
        <is>
          <t>Oui</t>
        </is>
      </c>
      <c r="G121" s="190" t="inlineStr">
        <is>
          <t>Non</t>
        </is>
      </c>
      <c r="H121" s="190" t="inlineStr">
        <is>
          <t>Non</t>
        </is>
      </c>
      <c r="I121" s="190" t="inlineStr">
        <is>
          <t>Non</t>
        </is>
      </c>
      <c r="J121" s="190" t="inlineStr">
        <is>
          <t>Non</t>
        </is>
      </c>
      <c r="K121" s="187" t="inlineStr">
        <is>
          <t>Non</t>
        </is>
      </c>
      <c r="L121" s="45" t="n"/>
      <c r="M121" s="55" t="n">
        <v>44</v>
      </c>
      <c r="N121" s="44" t="inlineStr">
        <is>
          <t>Portable Amp/DAC (Headfonics)</t>
        </is>
      </c>
      <c r="O121" s="44" t="inlineStr">
        <is>
          <t>Import Headfonics — à enrichir</t>
        </is>
      </c>
      <c r="P121" s="56" t="inlineStr">
        <is>
          <t>https://headfonics.com/category/portable-amps-dacs/page/6/</t>
        </is>
      </c>
      <c r="Q121" s="45" t="inlineStr">
        <is>
          <t>À évaluer</t>
        </is>
      </c>
      <c r="R121" s="45" t="inlineStr">
        <is>
          <t>À évaluer</t>
        </is>
      </c>
      <c r="S121" s="49" t="n"/>
      <c r="T121" s="49" t="inlineStr">
        <is>
          <t>Reader (non relevé)</t>
        </is>
      </c>
      <c r="U121" s="81" t="n">
        <v>44737</v>
      </c>
      <c r="V121" s="49" t="n">
        <v>6</v>
      </c>
      <c r="W121" s="41" t="inlineStr">
        <is>
          <t>https://headfonics.com/?s=FiiO+KA1</t>
        </is>
      </c>
      <c r="X121" s="49" t="inlineStr">
        <is>
          <t>Portable dongle DAC/amp</t>
        </is>
      </c>
    </row>
    <row r="122">
      <c r="A122" s="44" t="inlineStr">
        <is>
          <t>iFi audio</t>
        </is>
      </c>
      <c r="B122" s="44" t="inlineStr">
        <is>
          <t>GO bar</t>
        </is>
      </c>
      <c r="C122" s="45" t="inlineStr">
        <is>
          <t>XMOS; PCM 32/384; DSD256; MQA</t>
        </is>
      </c>
      <c r="D122" s="45" t="inlineStr">
        <is>
          <t>Non</t>
        </is>
      </c>
      <c r="E122" s="192" t="inlineStr">
        <is>
          <t>Non</t>
        </is>
      </c>
      <c r="F122" s="190" t="inlineStr">
        <is>
          <t>Oui</t>
        </is>
      </c>
      <c r="G122" s="190" t="inlineStr">
        <is>
          <t>Oui</t>
        </is>
      </c>
      <c r="H122" s="190" t="inlineStr">
        <is>
          <t>Non</t>
        </is>
      </c>
      <c r="I122" s="190" t="inlineStr">
        <is>
          <t>Non</t>
        </is>
      </c>
      <c r="J122" s="190" t="inlineStr">
        <is>
          <t>Non</t>
        </is>
      </c>
      <c r="K122" s="187" t="inlineStr">
        <is>
          <t>Non</t>
        </is>
      </c>
      <c r="L122" s="45" t="n"/>
      <c r="M122" s="55" t="n">
        <v>289</v>
      </c>
      <c r="N122" s="44" t="inlineStr">
        <is>
          <t>Portable Amp/DAC (Headfonics)</t>
        </is>
      </c>
      <c r="O122" s="44" t="inlineStr">
        <is>
          <t>Import Headfonics — à enrichir</t>
        </is>
      </c>
      <c r="P122" s="56" t="inlineStr">
        <is>
          <t>https://headfonics.com/category/portable-amps-dacs/page/6/</t>
        </is>
      </c>
      <c r="Q122" s="45" t="inlineStr">
        <is>
          <t>À évaluer</t>
        </is>
      </c>
      <c r="R122" s="45" t="inlineStr">
        <is>
          <t>À évaluer</t>
        </is>
      </c>
      <c r="S122" s="52" t="n">
        <v>8.4</v>
      </c>
      <c r="T122" s="49" t="inlineStr">
        <is>
          <t>Reader</t>
        </is>
      </c>
      <c r="U122" s="81" t="n">
        <v>44730</v>
      </c>
      <c r="V122" s="49" t="n">
        <v>6</v>
      </c>
      <c r="W122" s="41" t="inlineStr">
        <is>
          <t>https://headfonics.com/?s=iFi+audio+GO+bar</t>
        </is>
      </c>
      <c r="X122" s="49" t="inlineStr">
        <is>
          <t>Portable dongle DAC/amp</t>
        </is>
      </c>
    </row>
    <row r="123">
      <c r="A123" s="44" t="inlineStr">
        <is>
          <t>Audirect</t>
        </is>
      </c>
      <c r="B123" s="44" t="inlineStr">
        <is>
          <t>Beam 3 Plus</t>
        </is>
      </c>
      <c r="C123" s="45" t="n"/>
      <c r="D123" s="192" t="inlineStr">
        <is>
          <t>Oui</t>
        </is>
      </c>
      <c r="E123" s="192" t="inlineStr">
        <is>
          <t>Oui</t>
        </is>
      </c>
      <c r="F123" s="190" t="inlineStr">
        <is>
          <t>Oui</t>
        </is>
      </c>
      <c r="G123" s="190" t="inlineStr">
        <is>
          <t>Oui</t>
        </is>
      </c>
      <c r="H123" s="190" t="inlineStr">
        <is>
          <t>Non</t>
        </is>
      </c>
      <c r="I123" s="190" t="inlineStr">
        <is>
          <t>Non</t>
        </is>
      </c>
      <c r="J123" s="190" t="inlineStr">
        <is>
          <t>Non</t>
        </is>
      </c>
      <c r="K123" s="187" t="inlineStr">
        <is>
          <t>Non</t>
        </is>
      </c>
      <c r="L123" s="45" t="n"/>
      <c r="M123" s="55" t="n">
        <v>167</v>
      </c>
      <c r="N123" s="44" t="inlineStr">
        <is>
          <t>Portable Amp/DAC (Headfonics)</t>
        </is>
      </c>
      <c r="O123" s="44" t="inlineStr">
        <is>
          <t>Import Headfonics — à enrichir</t>
        </is>
      </c>
      <c r="P123" s="56" t="inlineStr">
        <is>
          <t>https://headfonics.com/category/portable-amps-dacs/page/6/</t>
        </is>
      </c>
      <c r="Q123" s="45" t="inlineStr">
        <is>
          <t>À évaluer</t>
        </is>
      </c>
      <c r="R123" s="45" t="inlineStr">
        <is>
          <t>À évaluer</t>
        </is>
      </c>
      <c r="S123" s="49" t="n"/>
      <c r="T123" s="49" t="inlineStr">
        <is>
          <t>Reader (non relevé)</t>
        </is>
      </c>
      <c r="U123" s="81" t="n">
        <v>44715</v>
      </c>
      <c r="V123" s="49" t="n">
        <v>6</v>
      </c>
      <c r="W123" s="41" t="inlineStr">
        <is>
          <t>https://headfonics.com/?s=Hilidac+Audirect+Beam+3+Plus</t>
        </is>
      </c>
      <c r="X123" s="49" t="inlineStr">
        <is>
          <t>Portable DAC/amp</t>
        </is>
      </c>
    </row>
    <row r="124">
      <c r="A124" s="44" t="inlineStr">
        <is>
          <t>ddHiFi</t>
        </is>
      </c>
      <c r="B124" s="44" t="inlineStr">
        <is>
          <t>TC44C</t>
        </is>
      </c>
      <c r="C124" s="45" t="n"/>
      <c r="D124" s="192" t="inlineStr">
        <is>
          <t>Non</t>
        </is>
      </c>
      <c r="E124" s="192" t="inlineStr">
        <is>
          <t>Non</t>
        </is>
      </c>
      <c r="F124" s="190" t="inlineStr">
        <is>
          <t>Oui</t>
        </is>
      </c>
      <c r="G124" s="190" t="inlineStr">
        <is>
          <t>Oui</t>
        </is>
      </c>
      <c r="H124" s="190" t="inlineStr">
        <is>
          <t>Non</t>
        </is>
      </c>
      <c r="I124" s="190" t="inlineStr">
        <is>
          <t>Non</t>
        </is>
      </c>
      <c r="J124" s="190" t="inlineStr">
        <is>
          <t>Non</t>
        </is>
      </c>
      <c r="K124" s="190" t="inlineStr">
        <is>
          <t>Non</t>
        </is>
      </c>
      <c r="L124" s="45" t="n"/>
      <c r="M124" s="55" t="n">
        <v>105</v>
      </c>
      <c r="N124" s="44" t="inlineStr">
        <is>
          <t>Portable Amp/DAC (Headfonics)</t>
        </is>
      </c>
      <c r="O124" s="44" t="inlineStr">
        <is>
          <t>Import Headfonics — à enrichir</t>
        </is>
      </c>
      <c r="P124" s="56" t="inlineStr">
        <is>
          <t>https://headfonics.com/category/portable-amps-dacs/page/6/</t>
        </is>
      </c>
      <c r="Q124" s="45" t="inlineStr">
        <is>
          <t>À évaluer</t>
        </is>
      </c>
      <c r="R124" s="45" t="inlineStr">
        <is>
          <t>À évaluer</t>
        </is>
      </c>
      <c r="S124" s="52" t="n">
        <v>8.4</v>
      </c>
      <c r="T124" s="49" t="inlineStr">
        <is>
          <t>Reader</t>
        </is>
      </c>
      <c r="U124" s="81" t="n">
        <v>44713</v>
      </c>
      <c r="V124" s="49" t="n">
        <v>6</v>
      </c>
      <c r="W124" s="41" t="inlineStr">
        <is>
          <t>https://headfonics.com/?s=ddHiFi+TC44C</t>
        </is>
      </c>
      <c r="X124" s="49" t="inlineStr">
        <is>
          <t>Portable dongle DAC/amp</t>
        </is>
      </c>
    </row>
    <row r="125">
      <c r="A125" s="44" t="inlineStr">
        <is>
          <t>Shanling</t>
        </is>
      </c>
      <c r="B125" s="44" t="inlineStr">
        <is>
          <t>UA5</t>
        </is>
      </c>
      <c r="C125" s="45" t="n"/>
      <c r="D125" s="192" t="inlineStr">
        <is>
          <t>Oui</t>
        </is>
      </c>
      <c r="E125" s="192" t="inlineStr">
        <is>
          <t>Non</t>
        </is>
      </c>
      <c r="F125" s="190" t="inlineStr">
        <is>
          <t>Oui</t>
        </is>
      </c>
      <c r="G125" s="190" t="inlineStr">
        <is>
          <t>Oui</t>
        </is>
      </c>
      <c r="H125" s="190" t="inlineStr">
        <is>
          <t>Non</t>
        </is>
      </c>
      <c r="I125" s="190" t="inlineStr">
        <is>
          <t>Non</t>
        </is>
      </c>
      <c r="J125" s="190" t="inlineStr">
        <is>
          <t>Non</t>
        </is>
      </c>
      <c r="K125" s="187" t="inlineStr">
        <is>
          <t>Non</t>
        </is>
      </c>
      <c r="L125" s="45" t="n"/>
      <c r="M125" s="55" t="n">
        <v>207</v>
      </c>
      <c r="N125" s="44" t="inlineStr">
        <is>
          <t>Portable Amp/DAC (Headfonics)</t>
        </is>
      </c>
      <c r="O125" s="44" t="inlineStr">
        <is>
          <t>Import Headfonics — à enrichir</t>
        </is>
      </c>
      <c r="P125" s="56" t="inlineStr">
        <is>
          <t>https://headfonics.com/category/portable-amps-dacs/page/6/</t>
        </is>
      </c>
      <c r="Q125" s="45" t="inlineStr">
        <is>
          <t>À évaluer</t>
        </is>
      </c>
      <c r="R125" s="45" t="inlineStr">
        <is>
          <t>À évaluer</t>
        </is>
      </c>
      <c r="S125" s="52" t="n">
        <v>8.4</v>
      </c>
      <c r="T125" s="49" t="inlineStr">
        <is>
          <t>Reader</t>
        </is>
      </c>
      <c r="U125" s="81" t="n">
        <v>44708</v>
      </c>
      <c r="V125" s="49" t="n">
        <v>6</v>
      </c>
      <c r="W125" s="41" t="inlineStr">
        <is>
          <t>https://headfonics.com/?s=Shanling+UA5</t>
        </is>
      </c>
      <c r="X125" s="49" t="inlineStr">
        <is>
          <t>Portable dongle DAC/amp</t>
        </is>
      </c>
    </row>
    <row r="126">
      <c r="A126" s="44" t="inlineStr">
        <is>
          <t>TempoTec</t>
        </is>
      </c>
      <c r="B126" s="44" t="inlineStr">
        <is>
          <t>Sonata E35</t>
        </is>
      </c>
      <c r="C126" s="45" t="n"/>
      <c r="D126" s="45" t="inlineStr">
        <is>
          <t>Non</t>
        </is>
      </c>
      <c r="E126" s="192" t="inlineStr">
        <is>
          <t>Non</t>
        </is>
      </c>
      <c r="F126" s="190" t="inlineStr">
        <is>
          <t>Oui</t>
        </is>
      </c>
      <c r="G126" s="190" t="inlineStr">
        <is>
          <t>Non</t>
        </is>
      </c>
      <c r="H126" s="190" t="inlineStr">
        <is>
          <t>Non</t>
        </is>
      </c>
      <c r="I126" s="190" t="inlineStr">
        <is>
          <t>Non</t>
        </is>
      </c>
      <c r="J126" s="190" t="inlineStr">
        <is>
          <t>Non</t>
        </is>
      </c>
      <c r="K126" s="187" t="inlineStr">
        <is>
          <t>Non</t>
        </is>
      </c>
      <c r="L126" s="45" t="n"/>
      <c r="M126" s="55" t="n">
        <v>61</v>
      </c>
      <c r="N126" s="44" t="inlineStr">
        <is>
          <t>Portable Amp/DAC (Headfonics)</t>
        </is>
      </c>
      <c r="O126" s="44" t="inlineStr">
        <is>
          <t>Import Headfonics — à enrichir</t>
        </is>
      </c>
      <c r="P126" s="56" t="inlineStr">
        <is>
          <t>https://headfonics.com/category/portable-amps-dacs/page/6/</t>
        </is>
      </c>
      <c r="Q126" s="45" t="inlineStr">
        <is>
          <t>À évaluer</t>
        </is>
      </c>
      <c r="R126" s="45" t="inlineStr">
        <is>
          <t>À évaluer</t>
        </is>
      </c>
      <c r="S126" s="52" t="n">
        <v>8</v>
      </c>
      <c r="T126" s="49" t="inlineStr">
        <is>
          <t>Reader</t>
        </is>
      </c>
      <c r="U126" s="81" t="n">
        <v>44699</v>
      </c>
      <c r="V126" s="49" t="n">
        <v>6</v>
      </c>
      <c r="W126" s="41" t="inlineStr">
        <is>
          <t>https://headfonics.com/?s=TempoTec+Sonata+E35</t>
        </is>
      </c>
      <c r="X126" s="49" t="inlineStr">
        <is>
          <t>Portable dongle DAC/amp</t>
        </is>
      </c>
    </row>
    <row r="127">
      <c r="A127" s="44" t="inlineStr">
        <is>
          <t>Astell&amp;Kern</t>
        </is>
      </c>
      <c r="B127" s="44" t="inlineStr">
        <is>
          <t>USB-C Dual DAC Cable PEE51</t>
        </is>
      </c>
      <c r="C127" s="45" t="n"/>
      <c r="D127" s="192" t="inlineStr">
        <is>
          <t>Non</t>
        </is>
      </c>
      <c r="E127" s="192" t="inlineStr">
        <is>
          <t>Non</t>
        </is>
      </c>
      <c r="F127" s="190" t="inlineStr">
        <is>
          <t>Oui</t>
        </is>
      </c>
      <c r="G127" s="190" t="inlineStr">
        <is>
          <t>Non</t>
        </is>
      </c>
      <c r="H127" s="190" t="inlineStr">
        <is>
          <t>Non</t>
        </is>
      </c>
      <c r="I127" s="190" t="inlineStr">
        <is>
          <t>Non</t>
        </is>
      </c>
      <c r="J127" s="190" t="inlineStr">
        <is>
          <t>Non</t>
        </is>
      </c>
      <c r="K127" s="187" t="inlineStr">
        <is>
          <t>Non</t>
        </is>
      </c>
      <c r="L127" s="45" t="n"/>
      <c r="M127" s="55" t="n">
        <v>131</v>
      </c>
      <c r="N127" s="44" t="inlineStr">
        <is>
          <t>Portable Amp/DAC (Headfonics)</t>
        </is>
      </c>
      <c r="O127" s="44" t="inlineStr">
        <is>
          <t>Import Headfonics — à enrichir</t>
        </is>
      </c>
      <c r="P127" s="56" t="inlineStr">
        <is>
          <t>https://headfonics.com/category/portable-amps-dacs/page/6/</t>
        </is>
      </c>
      <c r="Q127" s="45" t="inlineStr">
        <is>
          <t>À évaluer</t>
        </is>
      </c>
      <c r="R127" s="45" t="inlineStr">
        <is>
          <t>À évaluer</t>
        </is>
      </c>
      <c r="S127" s="52" t="n">
        <v>8.300000000000001</v>
      </c>
      <c r="T127" s="49" t="inlineStr">
        <is>
          <t>Reader</t>
        </is>
      </c>
      <c r="U127" s="81" t="n">
        <v>44697</v>
      </c>
      <c r="V127" s="49" t="n">
        <v>6</v>
      </c>
      <c r="W127" s="41" t="inlineStr">
        <is>
          <t>https://headfonics.com/?s=Astell%26Kern+USB-C+Dual+DAC+Cable+PEE51</t>
        </is>
      </c>
      <c r="X127" s="49" t="inlineStr">
        <is>
          <t>Portable USB-C dual-DAC cable</t>
        </is>
      </c>
    </row>
    <row r="128">
      <c r="A128" s="44" t="inlineStr">
        <is>
          <t>Audirect</t>
        </is>
      </c>
      <c r="B128" s="44" t="inlineStr">
        <is>
          <t>Beam 3 PRO</t>
        </is>
      </c>
      <c r="C128" s="45" t="n"/>
      <c r="D128" s="45" t="inlineStr">
        <is>
          <t>Non</t>
        </is>
      </c>
      <c r="E128" s="192" t="inlineStr">
        <is>
          <t>Non</t>
        </is>
      </c>
      <c r="F128" s="190" t="inlineStr">
        <is>
          <t>Oui</t>
        </is>
      </c>
      <c r="G128" s="190" t="inlineStr">
        <is>
          <t>Non</t>
        </is>
      </c>
      <c r="H128" s="190" t="inlineStr">
        <is>
          <t>Non</t>
        </is>
      </c>
      <c r="I128" s="190" t="inlineStr">
        <is>
          <t>Non</t>
        </is>
      </c>
      <c r="J128" s="190" t="inlineStr">
        <is>
          <t>Non</t>
        </is>
      </c>
      <c r="K128" s="187" t="inlineStr">
        <is>
          <t>Non</t>
        </is>
      </c>
      <c r="L128" s="45" t="n"/>
      <c r="M128" s="55" t="n">
        <v>132</v>
      </c>
      <c r="N128" s="44" t="inlineStr">
        <is>
          <t>Portable Amp/DAC (Headfonics)</t>
        </is>
      </c>
      <c r="O128" s="44" t="inlineStr">
        <is>
          <t>Import Headfonics — à enrichir</t>
        </is>
      </c>
      <c r="P128" s="56" t="inlineStr">
        <is>
          <t>https://headfonics.com/category/portable-amps-dacs/page/6/</t>
        </is>
      </c>
      <c r="Q128" s="45" t="inlineStr">
        <is>
          <t>À évaluer</t>
        </is>
      </c>
      <c r="R128" s="45" t="inlineStr">
        <is>
          <t>À évaluer</t>
        </is>
      </c>
      <c r="S128" s="52" t="n">
        <v>8.1</v>
      </c>
      <c r="T128" s="49" t="inlineStr">
        <is>
          <t>Reader</t>
        </is>
      </c>
      <c r="U128" s="81" t="n">
        <v>44659</v>
      </c>
      <c r="V128" s="49" t="n">
        <v>6</v>
      </c>
      <c r="W128" s="41" t="inlineStr">
        <is>
          <t>https://headfonics.com/?s=Hilidac+Audirect+Beam+3+PRO</t>
        </is>
      </c>
      <c r="X128" s="49" t="inlineStr">
        <is>
          <t>Portable DAC/amp</t>
        </is>
      </c>
    </row>
    <row r="129">
      <c r="A129" s="44" t="inlineStr">
        <is>
          <t>EarMen</t>
        </is>
      </c>
      <c r="B129" s="44" t="inlineStr">
        <is>
          <t>Colibri</t>
        </is>
      </c>
      <c r="C129" s="45" t="n"/>
      <c r="D129" s="192" t="inlineStr">
        <is>
          <t>Oui</t>
        </is>
      </c>
      <c r="E129" s="192" t="inlineStr">
        <is>
          <t>Non</t>
        </is>
      </c>
      <c r="F129" s="190" t="inlineStr">
        <is>
          <t>Oui</t>
        </is>
      </c>
      <c r="G129" s="190" t="inlineStr">
        <is>
          <t>Oui</t>
        </is>
      </c>
      <c r="H129" s="190" t="inlineStr">
        <is>
          <t>Non</t>
        </is>
      </c>
      <c r="I129" s="190" t="inlineStr">
        <is>
          <t>Non</t>
        </is>
      </c>
      <c r="J129" s="190" t="inlineStr">
        <is>
          <t>Non</t>
        </is>
      </c>
      <c r="K129" s="187" t="inlineStr">
        <is>
          <t>Non</t>
        </is>
      </c>
      <c r="L129" s="45" t="n"/>
      <c r="M129" s="55" t="n">
        <v>293</v>
      </c>
      <c r="N129" s="44" t="inlineStr">
        <is>
          <t>Portable Amp/DAC (Headfonics)</t>
        </is>
      </c>
      <c r="O129" s="44" t="inlineStr">
        <is>
          <t>Import Headfonics — à enrichir</t>
        </is>
      </c>
      <c r="P129" s="56" t="inlineStr">
        <is>
          <t>https://headfonics.com/category/portable-amps-dacs/page/6/</t>
        </is>
      </c>
      <c r="Q129" s="45" t="inlineStr">
        <is>
          <t>À évaluer</t>
        </is>
      </c>
      <c r="R129" s="45" t="inlineStr">
        <is>
          <t>À évaluer</t>
        </is>
      </c>
      <c r="S129" s="52" t="n">
        <v>8.300000000000001</v>
      </c>
      <c r="T129" s="49" t="inlineStr">
        <is>
          <t>Reader</t>
        </is>
      </c>
      <c r="U129" s="81" t="n">
        <v>44653</v>
      </c>
      <c r="V129" s="49" t="n">
        <v>6</v>
      </c>
      <c r="W129" s="41" t="inlineStr">
        <is>
          <t>https://headfonics.com/?s=EarMen+Colibri</t>
        </is>
      </c>
      <c r="X129" s="49" t="inlineStr">
        <is>
          <t>Battery portable DAC/amp</t>
        </is>
      </c>
    </row>
    <row r="130">
      <c r="A130" s="44" t="inlineStr">
        <is>
          <t>Swan Song Audio</t>
        </is>
      </c>
      <c r="B130" s="44" t="inlineStr">
        <is>
          <t>Mini Black</t>
        </is>
      </c>
      <c r="C130" s="45" t="n"/>
      <c r="D130" s="192" t="inlineStr">
        <is>
          <t>Oui</t>
        </is>
      </c>
      <c r="E130" s="192" t="inlineStr">
        <is>
          <t>Non</t>
        </is>
      </c>
      <c r="F130" s="190" t="inlineStr">
        <is>
          <t>Oui</t>
        </is>
      </c>
      <c r="G130" s="190" t="inlineStr">
        <is>
          <t>Non</t>
        </is>
      </c>
      <c r="H130" s="190" t="inlineStr">
        <is>
          <t>Non</t>
        </is>
      </c>
      <c r="I130" s="190" t="inlineStr">
        <is>
          <t>Non</t>
        </is>
      </c>
      <c r="J130" s="190" t="inlineStr">
        <is>
          <t>Non</t>
        </is>
      </c>
      <c r="K130" s="190" t="inlineStr">
        <is>
          <t>Non</t>
        </is>
      </c>
      <c r="L130" s="45" t="n"/>
      <c r="M130" s="55" t="n">
        <v>1406</v>
      </c>
      <c r="N130" s="44" t="inlineStr">
        <is>
          <t>Portable Amp/DAC (Headfonics)</t>
        </is>
      </c>
      <c r="O130" s="44" t="inlineStr">
        <is>
          <t>Import Headfonics — à enrichir</t>
        </is>
      </c>
      <c r="P130" s="56" t="inlineStr">
        <is>
          <t>https://headfonics.com/category/portable-amps-dacs/page/6/</t>
        </is>
      </c>
      <c r="Q130" s="45" t="inlineStr">
        <is>
          <t>À évaluer</t>
        </is>
      </c>
      <c r="R130" s="45" t="inlineStr">
        <is>
          <t>À évaluer</t>
        </is>
      </c>
      <c r="S130" s="52" t="n">
        <v>8.4</v>
      </c>
      <c r="T130" s="49" t="inlineStr">
        <is>
          <t>Reader</t>
        </is>
      </c>
      <c r="U130" s="81" t="n">
        <v>44650</v>
      </c>
      <c r="V130" s="49" t="n">
        <v>6</v>
      </c>
      <c r="W130" s="41" t="inlineStr">
        <is>
          <t>https://headfonics.com/?s=Swan+Song+Audio+Mini+Black</t>
        </is>
      </c>
      <c r="X130" s="49" t="inlineStr">
        <is>
          <t>Portable DAC/amp</t>
        </is>
      </c>
    </row>
    <row r="131">
      <c r="A131" s="44" t="inlineStr">
        <is>
          <t>iFi audio</t>
        </is>
      </c>
      <c r="B131" s="44" t="inlineStr">
        <is>
          <t>xDSD Gryphon</t>
        </is>
      </c>
      <c r="C131" s="45" t="inlineStr">
        <is>
          <t>Burr-Brown MultiBit; PureWave; Bluetooth 5.1; ~1000 mW</t>
        </is>
      </c>
      <c r="D131" s="192" t="inlineStr">
        <is>
          <t>Oui</t>
        </is>
      </c>
      <c r="E131" s="192" t="inlineStr">
        <is>
          <t>Oui</t>
        </is>
      </c>
      <c r="F131" s="190" t="inlineStr">
        <is>
          <t>Oui</t>
        </is>
      </c>
      <c r="G131" s="190" t="inlineStr">
        <is>
          <t>Oui</t>
        </is>
      </c>
      <c r="H131" s="190" t="inlineStr">
        <is>
          <t>Non</t>
        </is>
      </c>
      <c r="I131" s="190" t="inlineStr">
        <is>
          <t>Non</t>
        </is>
      </c>
      <c r="J131" s="190" t="inlineStr">
        <is>
          <t>Non</t>
        </is>
      </c>
      <c r="K131" s="187" t="inlineStr">
        <is>
          <t>Non</t>
        </is>
      </c>
      <c r="L131" s="45" t="n"/>
      <c r="M131" s="55" t="n">
        <v>649</v>
      </c>
      <c r="N131" s="44" t="inlineStr">
        <is>
          <t>Portable Amp/DAC (Headfonics)</t>
        </is>
      </c>
      <c r="O131" s="44" t="inlineStr">
        <is>
          <t>Import Headfonics — à enrichir</t>
        </is>
      </c>
      <c r="P131" s="56" t="inlineStr">
        <is>
          <t>https://headfonics.com/category/portable-amps-dacs/page/6/</t>
        </is>
      </c>
      <c r="Q131" s="45" t="inlineStr">
        <is>
          <t>À évaluer</t>
        </is>
      </c>
      <c r="R131" s="45" t="inlineStr">
        <is>
          <t>À évaluer</t>
        </is>
      </c>
      <c r="S131" s="52" t="n">
        <v>8.6</v>
      </c>
      <c r="T131" s="49" t="inlineStr">
        <is>
          <t>Reader</t>
        </is>
      </c>
      <c r="U131" s="81" t="n">
        <v>44625</v>
      </c>
      <c r="V131" s="49" t="n">
        <v>6</v>
      </c>
      <c r="W131" s="41" t="inlineStr">
        <is>
          <t>https://headfonics.com/?s=iFi+audio+xDSD+Gryphon</t>
        </is>
      </c>
      <c r="X131" s="49" t="inlineStr">
        <is>
          <t>Battery portable DAC/amp</t>
        </is>
      </c>
    </row>
    <row r="132">
      <c r="A132" s="44" t="inlineStr">
        <is>
          <t>Khadas</t>
        </is>
      </c>
      <c r="B132" s="44" t="inlineStr">
        <is>
          <t>Tea</t>
        </is>
      </c>
      <c r="C132" s="45" t="inlineStr">
        <is>
          <t>ES9281AC Pro; QCC5125; Bluetooth</t>
        </is>
      </c>
      <c r="D132" s="192" t="inlineStr">
        <is>
          <t>Oui</t>
        </is>
      </c>
      <c r="E132" s="192" t="inlineStr">
        <is>
          <t>Oui</t>
        </is>
      </c>
      <c r="F132" s="190" t="inlineStr">
        <is>
          <t>Oui</t>
        </is>
      </c>
      <c r="G132" s="190" t="inlineStr">
        <is>
          <t>Non</t>
        </is>
      </c>
      <c r="H132" s="190" t="inlineStr">
        <is>
          <t>Non</t>
        </is>
      </c>
      <c r="I132" s="190" t="inlineStr">
        <is>
          <t>Non</t>
        </is>
      </c>
      <c r="J132" s="190" t="inlineStr">
        <is>
          <t>Non</t>
        </is>
      </c>
      <c r="K132" s="187" t="inlineStr">
        <is>
          <t>Non</t>
        </is>
      </c>
      <c r="L132" s="45" t="n"/>
      <c r="M132" s="55" t="n">
        <v>117.9</v>
      </c>
      <c r="N132" s="44" t="inlineStr">
        <is>
          <t>Portable Amp/DAC (Headfonics)</t>
        </is>
      </c>
      <c r="O132" s="44" t="inlineStr">
        <is>
          <t>Import Headfonics — à enrichir</t>
        </is>
      </c>
      <c r="P132" s="56" t="inlineStr">
        <is>
          <t>https://headfonics.com/category/portable-amps-dacs/page/6/</t>
        </is>
      </c>
      <c r="Q132" s="45" t="inlineStr">
        <is>
          <t>À évaluer</t>
        </is>
      </c>
      <c r="R132" s="45" t="inlineStr">
        <is>
          <t>À évaluer</t>
        </is>
      </c>
      <c r="S132" s="52" t="n">
        <v>8</v>
      </c>
      <c r="T132" s="49" t="inlineStr">
        <is>
          <t>Reader</t>
        </is>
      </c>
      <c r="U132" s="81" t="n">
        <v>44619</v>
      </c>
      <c r="V132" s="49" t="n">
        <v>6</v>
      </c>
      <c r="W132" s="41" t="inlineStr">
        <is>
          <t>https://headfonics.com/?s=Khadas+Tea</t>
        </is>
      </c>
      <c r="X132" s="49" t="inlineStr">
        <is>
          <t>Magnetic portable DAC/amp</t>
        </is>
      </c>
    </row>
    <row r="133">
      <c r="A133" s="44" t="inlineStr">
        <is>
          <t>HiBy</t>
        </is>
      </c>
      <c r="B133" s="44" t="inlineStr">
        <is>
          <t>FC5</t>
        </is>
      </c>
      <c r="C133" s="45" t="n"/>
      <c r="D133" s="45" t="inlineStr">
        <is>
          <t>Non</t>
        </is>
      </c>
      <c r="E133" s="192" t="inlineStr">
        <is>
          <t>Non</t>
        </is>
      </c>
      <c r="F133" s="190" t="inlineStr">
        <is>
          <t>Non</t>
        </is>
      </c>
      <c r="G133" s="190" t="inlineStr">
        <is>
          <t>Oui</t>
        </is>
      </c>
      <c r="H133" s="190" t="inlineStr">
        <is>
          <t>Non</t>
        </is>
      </c>
      <c r="I133" s="190" t="inlineStr">
        <is>
          <t>Non</t>
        </is>
      </c>
      <c r="J133" s="190" t="inlineStr">
        <is>
          <t>Non</t>
        </is>
      </c>
      <c r="K133" s="187" t="inlineStr">
        <is>
          <t>Non</t>
        </is>
      </c>
      <c r="L133" s="45" t="n"/>
      <c r="M133" s="55" t="n">
        <v>140</v>
      </c>
      <c r="N133" s="44" t="inlineStr">
        <is>
          <t>Portable Amp/DAC (Headfonics)</t>
        </is>
      </c>
      <c r="O133" s="44" t="inlineStr">
        <is>
          <t>Import Headfonics — à enrichir</t>
        </is>
      </c>
      <c r="P133" s="56" t="inlineStr">
        <is>
          <t>https://headfonics.com/category/portable-amps-dacs/page/6/</t>
        </is>
      </c>
      <c r="Q133" s="45" t="inlineStr">
        <is>
          <t>À évaluer</t>
        </is>
      </c>
      <c r="R133" s="45" t="inlineStr">
        <is>
          <t>À évaluer</t>
        </is>
      </c>
      <c r="S133" s="52" t="n">
        <v>8</v>
      </c>
      <c r="T133" s="49" t="inlineStr">
        <is>
          <t>Reader</t>
        </is>
      </c>
      <c r="U133" s="81" t="n">
        <v>44612</v>
      </c>
      <c r="V133" s="49" t="n">
        <v>6</v>
      </c>
      <c r="W133" s="41" t="inlineStr">
        <is>
          <t>https://headfonics.com/?s=HiBy+FC5</t>
        </is>
      </c>
      <c r="X133" s="49" t="inlineStr">
        <is>
          <t>Portable dongle DAC/amp</t>
        </is>
      </c>
    </row>
    <row r="134">
      <c r="A134" s="44" t="inlineStr">
        <is>
          <t>Chord</t>
        </is>
      </c>
      <c r="B134" s="44" t="inlineStr">
        <is>
          <t>Mojo 2</t>
        </is>
      </c>
      <c r="C134" s="45" t="n"/>
      <c r="D134" s="192" t="inlineStr">
        <is>
          <t>Oui</t>
        </is>
      </c>
      <c r="E134" s="192" t="inlineStr">
        <is>
          <t>Non</t>
        </is>
      </c>
      <c r="F134" s="190" t="inlineStr">
        <is>
          <t>Oui</t>
        </is>
      </c>
      <c r="G134" s="190" t="inlineStr">
        <is>
          <t>Oui</t>
        </is>
      </c>
      <c r="H134" s="190" t="inlineStr">
        <is>
          <t>Non</t>
        </is>
      </c>
      <c r="I134" s="190" t="inlineStr">
        <is>
          <t>Non</t>
        </is>
      </c>
      <c r="J134" s="190" t="inlineStr">
        <is>
          <t>Non</t>
        </is>
      </c>
      <c r="K134" s="190" t="inlineStr">
        <is>
          <t>Oui</t>
        </is>
      </c>
      <c r="L134" s="45" t="n"/>
      <c r="M134" s="55" t="n">
        <v>524</v>
      </c>
      <c r="N134" s="44" t="inlineStr">
        <is>
          <t>Portable Amp/DAC (Headfonics)</t>
        </is>
      </c>
      <c r="O134" s="44" t="inlineStr">
        <is>
          <t>Import Headfonics — à enrichir</t>
        </is>
      </c>
      <c r="P134" s="56" t="inlineStr">
        <is>
          <t>https://headfonics.com/category/portable-amps-dacs/page/6/</t>
        </is>
      </c>
      <c r="Q134" s="45" t="inlineStr">
        <is>
          <t>À évaluer</t>
        </is>
      </c>
      <c r="R134" s="45" t="inlineStr">
        <is>
          <t>À évaluer</t>
        </is>
      </c>
      <c r="S134" s="50" t="n">
        <v>9.1</v>
      </c>
      <c r="T134" s="49" t="inlineStr">
        <is>
          <t>Reader</t>
        </is>
      </c>
      <c r="U134" s="81" t="n">
        <v>44594</v>
      </c>
      <c r="V134" s="49" t="n">
        <v>6</v>
      </c>
      <c r="W134" s="41" t="inlineStr">
        <is>
          <t>https://headfonics.com/?s=Chord+Mojo+2</t>
        </is>
      </c>
      <c r="X134" s="49" t="inlineStr">
        <is>
          <t>Battery portable DAC/amp</t>
        </is>
      </c>
    </row>
    <row r="135">
      <c r="A135" s="44" t="inlineStr">
        <is>
          <t>Cayin</t>
        </is>
      </c>
      <c r="B135" s="44" t="inlineStr">
        <is>
          <t>RU6</t>
        </is>
      </c>
      <c r="C135" s="45" t="n"/>
      <c r="D135" s="192" t="inlineStr">
        <is>
          <t>Non</t>
        </is>
      </c>
      <c r="E135" s="45" t="inlineStr">
        <is>
          <t>Non</t>
        </is>
      </c>
      <c r="F135" s="190" t="inlineStr">
        <is>
          <t>Oui</t>
        </is>
      </c>
      <c r="G135" s="190" t="inlineStr">
        <is>
          <t>Oui</t>
        </is>
      </c>
      <c r="H135" s="190" t="inlineStr">
        <is>
          <t>Non</t>
        </is>
      </c>
      <c r="I135" s="190" t="inlineStr">
        <is>
          <t>Non</t>
        </is>
      </c>
      <c r="J135" s="190" t="inlineStr">
        <is>
          <t>Non</t>
        </is>
      </c>
      <c r="K135" s="190" t="inlineStr">
        <is>
          <t>Non</t>
        </is>
      </c>
      <c r="L135" s="45" t="n"/>
      <c r="M135" s="55" t="n">
        <v>219</v>
      </c>
      <c r="N135" s="44" t="inlineStr">
        <is>
          <t>Portable Amp/DAC (Headfonics)</t>
        </is>
      </c>
      <c r="O135" s="44" t="inlineStr">
        <is>
          <t>Import Headfonics — à enrichir</t>
        </is>
      </c>
      <c r="P135" s="56" t="inlineStr">
        <is>
          <t>https://headfonics.com/category/portable-amps-dacs/page/6/</t>
        </is>
      </c>
      <c r="Q135" s="45" t="inlineStr">
        <is>
          <t>À évaluer</t>
        </is>
      </c>
      <c r="R135" s="45" t="inlineStr">
        <is>
          <t>À évaluer</t>
        </is>
      </c>
      <c r="S135" s="52" t="n">
        <v>8.5</v>
      </c>
      <c r="T135" s="49" t="inlineStr">
        <is>
          <t>Reader</t>
        </is>
      </c>
      <c r="U135" s="81" t="n">
        <v>44577</v>
      </c>
      <c r="V135" s="49" t="n">
        <v>6</v>
      </c>
      <c r="W135" s="41" t="inlineStr">
        <is>
          <t>https://headfonics.com/?s=Cayin+RU6</t>
        </is>
      </c>
      <c r="X135" s="49" t="inlineStr">
        <is>
          <t>Discrete R2R dongle DAC/amp</t>
        </is>
      </c>
    </row>
    <row r="136">
      <c r="A136" s="44" t="inlineStr">
        <is>
          <t>iBasso</t>
        </is>
      </c>
      <c r="B136" s="44" t="inlineStr">
        <is>
          <t>DC05</t>
        </is>
      </c>
      <c r="C136" s="45" t="n"/>
      <c r="D136" s="45" t="inlineStr">
        <is>
          <t>Non</t>
        </is>
      </c>
      <c r="E136" s="192" t="inlineStr">
        <is>
          <t>Non</t>
        </is>
      </c>
      <c r="F136" s="190" t="inlineStr">
        <is>
          <t>Oui</t>
        </is>
      </c>
      <c r="G136" s="190" t="inlineStr">
        <is>
          <t>Non</t>
        </is>
      </c>
      <c r="H136" s="190" t="inlineStr">
        <is>
          <t>Non</t>
        </is>
      </c>
      <c r="I136" s="190" t="inlineStr">
        <is>
          <t>Non</t>
        </is>
      </c>
      <c r="J136" s="190" t="inlineStr">
        <is>
          <t>Non</t>
        </is>
      </c>
      <c r="K136" s="190" t="inlineStr">
        <is>
          <t>Non</t>
        </is>
      </c>
      <c r="L136" s="45" t="n"/>
      <c r="M136" s="55" t="n">
        <v>61</v>
      </c>
      <c r="N136" s="44" t="inlineStr">
        <is>
          <t>Portable Amp/DAC (Headfonics)</t>
        </is>
      </c>
      <c r="O136" s="44" t="inlineStr">
        <is>
          <t>Import Headfonics — à enrichir</t>
        </is>
      </c>
      <c r="P136" s="56" t="inlineStr">
        <is>
          <t>https://headfonics.com/category/portable-amps-dacs/page/6/</t>
        </is>
      </c>
      <c r="Q136" s="45" t="inlineStr">
        <is>
          <t>À évaluer</t>
        </is>
      </c>
      <c r="R136" s="45" t="inlineStr">
        <is>
          <t>À évaluer</t>
        </is>
      </c>
      <c r="S136" s="52" t="n">
        <v>8.199999999999999</v>
      </c>
      <c r="T136" s="49" t="inlineStr">
        <is>
          <t>Reader</t>
        </is>
      </c>
      <c r="U136" s="81" t="n">
        <v>44573</v>
      </c>
      <c r="V136" s="49" t="n">
        <v>6</v>
      </c>
      <c r="W136" s="41" t="inlineStr">
        <is>
          <t>https://headfonics.com/?s=iBasso+DC05</t>
        </is>
      </c>
      <c r="X136" s="49" t="inlineStr">
        <is>
          <t>Portable dongle DAC/amp</t>
        </is>
      </c>
    </row>
    <row r="137">
      <c r="A137" s="44" t="inlineStr">
        <is>
          <t>FiiO</t>
        </is>
      </c>
      <c r="B137" s="44" t="inlineStr">
        <is>
          <t>KA3</t>
        </is>
      </c>
      <c r="C137" s="45" t="n"/>
      <c r="D137" s="192" t="inlineStr">
        <is>
          <t>Non</t>
        </is>
      </c>
      <c r="E137" s="192" t="inlineStr">
        <is>
          <t>Non</t>
        </is>
      </c>
      <c r="F137" s="190" t="inlineStr">
        <is>
          <t>Oui</t>
        </is>
      </c>
      <c r="G137" s="190" t="inlineStr">
        <is>
          <t>Oui</t>
        </is>
      </c>
      <c r="H137" s="190" t="inlineStr">
        <is>
          <t>Non</t>
        </is>
      </c>
      <c r="I137" s="190" t="inlineStr">
        <is>
          <t>Non</t>
        </is>
      </c>
      <c r="J137" s="190" t="inlineStr">
        <is>
          <t>Non</t>
        </is>
      </c>
      <c r="K137" s="190" t="inlineStr">
        <is>
          <t>Non</t>
        </is>
      </c>
      <c r="L137" s="45" t="n"/>
      <c r="M137" s="55" t="n">
        <v>79</v>
      </c>
      <c r="N137" s="44" t="inlineStr">
        <is>
          <t>Portable Amp/DAC (Headfonics)</t>
        </is>
      </c>
      <c r="O137" s="44" t="inlineStr">
        <is>
          <t>Import Headfonics — à enrichir</t>
        </is>
      </c>
      <c r="P137" s="56" t="inlineStr">
        <is>
          <t>https://headfonics.com/category/portable-amps-dacs/page/6/</t>
        </is>
      </c>
      <c r="Q137" s="45" t="inlineStr">
        <is>
          <t>À évaluer</t>
        </is>
      </c>
      <c r="R137" s="45" t="inlineStr">
        <is>
          <t>À évaluer</t>
        </is>
      </c>
      <c r="S137" s="49" t="n"/>
      <c r="T137" s="49" t="inlineStr">
        <is>
          <t>Reader (non relevé)</t>
        </is>
      </c>
      <c r="U137" s="81" t="n">
        <v>44552</v>
      </c>
      <c r="V137" s="49" t="n">
        <v>6</v>
      </c>
      <c r="W137" s="41" t="inlineStr">
        <is>
          <t>https://headfonics.com/?s=FiiO+KA3</t>
        </is>
      </c>
      <c r="X137" s="49" t="inlineStr">
        <is>
          <t>Portable dongle DAC/amp</t>
        </is>
      </c>
    </row>
    <row r="138">
      <c r="A138" s="44" t="inlineStr">
        <is>
          <t>iFi audio</t>
        </is>
      </c>
      <c r="B138" s="44" t="inlineStr">
        <is>
          <t>hip-dac2</t>
        </is>
      </c>
      <c r="C138" s="45" t="n"/>
      <c r="D138" s="192" t="inlineStr">
        <is>
          <t>Oui</t>
        </is>
      </c>
      <c r="E138" s="192" t="inlineStr">
        <is>
          <t>Non</t>
        </is>
      </c>
      <c r="F138" s="190" t="inlineStr">
        <is>
          <t>Oui</t>
        </is>
      </c>
      <c r="G138" s="190" t="inlineStr">
        <is>
          <t>Oui</t>
        </is>
      </c>
      <c r="H138" s="190" t="inlineStr">
        <is>
          <t>Non</t>
        </is>
      </c>
      <c r="I138" s="190" t="inlineStr">
        <is>
          <t>Non</t>
        </is>
      </c>
      <c r="J138" s="190" t="inlineStr">
        <is>
          <t>Non</t>
        </is>
      </c>
      <c r="K138" s="187" t="inlineStr">
        <is>
          <t>Non</t>
        </is>
      </c>
      <c r="L138" s="45" t="n"/>
      <c r="M138" s="55" t="n">
        <v>166</v>
      </c>
      <c r="N138" s="44" t="inlineStr">
        <is>
          <t>Portable Amp/DAC (Headfonics)</t>
        </is>
      </c>
      <c r="O138" s="44" t="inlineStr">
        <is>
          <t>Import Headfonics — à enrichir</t>
        </is>
      </c>
      <c r="P138" s="56" t="inlineStr">
        <is>
          <t>https://headfonics.com/category/portable-amps-dacs/page/7/</t>
        </is>
      </c>
      <c r="Q138" s="45" t="inlineStr">
        <is>
          <t>À évaluer</t>
        </is>
      </c>
      <c r="R138" s="45" t="inlineStr">
        <is>
          <t>À évaluer</t>
        </is>
      </c>
      <c r="S138" s="53" t="n">
        <v>7.7</v>
      </c>
      <c r="T138" s="49" t="inlineStr">
        <is>
          <t>Reader</t>
        </is>
      </c>
      <c r="U138" s="81" t="n">
        <v>44552</v>
      </c>
      <c r="V138" s="49" t="n">
        <v>7</v>
      </c>
      <c r="W138" s="41" t="inlineStr">
        <is>
          <t>https://headfonics.com/?s=iFi+audio+hip-dac2</t>
        </is>
      </c>
      <c r="X138" s="49" t="inlineStr">
        <is>
          <t>Battery portable DAC/amp</t>
        </is>
      </c>
    </row>
    <row r="139">
      <c r="A139" s="44" t="inlineStr">
        <is>
          <t>Hidizs</t>
        </is>
      </c>
      <c r="B139" s="44" t="inlineStr">
        <is>
          <t>S9 Pro Copper</t>
        </is>
      </c>
      <c r="C139" s="45" t="n"/>
      <c r="D139" s="192" t="inlineStr">
        <is>
          <t>Non</t>
        </is>
      </c>
      <c r="E139" s="192" t="inlineStr">
        <is>
          <t>Non</t>
        </is>
      </c>
      <c r="F139" s="190" t="inlineStr">
        <is>
          <t>Oui</t>
        </is>
      </c>
      <c r="G139" s="190" t="inlineStr">
        <is>
          <t>Non</t>
        </is>
      </c>
      <c r="H139" s="190" t="inlineStr">
        <is>
          <t>Oui</t>
        </is>
      </c>
      <c r="I139" s="190" t="inlineStr">
        <is>
          <t>Non</t>
        </is>
      </c>
      <c r="J139" s="190" t="inlineStr">
        <is>
          <t>Non</t>
        </is>
      </c>
      <c r="K139" s="187" t="inlineStr">
        <is>
          <t>Non</t>
        </is>
      </c>
      <c r="L139" s="45" t="n"/>
      <c r="M139" s="55" t="n">
        <v>131</v>
      </c>
      <c r="N139" s="44" t="inlineStr">
        <is>
          <t>Portable Amp/DAC (Headfonics)</t>
        </is>
      </c>
      <c r="O139" s="44" t="inlineStr">
        <is>
          <t>Import Headfonics — à enrichir</t>
        </is>
      </c>
      <c r="P139" s="56" t="inlineStr">
        <is>
          <t>https://headfonics.com/category/portable-amps-dacs/page/7/</t>
        </is>
      </c>
      <c r="Q139" s="45" t="inlineStr">
        <is>
          <t>À évaluer</t>
        </is>
      </c>
      <c r="R139" s="45" t="inlineStr">
        <is>
          <t>À évaluer</t>
        </is>
      </c>
      <c r="S139" s="52" t="n">
        <v>8.1</v>
      </c>
      <c r="T139" s="49" t="inlineStr">
        <is>
          <t>Reader</t>
        </is>
      </c>
      <c r="U139" s="81" t="n">
        <v>44538</v>
      </c>
      <c r="V139" s="49" t="n">
        <v>7</v>
      </c>
      <c r="W139" s="41" t="inlineStr">
        <is>
          <t>https://headfonics.com/?s=Hidizs+S9+Pro+Copper</t>
        </is>
      </c>
      <c r="X139" s="49" t="inlineStr">
        <is>
          <t>Portable dongle DAC/amp</t>
        </is>
      </c>
    </row>
    <row r="140">
      <c r="A140" s="44" t="inlineStr">
        <is>
          <t>Periodic Audio</t>
        </is>
      </c>
      <c r="B140" s="44" t="inlineStr">
        <is>
          <t>Rhodium DAC</t>
        </is>
      </c>
      <c r="C140" s="45" t="n"/>
      <c r="D140" s="45" t="inlineStr">
        <is>
          <t>Non</t>
        </is>
      </c>
      <c r="E140" s="192" t="inlineStr">
        <is>
          <t>Non</t>
        </is>
      </c>
      <c r="F140" s="190" t="inlineStr">
        <is>
          <t>Oui</t>
        </is>
      </c>
      <c r="G140" s="190" t="inlineStr">
        <is>
          <t>Non</t>
        </is>
      </c>
      <c r="H140" s="190" t="inlineStr">
        <is>
          <t>Non</t>
        </is>
      </c>
      <c r="I140" s="190" t="inlineStr">
        <is>
          <t>Non</t>
        </is>
      </c>
      <c r="J140" s="190" t="inlineStr">
        <is>
          <t>Non</t>
        </is>
      </c>
      <c r="K140" s="190" t="inlineStr">
        <is>
          <t>Non</t>
        </is>
      </c>
      <c r="L140" s="45" t="n"/>
      <c r="M140" s="55" t="n">
        <v>43</v>
      </c>
      <c r="N140" s="44" t="inlineStr">
        <is>
          <t>Portable Amp/DAC (Headfonics)</t>
        </is>
      </c>
      <c r="O140" s="44" t="inlineStr">
        <is>
          <t>Import Headfonics — à enrichir</t>
        </is>
      </c>
      <c r="P140" s="56" t="inlineStr">
        <is>
          <t>https://headfonics.com/category/portable-amps-dacs/page/7/</t>
        </is>
      </c>
      <c r="Q140" s="45" t="inlineStr">
        <is>
          <t>À évaluer</t>
        </is>
      </c>
      <c r="R140" s="45" t="inlineStr">
        <is>
          <t>À évaluer</t>
        </is>
      </c>
      <c r="S140" s="54" t="n">
        <v>7.4</v>
      </c>
      <c r="T140" s="49" t="inlineStr">
        <is>
          <t>Reader</t>
        </is>
      </c>
      <c r="U140" s="81" t="n">
        <v>44517</v>
      </c>
      <c r="V140" s="49" t="n">
        <v>7</v>
      </c>
      <c r="W140" s="41" t="inlineStr">
        <is>
          <t>https://headfonics.com/?s=Periodic+Audio+Rhodium+DAC</t>
        </is>
      </c>
      <c r="X140" s="49" t="inlineStr">
        <is>
          <t>Portable dongle DAC</t>
        </is>
      </c>
    </row>
    <row r="141">
      <c r="A141" s="44" t="inlineStr">
        <is>
          <t>Hidizs</t>
        </is>
      </c>
      <c r="B141" s="44" t="inlineStr">
        <is>
          <t>DH80s</t>
        </is>
      </c>
      <c r="C141" s="45" t="n"/>
      <c r="D141" s="192" t="inlineStr">
        <is>
          <t>Oui</t>
        </is>
      </c>
      <c r="E141" s="192" t="inlineStr">
        <is>
          <t>Non</t>
        </is>
      </c>
      <c r="F141" s="190" t="inlineStr">
        <is>
          <t>Oui</t>
        </is>
      </c>
      <c r="G141" s="190" t="inlineStr">
        <is>
          <t>Oui</t>
        </is>
      </c>
      <c r="H141" s="190" t="inlineStr">
        <is>
          <t>Non</t>
        </is>
      </c>
      <c r="I141" s="190" t="inlineStr">
        <is>
          <t>Non</t>
        </is>
      </c>
      <c r="J141" s="190" t="inlineStr">
        <is>
          <t>Non</t>
        </is>
      </c>
      <c r="K141" s="187" t="inlineStr">
        <is>
          <t>Non</t>
        </is>
      </c>
      <c r="L141" s="45" t="n"/>
      <c r="M141" s="55" t="n">
        <v>122</v>
      </c>
      <c r="N141" s="44" t="inlineStr">
        <is>
          <t>Portable Amp/DAC (Headfonics)</t>
        </is>
      </c>
      <c r="O141" s="44" t="inlineStr">
        <is>
          <t>Import Headfonics — à enrichir</t>
        </is>
      </c>
      <c r="P141" s="56" t="inlineStr">
        <is>
          <t>https://headfonics.com/category/portable-amps-dacs/page/7/</t>
        </is>
      </c>
      <c r="Q141" s="45" t="inlineStr">
        <is>
          <t>À évaluer</t>
        </is>
      </c>
      <c r="R141" s="45" t="inlineStr">
        <is>
          <t>À évaluer</t>
        </is>
      </c>
      <c r="S141" s="52" t="n">
        <v>8.1</v>
      </c>
      <c r="T141" s="49" t="inlineStr">
        <is>
          <t>Reader</t>
        </is>
      </c>
      <c r="U141" s="81" t="n">
        <v>44510</v>
      </c>
      <c r="V141" s="49" t="n">
        <v>7</v>
      </c>
      <c r="W141" s="41" t="inlineStr">
        <is>
          <t>https://headfonics.com/?s=Hidizs+DH80s</t>
        </is>
      </c>
      <c r="X141" s="49" t="inlineStr">
        <is>
          <t>Battery portable DAC/amp</t>
        </is>
      </c>
    </row>
    <row r="142">
      <c r="A142" s="44" t="inlineStr">
        <is>
          <t>Questyle</t>
        </is>
      </c>
      <c r="B142" s="44" t="inlineStr">
        <is>
          <t>M12</t>
        </is>
      </c>
      <c r="C142" s="45" t="n"/>
      <c r="D142" s="45" t="inlineStr">
        <is>
          <t>Non</t>
        </is>
      </c>
      <c r="E142" s="192" t="inlineStr">
        <is>
          <t>Non</t>
        </is>
      </c>
      <c r="F142" s="190" t="inlineStr">
        <is>
          <t>Oui</t>
        </is>
      </c>
      <c r="G142" s="190" t="inlineStr">
        <is>
          <t>Non</t>
        </is>
      </c>
      <c r="H142" s="190" t="inlineStr">
        <is>
          <t>Non</t>
        </is>
      </c>
      <c r="I142" s="190" t="inlineStr">
        <is>
          <t>Non</t>
        </is>
      </c>
      <c r="J142" s="190" t="inlineStr">
        <is>
          <t>Non</t>
        </is>
      </c>
      <c r="K142" s="187" t="inlineStr">
        <is>
          <t>Non</t>
        </is>
      </c>
      <c r="L142" s="45" t="n"/>
      <c r="M142" s="55" t="n">
        <v>123</v>
      </c>
      <c r="N142" s="44" t="inlineStr">
        <is>
          <t>Portable Amp/DAC (Headfonics)</t>
        </is>
      </c>
      <c r="O142" s="44" t="inlineStr">
        <is>
          <t>Import Headfonics — à enrichir</t>
        </is>
      </c>
      <c r="P142" s="56" t="inlineStr">
        <is>
          <t>https://headfonics.com/category/portable-amps-dacs/page/7/</t>
        </is>
      </c>
      <c r="Q142" s="45" t="inlineStr">
        <is>
          <t>À évaluer</t>
        </is>
      </c>
      <c r="R142" s="45" t="inlineStr">
        <is>
          <t>À évaluer</t>
        </is>
      </c>
      <c r="S142" s="52" t="n">
        <v>8.1</v>
      </c>
      <c r="T142" s="49" t="inlineStr">
        <is>
          <t>Reader</t>
        </is>
      </c>
      <c r="U142" s="81" t="n">
        <v>44500</v>
      </c>
      <c r="V142" s="49" t="n">
        <v>7</v>
      </c>
      <c r="W142" s="41" t="inlineStr">
        <is>
          <t>https://headfonics.com/?s=Questyle+M12</t>
        </is>
      </c>
      <c r="X142" s="49" t="inlineStr">
        <is>
          <t>Current Mode portable dongle DAC/amp</t>
        </is>
      </c>
    </row>
    <row r="143">
      <c r="A143" s="44" t="inlineStr">
        <is>
          <t>FiiO</t>
        </is>
      </c>
      <c r="B143" s="44" t="inlineStr">
        <is>
          <t>E10K TC</t>
        </is>
      </c>
      <c r="C143" s="45" t="n"/>
      <c r="D143" s="45" t="inlineStr">
        <is>
          <t>Non</t>
        </is>
      </c>
      <c r="E143" s="45" t="inlineStr">
        <is>
          <t>Non</t>
        </is>
      </c>
      <c r="F143" s="190" t="inlineStr">
        <is>
          <t>Oui</t>
        </is>
      </c>
      <c r="G143" s="190" t="inlineStr">
        <is>
          <t>Non</t>
        </is>
      </c>
      <c r="H143" s="190" t="inlineStr">
        <is>
          <t>Non</t>
        </is>
      </c>
      <c r="I143" s="190" t="inlineStr">
        <is>
          <t>Non</t>
        </is>
      </c>
      <c r="J143" s="190" t="inlineStr">
        <is>
          <t>Non</t>
        </is>
      </c>
      <c r="K143" s="187" t="inlineStr">
        <is>
          <t>Non</t>
        </is>
      </c>
      <c r="L143" s="45" t="n"/>
      <c r="M143" s="55" t="n">
        <v>67</v>
      </c>
      <c r="N143" s="44" t="inlineStr">
        <is>
          <t>Portable Amp/DAC (Headfonics)</t>
        </is>
      </c>
      <c r="O143" s="44" t="inlineStr">
        <is>
          <t>Import Headfonics — à enrichir</t>
        </is>
      </c>
      <c r="P143" s="56" t="inlineStr">
        <is>
          <t>https://headfonics.com/category/portable-amps-dacs/page/7/</t>
        </is>
      </c>
      <c r="Q143" s="45" t="inlineStr">
        <is>
          <t>À évaluer</t>
        </is>
      </c>
      <c r="R143" s="45" t="inlineStr">
        <is>
          <t>À évaluer</t>
        </is>
      </c>
      <c r="S143" s="52" t="n">
        <v>8</v>
      </c>
      <c r="T143" s="49" t="inlineStr">
        <is>
          <t>Reader</t>
        </is>
      </c>
      <c r="U143" s="81" t="n">
        <v>44492</v>
      </c>
      <c r="V143" s="49" t="n">
        <v>7</v>
      </c>
      <c r="W143" s="41" t="inlineStr">
        <is>
          <t>https://headfonics.com/?s=FiiO+E10K+TC</t>
        </is>
      </c>
      <c r="X143" s="49" t="inlineStr">
        <is>
          <t>USB DAC/amp</t>
        </is>
      </c>
    </row>
    <row r="144">
      <c r="A144" s="44" t="inlineStr">
        <is>
          <t>Shanling</t>
        </is>
      </c>
      <c r="B144" s="44" t="inlineStr">
        <is>
          <t>UA2</t>
        </is>
      </c>
      <c r="C144" s="45" t="n"/>
      <c r="D144" s="192" t="inlineStr">
        <is>
          <t>Non</t>
        </is>
      </c>
      <c r="E144" s="45" t="inlineStr">
        <is>
          <t>Non</t>
        </is>
      </c>
      <c r="F144" s="190" t="inlineStr">
        <is>
          <t>Oui</t>
        </is>
      </c>
      <c r="G144" s="190" t="inlineStr">
        <is>
          <t>Non</t>
        </is>
      </c>
      <c r="H144" s="190" t="inlineStr">
        <is>
          <t>Oui</t>
        </is>
      </c>
      <c r="I144" s="190" t="inlineStr">
        <is>
          <t>Non</t>
        </is>
      </c>
      <c r="J144" s="190" t="inlineStr">
        <is>
          <t>Non</t>
        </is>
      </c>
      <c r="K144" s="187" t="inlineStr">
        <is>
          <t>Non</t>
        </is>
      </c>
      <c r="L144" s="45" t="n"/>
      <c r="M144" s="55" t="n">
        <v>75</v>
      </c>
      <c r="N144" s="44" t="inlineStr">
        <is>
          <t>Portable Amp/DAC (Headfonics)</t>
        </is>
      </c>
      <c r="O144" s="44" t="inlineStr">
        <is>
          <t>Import Headfonics — à enrichir</t>
        </is>
      </c>
      <c r="P144" s="56" t="inlineStr">
        <is>
          <t>https://headfonics.com/category/portable-amps-dacs/page/7/</t>
        </is>
      </c>
      <c r="Q144" s="45" t="inlineStr">
        <is>
          <t>À évaluer</t>
        </is>
      </c>
      <c r="R144" s="45" t="inlineStr">
        <is>
          <t>À évaluer</t>
        </is>
      </c>
      <c r="S144" s="53" t="n">
        <v>7.8</v>
      </c>
      <c r="T144" s="49" t="inlineStr">
        <is>
          <t>Reader</t>
        </is>
      </c>
      <c r="U144" s="81" t="n">
        <v>44465</v>
      </c>
      <c r="V144" s="49" t="n">
        <v>7</v>
      </c>
      <c r="W144" s="41" t="inlineStr">
        <is>
          <t>https://headfonics.com/?s=Shanling+UA2</t>
        </is>
      </c>
      <c r="X144" s="49" t="inlineStr">
        <is>
          <t>Portable dongle DAC/amp</t>
        </is>
      </c>
    </row>
    <row r="145">
      <c r="A145" s="44" t="inlineStr">
        <is>
          <t>FiiO</t>
        </is>
      </c>
      <c r="B145" s="44" t="inlineStr">
        <is>
          <t>New K3</t>
        </is>
      </c>
      <c r="C145" s="45" t="n"/>
      <c r="D145" s="45" t="inlineStr">
        <is>
          <t>Non</t>
        </is>
      </c>
      <c r="E145" s="192" t="inlineStr">
        <is>
          <t>Non</t>
        </is>
      </c>
      <c r="F145" s="190" t="inlineStr">
        <is>
          <t>Oui</t>
        </is>
      </c>
      <c r="G145" s="190" t="inlineStr">
        <is>
          <t>Non</t>
        </is>
      </c>
      <c r="H145" s="190" t="inlineStr">
        <is>
          <t>Oui</t>
        </is>
      </c>
      <c r="I145" s="190" t="inlineStr">
        <is>
          <t>Non</t>
        </is>
      </c>
      <c r="J145" s="190" t="inlineStr">
        <is>
          <t>Non</t>
        </is>
      </c>
      <c r="K145" s="187" t="inlineStr">
        <is>
          <t>Non</t>
        </is>
      </c>
      <c r="L145" s="45" t="n"/>
      <c r="M145" s="55" t="n">
        <v>105</v>
      </c>
      <c r="N145" s="44" t="inlineStr">
        <is>
          <t>Portable Amp/DAC (Headfonics)</t>
        </is>
      </c>
      <c r="O145" s="44" t="inlineStr">
        <is>
          <t>Import Headfonics — à enrichir</t>
        </is>
      </c>
      <c r="P145" s="56" t="inlineStr">
        <is>
          <t>https://headfonics.com/category/portable-amps-dacs/page/7/</t>
        </is>
      </c>
      <c r="Q145" s="45" t="inlineStr">
        <is>
          <t>À évaluer</t>
        </is>
      </c>
      <c r="R145" s="45" t="inlineStr">
        <is>
          <t>À évaluer</t>
        </is>
      </c>
      <c r="S145" s="52" t="n">
        <v>8</v>
      </c>
      <c r="T145" s="49" t="inlineStr">
        <is>
          <t>Reader</t>
        </is>
      </c>
      <c r="U145" s="81" t="n">
        <v>44464</v>
      </c>
      <c r="V145" s="49" t="n">
        <v>7</v>
      </c>
      <c r="W145" s="41" t="inlineStr">
        <is>
          <t>https://headfonics.com/?s=FiiO+New+K3</t>
        </is>
      </c>
      <c r="X145" s="49" t="inlineStr">
        <is>
          <t>USB DAC/amp</t>
        </is>
      </c>
    </row>
    <row r="146">
      <c r="A146" s="44" t="inlineStr">
        <is>
          <t>ddHiFi</t>
        </is>
      </c>
      <c r="B146" s="44" t="inlineStr">
        <is>
          <t>TC35 Pro Tetris</t>
        </is>
      </c>
      <c r="C146" s="45" t="n"/>
      <c r="D146" s="45" t="inlineStr">
        <is>
          <t>Non</t>
        </is>
      </c>
      <c r="E146" s="192" t="inlineStr">
        <is>
          <t>Non</t>
        </is>
      </c>
      <c r="F146" s="190" t="inlineStr">
        <is>
          <t>Oui</t>
        </is>
      </c>
      <c r="G146" s="190" t="inlineStr">
        <is>
          <t>Non</t>
        </is>
      </c>
      <c r="H146" s="190" t="inlineStr">
        <is>
          <t>Non</t>
        </is>
      </c>
      <c r="I146" s="190" t="inlineStr">
        <is>
          <t>Non</t>
        </is>
      </c>
      <c r="J146" s="190" t="inlineStr">
        <is>
          <t>Non</t>
        </is>
      </c>
      <c r="K146" s="187" t="inlineStr">
        <is>
          <t>Non</t>
        </is>
      </c>
      <c r="L146" s="45" t="n"/>
      <c r="M146" s="55" t="n">
        <v>83</v>
      </c>
      <c r="N146" s="44" t="inlineStr">
        <is>
          <t>Portable Amp/DAC (Headfonics)</t>
        </is>
      </c>
      <c r="O146" s="44" t="inlineStr">
        <is>
          <t>Import Headfonics — à enrichir</t>
        </is>
      </c>
      <c r="P146" s="56" t="inlineStr">
        <is>
          <t>https://headfonics.com/category/portable-amps-dacs/page/7/</t>
        </is>
      </c>
      <c r="Q146" s="45" t="inlineStr">
        <is>
          <t>À évaluer</t>
        </is>
      </c>
      <c r="R146" s="45" t="inlineStr">
        <is>
          <t>À évaluer</t>
        </is>
      </c>
      <c r="S146" s="53" t="n">
        <v>7.9</v>
      </c>
      <c r="T146" s="49" t="inlineStr">
        <is>
          <t>Reader</t>
        </is>
      </c>
      <c r="U146" s="81" t="n">
        <v>44461</v>
      </c>
      <c r="V146" s="49" t="n">
        <v>7</v>
      </c>
      <c r="W146" s="41" t="inlineStr">
        <is>
          <t>https://headfonics.com/?s=ddHiFi+TC35+Pro+Tetris</t>
        </is>
      </c>
      <c r="X146" s="49" t="inlineStr">
        <is>
          <t>Portable USB DAC adapter</t>
        </is>
      </c>
    </row>
    <row r="147">
      <c r="A147" s="44" t="inlineStr">
        <is>
          <t>Helm Audio</t>
        </is>
      </c>
      <c r="B147" s="44" t="inlineStr">
        <is>
          <t>Bolt</t>
        </is>
      </c>
      <c r="C147" s="45" t="n"/>
      <c r="D147" s="45" t="inlineStr">
        <is>
          <t>Non</t>
        </is>
      </c>
      <c r="E147" s="192" t="inlineStr">
        <is>
          <t>Non</t>
        </is>
      </c>
      <c r="F147" s="190" t="inlineStr">
        <is>
          <t>Oui</t>
        </is>
      </c>
      <c r="G147" s="190" t="inlineStr">
        <is>
          <t>Non</t>
        </is>
      </c>
      <c r="H147" s="190" t="inlineStr">
        <is>
          <t>Non</t>
        </is>
      </c>
      <c r="I147" s="190" t="inlineStr">
        <is>
          <t>Non</t>
        </is>
      </c>
      <c r="J147" s="190" t="inlineStr">
        <is>
          <t>Non</t>
        </is>
      </c>
      <c r="K147" s="187" t="inlineStr">
        <is>
          <t>Non</t>
        </is>
      </c>
      <c r="L147" s="45" t="n"/>
      <c r="M147" s="55" t="n">
        <v>88</v>
      </c>
      <c r="N147" s="44" t="inlineStr">
        <is>
          <t>Portable Amp/DAC (Headfonics)</t>
        </is>
      </c>
      <c r="O147" s="44" t="inlineStr">
        <is>
          <t>Import Headfonics — à enrichir</t>
        </is>
      </c>
      <c r="P147" s="56" t="inlineStr">
        <is>
          <t>https://headfonics.com/category/portable-amps-dacs/page/7/</t>
        </is>
      </c>
      <c r="Q147" s="45" t="inlineStr">
        <is>
          <t>À évaluer</t>
        </is>
      </c>
      <c r="R147" s="45" t="inlineStr">
        <is>
          <t>À évaluer</t>
        </is>
      </c>
      <c r="S147" s="52" t="n">
        <v>8</v>
      </c>
      <c r="T147" s="49" t="inlineStr">
        <is>
          <t>Reader</t>
        </is>
      </c>
      <c r="U147" s="81" t="n">
        <v>44457</v>
      </c>
      <c r="V147" s="49" t="n">
        <v>7</v>
      </c>
      <c r="W147" s="41" t="inlineStr">
        <is>
          <t>https://headfonics.com/?s=Helm+Audio+Bolt</t>
        </is>
      </c>
      <c r="X147" s="49" t="inlineStr">
        <is>
          <t>Portable dongle DAC/amp</t>
        </is>
      </c>
    </row>
    <row r="148">
      <c r="A148" s="44" t="inlineStr">
        <is>
          <t>Luxury &amp; Precision</t>
        </is>
      </c>
      <c r="B148" s="44" t="inlineStr">
        <is>
          <t>W2</t>
        </is>
      </c>
      <c r="C148" s="45" t="n"/>
      <c r="D148" s="45" t="inlineStr">
        <is>
          <t>Non</t>
        </is>
      </c>
      <c r="E148" s="45" t="inlineStr">
        <is>
          <t>Non</t>
        </is>
      </c>
      <c r="F148" s="190" t="inlineStr">
        <is>
          <t>Oui</t>
        </is>
      </c>
      <c r="G148" s="190" t="inlineStr">
        <is>
          <t>Oui</t>
        </is>
      </c>
      <c r="H148" s="190" t="inlineStr">
        <is>
          <t>Non</t>
        </is>
      </c>
      <c r="I148" s="190" t="inlineStr">
        <is>
          <t>Non</t>
        </is>
      </c>
      <c r="J148" s="190" t="inlineStr">
        <is>
          <t>Non</t>
        </is>
      </c>
      <c r="K148" s="187" t="inlineStr">
        <is>
          <t>Non</t>
        </is>
      </c>
      <c r="L148" s="45" t="n"/>
      <c r="M148" s="55" t="n">
        <v>263</v>
      </c>
      <c r="N148" s="44" t="inlineStr">
        <is>
          <t>Portable Amp/DAC (Headfonics)</t>
        </is>
      </c>
      <c r="O148" s="44" t="inlineStr">
        <is>
          <t>Import Headfonics — à enrichir</t>
        </is>
      </c>
      <c r="P148" s="56" t="inlineStr">
        <is>
          <t>https://headfonics.com/category/portable-amps-dacs/page/7/</t>
        </is>
      </c>
      <c r="Q148" s="45" t="inlineStr">
        <is>
          <t>À évaluer</t>
        </is>
      </c>
      <c r="R148" s="45" t="inlineStr">
        <is>
          <t>À évaluer</t>
        </is>
      </c>
      <c r="S148" s="52" t="n">
        <v>8.300000000000001</v>
      </c>
      <c r="T148" s="49" t="inlineStr">
        <is>
          <t>Reader</t>
        </is>
      </c>
      <c r="U148" s="81" t="n">
        <v>44401</v>
      </c>
      <c r="V148" s="49" t="n">
        <v>7</v>
      </c>
      <c r="W148" s="41" t="inlineStr">
        <is>
          <t>https://headfonics.com/?s=Luxury+%26+Precision+W2</t>
        </is>
      </c>
      <c r="X148" s="49" t="inlineStr">
        <is>
          <t>Portable dongle DAC/amp</t>
        </is>
      </c>
    </row>
    <row r="149">
      <c r="A149" s="44" t="inlineStr">
        <is>
          <t>Hidizs</t>
        </is>
      </c>
      <c r="B149" s="44" t="inlineStr">
        <is>
          <t>S9 Pro</t>
        </is>
      </c>
      <c r="C149" s="45" t="n"/>
      <c r="D149" s="192" t="inlineStr">
        <is>
          <t>Non</t>
        </is>
      </c>
      <c r="E149" s="192" t="inlineStr">
        <is>
          <t>Non</t>
        </is>
      </c>
      <c r="F149" s="190" t="inlineStr">
        <is>
          <t>Oui</t>
        </is>
      </c>
      <c r="G149" s="190" t="inlineStr">
        <is>
          <t>Non</t>
        </is>
      </c>
      <c r="H149" s="190" t="inlineStr">
        <is>
          <t>Oui</t>
        </is>
      </c>
      <c r="I149" s="190" t="inlineStr">
        <is>
          <t>Non</t>
        </is>
      </c>
      <c r="J149" s="190" t="inlineStr">
        <is>
          <t>Non</t>
        </is>
      </c>
      <c r="K149" s="187" t="inlineStr">
        <is>
          <t>Non</t>
        </is>
      </c>
      <c r="L149" s="45" t="n"/>
      <c r="M149" s="55" t="n">
        <v>99</v>
      </c>
      <c r="N149" s="44" t="inlineStr">
        <is>
          <t>Portable Amp/DAC (Headfonics)</t>
        </is>
      </c>
      <c r="O149" s="44" t="inlineStr">
        <is>
          <t>Import Headfonics — à enrichir</t>
        </is>
      </c>
      <c r="P149" s="56" t="inlineStr">
        <is>
          <t>https://headfonics.com/category/portable-amps-dacs/page/7/</t>
        </is>
      </c>
      <c r="Q149" s="45" t="inlineStr">
        <is>
          <t>À évaluer</t>
        </is>
      </c>
      <c r="R149" s="45" t="inlineStr">
        <is>
          <t>À évaluer</t>
        </is>
      </c>
      <c r="S149" s="52" t="n">
        <v>8</v>
      </c>
      <c r="T149" s="49" t="inlineStr">
        <is>
          <t>Reader</t>
        </is>
      </c>
      <c r="U149" s="81" t="n">
        <v>44394</v>
      </c>
      <c r="V149" s="49" t="n">
        <v>7</v>
      </c>
      <c r="W149" s="41" t="inlineStr">
        <is>
          <t>https://headfonics.com/?s=Hidizs+S9+Pro</t>
        </is>
      </c>
      <c r="X149" s="49" t="inlineStr">
        <is>
          <t>Portable dongle DAC/amp</t>
        </is>
      </c>
    </row>
    <row r="150">
      <c r="A150" s="44" t="inlineStr">
        <is>
          <t>Hidizs</t>
        </is>
      </c>
      <c r="B150" s="44" t="inlineStr">
        <is>
          <t>S3 Pro</t>
        </is>
      </c>
      <c r="C150" s="45" t="n"/>
      <c r="D150" s="45" t="inlineStr">
        <is>
          <t>Non</t>
        </is>
      </c>
      <c r="E150" s="45" t="inlineStr">
        <is>
          <t>Non</t>
        </is>
      </c>
      <c r="F150" s="190" t="inlineStr">
        <is>
          <t>Oui</t>
        </is>
      </c>
      <c r="G150" s="190" t="inlineStr">
        <is>
          <t>Non</t>
        </is>
      </c>
      <c r="H150" s="190" t="inlineStr">
        <is>
          <t>Non</t>
        </is>
      </c>
      <c r="I150" s="190" t="inlineStr">
        <is>
          <t>Non</t>
        </is>
      </c>
      <c r="J150" s="190" t="inlineStr">
        <is>
          <t>Non</t>
        </is>
      </c>
      <c r="K150" s="187" t="inlineStr">
        <is>
          <t>Non</t>
        </is>
      </c>
      <c r="L150" s="45" t="n"/>
      <c r="M150" s="55" t="n">
        <v>61</v>
      </c>
      <c r="N150" s="44" t="inlineStr">
        <is>
          <t>Portable Amp/DAC (Headfonics)</t>
        </is>
      </c>
      <c r="O150" s="44" t="inlineStr">
        <is>
          <t>Import Headfonics — à enrichir</t>
        </is>
      </c>
      <c r="P150" s="56" t="inlineStr">
        <is>
          <t>https://headfonics.com/category/portable-amps-dacs/page/7/</t>
        </is>
      </c>
      <c r="Q150" s="45" t="inlineStr">
        <is>
          <t>À évaluer</t>
        </is>
      </c>
      <c r="R150" s="45" t="inlineStr">
        <is>
          <t>À évaluer</t>
        </is>
      </c>
      <c r="S150" s="49" t="n"/>
      <c r="T150" s="49" t="inlineStr">
        <is>
          <t>Reader (non relevé)</t>
        </is>
      </c>
      <c r="U150" s="81" t="n">
        <v>44384</v>
      </c>
      <c r="V150" s="49" t="n">
        <v>7</v>
      </c>
      <c r="W150" s="41" t="inlineStr">
        <is>
          <t>https://headfonics.com/?s=Hidizs+S3+Pro</t>
        </is>
      </c>
      <c r="X150" s="49" t="inlineStr">
        <is>
          <t>Portable dongle DAC/amp</t>
        </is>
      </c>
    </row>
    <row r="151">
      <c r="A151" s="44" t="inlineStr">
        <is>
          <t>iFi audio</t>
        </is>
      </c>
      <c r="B151" s="44" t="inlineStr">
        <is>
          <t>iDSD Diablo</t>
        </is>
      </c>
      <c r="C151" s="45" t="n"/>
      <c r="D151" s="192" t="inlineStr">
        <is>
          <t>Oui</t>
        </is>
      </c>
      <c r="E151" s="192" t="inlineStr">
        <is>
          <t>Non</t>
        </is>
      </c>
      <c r="F151" s="190" t="inlineStr">
        <is>
          <t>Non</t>
        </is>
      </c>
      <c r="G151" s="190" t="inlineStr">
        <is>
          <t>Oui</t>
        </is>
      </c>
      <c r="H151" s="190" t="inlineStr">
        <is>
          <t>Non</t>
        </is>
      </c>
      <c r="I151" s="190" t="inlineStr">
        <is>
          <t>Oui</t>
        </is>
      </c>
      <c r="J151" s="190" t="inlineStr">
        <is>
          <t>Non</t>
        </is>
      </c>
      <c r="K151" s="190" t="inlineStr">
        <is>
          <t>Non</t>
        </is>
      </c>
      <c r="L151" s="45" t="n"/>
      <c r="M151" s="55" t="n">
        <v>790</v>
      </c>
      <c r="N151" s="44" t="inlineStr">
        <is>
          <t>Portable Amp/DAC (Headfonics)</t>
        </is>
      </c>
      <c r="O151" s="44" t="inlineStr">
        <is>
          <t>Import Headfonics — à enrichir</t>
        </is>
      </c>
      <c r="P151" s="56" t="inlineStr">
        <is>
          <t>https://headfonics.com/category/portable-amps-dacs/page/7/</t>
        </is>
      </c>
      <c r="Q151" s="45" t="inlineStr">
        <is>
          <t>À évaluer</t>
        </is>
      </c>
      <c r="R151" s="45" t="inlineStr">
        <is>
          <t>À évaluer</t>
        </is>
      </c>
      <c r="S151" s="49" t="n"/>
      <c r="T151" s="49" t="inlineStr">
        <is>
          <t>Reader (non relevé)</t>
        </is>
      </c>
      <c r="U151" s="81" t="n">
        <v>44381</v>
      </c>
      <c r="V151" s="49" t="n">
        <v>7</v>
      </c>
      <c r="W151" s="41" t="inlineStr">
        <is>
          <t>https://headfonics.com/?s=iFi+audio+iDSD+Diablo</t>
        </is>
      </c>
      <c r="X151" s="49" t="inlineStr">
        <is>
          <t>High-power battery portable DAC/amp</t>
        </is>
      </c>
    </row>
    <row r="152">
      <c r="A152" s="44" t="inlineStr">
        <is>
          <t>Phatlab</t>
        </is>
      </c>
      <c r="B152" s="44" t="inlineStr">
        <is>
          <t>Chimera</t>
        </is>
      </c>
      <c r="C152" s="45" t="n"/>
      <c r="D152" s="192" t="inlineStr">
        <is>
          <t>Oui</t>
        </is>
      </c>
      <c r="E152" s="45" t="inlineStr">
        <is>
          <t>Non</t>
        </is>
      </c>
      <c r="F152" s="190" t="inlineStr">
        <is>
          <t>Oui</t>
        </is>
      </c>
      <c r="G152" s="190" t="inlineStr">
        <is>
          <t>Oui</t>
        </is>
      </c>
      <c r="H152" s="190" t="inlineStr">
        <is>
          <t>Non</t>
        </is>
      </c>
      <c r="I152" s="190" t="inlineStr">
        <is>
          <t>Non</t>
        </is>
      </c>
      <c r="J152" s="190" t="inlineStr">
        <is>
          <t>Non</t>
        </is>
      </c>
      <c r="K152" s="187" t="inlineStr">
        <is>
          <t>Non</t>
        </is>
      </c>
      <c r="L152" s="45" t="n"/>
      <c r="M152" s="55" t="n">
        <v>787</v>
      </c>
      <c r="N152" s="44" t="inlineStr">
        <is>
          <t>Portable Amp/DAC (Headfonics)</t>
        </is>
      </c>
      <c r="O152" s="44" t="inlineStr">
        <is>
          <t>Import Headfonics — à enrichir</t>
        </is>
      </c>
      <c r="P152" s="56" t="inlineStr">
        <is>
          <t>https://headfonics.com/category/portable-amps-dacs/page/7/</t>
        </is>
      </c>
      <c r="Q152" s="45" t="inlineStr">
        <is>
          <t>À évaluer</t>
        </is>
      </c>
      <c r="R152" s="45" t="inlineStr">
        <is>
          <t>À évaluer</t>
        </is>
      </c>
      <c r="S152" s="52" t="n">
        <v>8.5</v>
      </c>
      <c r="T152" s="49" t="inlineStr">
        <is>
          <t>Reader</t>
        </is>
      </c>
      <c r="U152" s="81" t="n">
        <v>44377</v>
      </c>
      <c r="V152" s="49" t="n">
        <v>7</v>
      </c>
      <c r="W152" s="41" t="inlineStr">
        <is>
          <t>https://headfonics.com/?s=Phatlab+Chimera</t>
        </is>
      </c>
      <c r="X152" s="49" t="inlineStr">
        <is>
          <t>Portable headphone amplifier</t>
        </is>
      </c>
    </row>
    <row r="153">
      <c r="A153" s="44" t="inlineStr">
        <is>
          <t>HiBy</t>
        </is>
      </c>
      <c r="B153" s="44" t="inlineStr">
        <is>
          <t>FC3</t>
        </is>
      </c>
      <c r="C153" s="45" t="n"/>
      <c r="D153" s="192" t="inlineStr">
        <is>
          <t>Non</t>
        </is>
      </c>
      <c r="E153" s="192" t="inlineStr">
        <is>
          <t>Non</t>
        </is>
      </c>
      <c r="F153" s="190" t="inlineStr">
        <is>
          <t>Oui</t>
        </is>
      </c>
      <c r="G153" s="190" t="inlineStr">
        <is>
          <t>Non</t>
        </is>
      </c>
      <c r="H153" s="190" t="inlineStr">
        <is>
          <t>Non</t>
        </is>
      </c>
      <c r="I153" s="190" t="inlineStr">
        <is>
          <t>Non</t>
        </is>
      </c>
      <c r="J153" s="190" t="inlineStr">
        <is>
          <t>Non</t>
        </is>
      </c>
      <c r="K153" s="187" t="inlineStr">
        <is>
          <t>Non</t>
        </is>
      </c>
      <c r="L153" s="45" t="n"/>
      <c r="M153" s="55" t="n">
        <v>61</v>
      </c>
      <c r="N153" s="44" t="inlineStr">
        <is>
          <t>Portable Amp/DAC (Headfonics)</t>
        </is>
      </c>
      <c r="O153" s="44" t="inlineStr">
        <is>
          <t>Import Headfonics — à enrichir</t>
        </is>
      </c>
      <c r="P153" s="56" t="inlineStr">
        <is>
          <t>https://headfonics.com/category/portable-amps-dacs/page/7/</t>
        </is>
      </c>
      <c r="Q153" s="45" t="inlineStr">
        <is>
          <t>À évaluer</t>
        </is>
      </c>
      <c r="R153" s="45" t="inlineStr">
        <is>
          <t>À évaluer</t>
        </is>
      </c>
      <c r="S153" s="53" t="n">
        <v>7.8</v>
      </c>
      <c r="T153" s="49" t="inlineStr">
        <is>
          <t>Reader</t>
        </is>
      </c>
      <c r="U153" s="81" t="n">
        <v>44363</v>
      </c>
      <c r="V153" s="49" t="n">
        <v>7</v>
      </c>
      <c r="W153" s="41" t="inlineStr">
        <is>
          <t>https://headfonics.com/?s=HiBy+FC3</t>
        </is>
      </c>
      <c r="X153" s="49" t="inlineStr">
        <is>
          <t>Portable dongle DAC/amp</t>
        </is>
      </c>
    </row>
    <row r="154">
      <c r="A154" s="44" t="inlineStr">
        <is>
          <t>Khadas</t>
        </is>
      </c>
      <c r="B154" s="44" t="inlineStr">
        <is>
          <t>Tone2 Pro</t>
        </is>
      </c>
      <c r="C154" s="45" t="n"/>
      <c r="D154" s="192" t="inlineStr">
        <is>
          <t>Non</t>
        </is>
      </c>
      <c r="E154" s="192" t="inlineStr">
        <is>
          <t>Non</t>
        </is>
      </c>
      <c r="F154" s="190" t="inlineStr">
        <is>
          <t>Oui</t>
        </is>
      </c>
      <c r="G154" s="190" t="inlineStr">
        <is>
          <t>Oui</t>
        </is>
      </c>
      <c r="H154" s="190" t="inlineStr">
        <is>
          <t>Non</t>
        </is>
      </c>
      <c r="I154" s="190" t="inlineStr">
        <is>
          <t>Non</t>
        </is>
      </c>
      <c r="J154" s="190" t="inlineStr">
        <is>
          <t>Non</t>
        </is>
      </c>
      <c r="K154" s="187" t="inlineStr">
        <is>
          <t>Non</t>
        </is>
      </c>
      <c r="L154" s="45" t="n"/>
      <c r="M154" s="55" t="n">
        <v>176</v>
      </c>
      <c r="N154" s="44" t="inlineStr">
        <is>
          <t>Portable Amp/DAC (Headfonics)</t>
        </is>
      </c>
      <c r="O154" s="44" t="inlineStr">
        <is>
          <t>Import Headfonics — à enrichir</t>
        </is>
      </c>
      <c r="P154" s="56" t="inlineStr">
        <is>
          <t>https://headfonics.com/category/portable-amps-dacs/page/7/</t>
        </is>
      </c>
      <c r="Q154" s="45" t="inlineStr">
        <is>
          <t>À évaluer</t>
        </is>
      </c>
      <c r="R154" s="45" t="inlineStr">
        <is>
          <t>À évaluer</t>
        </is>
      </c>
      <c r="S154" s="52" t="n">
        <v>8.1</v>
      </c>
      <c r="T154" s="49" t="inlineStr">
        <is>
          <t>Reader</t>
        </is>
      </c>
      <c r="U154" s="81" t="n">
        <v>44302</v>
      </c>
      <c r="V154" s="49" t="n">
        <v>7</v>
      </c>
      <c r="W154" s="41" t="inlineStr">
        <is>
          <t>https://headfonics.com/?s=Khadas+Tone2+Pro</t>
        </is>
      </c>
      <c r="X154" s="49" t="inlineStr">
        <is>
          <t>Portable/desktop DAC/amp</t>
        </is>
      </c>
    </row>
    <row r="155">
      <c r="A155" s="44" t="inlineStr">
        <is>
          <t>Hidizs</t>
        </is>
      </c>
      <c r="B155" s="44" t="inlineStr">
        <is>
          <t>DH80</t>
        </is>
      </c>
      <c r="C155" s="45" t="n"/>
      <c r="D155" s="192" t="inlineStr">
        <is>
          <t>Oui</t>
        </is>
      </c>
      <c r="E155" s="45" t="inlineStr">
        <is>
          <t>Non</t>
        </is>
      </c>
      <c r="F155" s="190" t="inlineStr">
        <is>
          <t>Oui</t>
        </is>
      </c>
      <c r="G155" s="190" t="inlineStr">
        <is>
          <t>Oui</t>
        </is>
      </c>
      <c r="H155" s="190" t="inlineStr">
        <is>
          <t>Non</t>
        </is>
      </c>
      <c r="I155" s="190" t="inlineStr">
        <is>
          <t>Non</t>
        </is>
      </c>
      <c r="J155" s="190" t="inlineStr">
        <is>
          <t>Non</t>
        </is>
      </c>
      <c r="K155" s="187" t="inlineStr">
        <is>
          <t>Non</t>
        </is>
      </c>
      <c r="L155" s="45" t="n"/>
      <c r="M155" s="55" t="n">
        <v>122</v>
      </c>
      <c r="N155" s="44" t="inlineStr">
        <is>
          <t>Portable Amp/DAC (Headfonics)</t>
        </is>
      </c>
      <c r="O155" s="44" t="inlineStr">
        <is>
          <t>Import Headfonics — à enrichir</t>
        </is>
      </c>
      <c r="P155" s="56" t="inlineStr">
        <is>
          <t>https://headfonics.com/category/portable-amps-dacs/page/7/</t>
        </is>
      </c>
      <c r="Q155" s="45" t="inlineStr">
        <is>
          <t>À évaluer</t>
        </is>
      </c>
      <c r="R155" s="45" t="inlineStr">
        <is>
          <t>À évaluer</t>
        </is>
      </c>
      <c r="S155" s="52" t="n">
        <v>8.1</v>
      </c>
      <c r="T155" s="49" t="inlineStr">
        <is>
          <t>Reader</t>
        </is>
      </c>
      <c r="U155" s="81" t="n">
        <v>44300</v>
      </c>
      <c r="V155" s="49" t="n">
        <v>7</v>
      </c>
      <c r="W155" s="41" t="inlineStr">
        <is>
          <t>https://headfonics.com/?s=Hidizs+DH80</t>
        </is>
      </c>
      <c r="X155" s="49" t="inlineStr">
        <is>
          <t>Battery portable DAC/amp</t>
        </is>
      </c>
    </row>
    <row r="156">
      <c r="A156" s="44" t="inlineStr">
        <is>
          <t>iBasso</t>
        </is>
      </c>
      <c r="B156" s="44" t="inlineStr">
        <is>
          <t>DC04</t>
        </is>
      </c>
      <c r="C156" s="45" t="n"/>
      <c r="D156" s="192" t="inlineStr">
        <is>
          <t>Non</t>
        </is>
      </c>
      <c r="E156" s="45" t="inlineStr">
        <is>
          <t>Non</t>
        </is>
      </c>
      <c r="F156" s="190" t="inlineStr">
        <is>
          <t>Non</t>
        </is>
      </c>
      <c r="G156" s="190" t="inlineStr">
        <is>
          <t>Oui</t>
        </is>
      </c>
      <c r="H156" s="190" t="inlineStr">
        <is>
          <t>Non</t>
        </is>
      </c>
      <c r="I156" s="190" t="inlineStr">
        <is>
          <t>Non</t>
        </is>
      </c>
      <c r="J156" s="190" t="inlineStr">
        <is>
          <t>Non</t>
        </is>
      </c>
      <c r="K156" s="187" t="inlineStr">
        <is>
          <t>Non</t>
        </is>
      </c>
      <c r="L156" s="45" t="n"/>
      <c r="M156" s="55" t="n">
        <v>66</v>
      </c>
      <c r="N156" s="44" t="inlineStr">
        <is>
          <t>Portable Amp/DAC (Headfonics)</t>
        </is>
      </c>
      <c r="O156" s="44" t="inlineStr">
        <is>
          <t>Import Headfonics — à enrichir</t>
        </is>
      </c>
      <c r="P156" s="56" t="inlineStr">
        <is>
          <t>https://headfonics.com/category/portable-amps-dacs/page/7/</t>
        </is>
      </c>
      <c r="Q156" s="45" t="inlineStr">
        <is>
          <t>À évaluer</t>
        </is>
      </c>
      <c r="R156" s="45" t="inlineStr">
        <is>
          <t>À évaluer</t>
        </is>
      </c>
      <c r="S156" s="52" t="n">
        <v>8</v>
      </c>
      <c r="T156" s="49" t="inlineStr">
        <is>
          <t>Reader</t>
        </is>
      </c>
      <c r="U156" s="81" t="n">
        <v>44296</v>
      </c>
      <c r="V156" s="49" t="n">
        <v>7</v>
      </c>
      <c r="W156" s="41" t="inlineStr">
        <is>
          <t>https://headfonics.com/?s=iBasso+DC04</t>
        </is>
      </c>
      <c r="X156" s="49" t="inlineStr">
        <is>
          <t>Portable dongle DAC/amp</t>
        </is>
      </c>
    </row>
    <row r="157">
      <c r="A157" s="44" t="inlineStr">
        <is>
          <t>HiBy</t>
        </is>
      </c>
      <c r="B157" s="44" t="inlineStr">
        <is>
          <t>FD1 &amp; Beans</t>
        </is>
      </c>
      <c r="C157" s="45" t="n"/>
      <c r="D157" s="192" t="inlineStr">
        <is>
          <t>Non</t>
        </is>
      </c>
      <c r="E157" s="45" t="inlineStr">
        <is>
          <t>Non</t>
        </is>
      </c>
      <c r="F157" s="190" t="inlineStr">
        <is>
          <t>Oui</t>
        </is>
      </c>
      <c r="G157" s="190" t="inlineStr">
        <is>
          <t>Non</t>
        </is>
      </c>
      <c r="H157" s="190" t="inlineStr">
        <is>
          <t>Oui</t>
        </is>
      </c>
      <c r="I157" s="190" t="inlineStr">
        <is>
          <t>Non</t>
        </is>
      </c>
      <c r="J157" s="190" t="inlineStr">
        <is>
          <t>Non</t>
        </is>
      </c>
      <c r="K157" s="187" t="inlineStr">
        <is>
          <t>Non</t>
        </is>
      </c>
      <c r="L157" s="45" t="n"/>
      <c r="M157" s="55" t="n">
        <v>52</v>
      </c>
      <c r="N157" s="44" t="inlineStr">
        <is>
          <t>Portable Amp/DAC (Headfonics)</t>
        </is>
      </c>
      <c r="O157" s="44" t="inlineStr">
        <is>
          <t>Import Headfonics — à enrichir</t>
        </is>
      </c>
      <c r="P157" s="56" t="inlineStr">
        <is>
          <t>https://headfonics.com/category/portable-amps-dacs/page/7/</t>
        </is>
      </c>
      <c r="Q157" s="45" t="inlineStr">
        <is>
          <t>À évaluer</t>
        </is>
      </c>
      <c r="R157" s="45" t="inlineStr">
        <is>
          <t>À évaluer</t>
        </is>
      </c>
      <c r="S157" s="49" t="n"/>
      <c r="T157" s="49" t="inlineStr">
        <is>
          <t>Reader (non relevé)</t>
        </is>
      </c>
      <c r="U157" s="81" t="n">
        <v>44288</v>
      </c>
      <c r="V157" s="49" t="n">
        <v>7</v>
      </c>
      <c r="W157" s="41" t="inlineStr">
        <is>
          <t>https://headfonics.com/?s=HiBy+FD1+%26+Beans</t>
        </is>
      </c>
      <c r="X157" s="49" t="inlineStr">
        <is>
          <t>Portable DAC/amp bundle</t>
        </is>
      </c>
    </row>
    <row r="158">
      <c r="A158" s="44" t="inlineStr">
        <is>
          <t>iFi audio</t>
        </is>
      </c>
      <c r="B158" s="44" t="inlineStr">
        <is>
          <t>iDSD Valkyrie</t>
        </is>
      </c>
      <c r="C158" s="45" t="inlineStr">
        <is>
          <t>Burr-Brown; PCM 32/768; DSD512</t>
        </is>
      </c>
      <c r="D158" s="192" t="inlineStr">
        <is>
          <t>Oui</t>
        </is>
      </c>
      <c r="E158" s="192" t="inlineStr">
        <is>
          <t>Oui</t>
        </is>
      </c>
      <c r="F158" s="190" t="inlineStr">
        <is>
          <t>Oui</t>
        </is>
      </c>
      <c r="G158" s="190" t="inlineStr">
        <is>
          <t>Oui</t>
        </is>
      </c>
      <c r="H158" s="190" t="inlineStr">
        <is>
          <t>Non</t>
        </is>
      </c>
      <c r="I158" s="190" t="inlineStr">
        <is>
          <t>Non</t>
        </is>
      </c>
      <c r="J158" s="190" t="inlineStr">
        <is>
          <t>Non</t>
        </is>
      </c>
      <c r="K158" s="187" t="inlineStr">
        <is>
          <t>Non</t>
        </is>
      </c>
      <c r="L158" s="45" t="inlineStr">
        <is>
          <t>À confirmer</t>
        </is>
      </c>
      <c r="M158" s="55" t="n">
        <v>1669</v>
      </c>
      <c r="N158" s="44" t="inlineStr">
        <is>
          <t>DAC / ampli portable</t>
        </is>
      </c>
      <c r="O158" s="44" t="inlineStr">
        <is>
          <t>À analyser</t>
        </is>
      </c>
      <c r="P158" s="56" t="inlineStr">
        <is>
          <t>https://www.audiophonics.fr/fr/dac-portables/ifi-audio-idsd-valkyrie-noir-p-21756.html</t>
        </is>
      </c>
      <c r="Q158" s="45" t="inlineStr">
        <is>
          <t>À analyser</t>
        </is>
      </c>
      <c r="R158" s="45" t="inlineStr">
        <is>
          <t>À évaluer selon ton cahier des charges</t>
        </is>
      </c>
      <c r="S158" s="49" t="n"/>
      <c r="T158" s="49" t="n"/>
      <c r="U158" s="81" t="n"/>
      <c r="V158" s="49" t="n"/>
      <c r="W158" s="41" t="n"/>
      <c r="X158" s="49" t="n"/>
    </row>
    <row r="159">
      <c r="A159" s="44" t="inlineStr">
        <is>
          <t>FangSound</t>
        </is>
      </c>
      <c r="B159" s="44" t="inlineStr">
        <is>
          <t>Prometheus</t>
        </is>
      </c>
      <c r="C159" s="45" t="inlineStr">
        <is>
          <t>ES9039PRO; PCM 32/768</t>
        </is>
      </c>
      <c r="D159" s="192" t="inlineStr">
        <is>
          <t>Non</t>
        </is>
      </c>
      <c r="E159" s="192" t="inlineStr">
        <is>
          <t>Non</t>
        </is>
      </c>
      <c r="F159" s="190" t="inlineStr">
        <is>
          <t>Oui</t>
        </is>
      </c>
      <c r="G159" s="190" t="inlineStr">
        <is>
          <t>Oui</t>
        </is>
      </c>
      <c r="H159" s="190" t="inlineStr">
        <is>
          <t>Non</t>
        </is>
      </c>
      <c r="I159" s="190" t="inlineStr">
        <is>
          <t>Non</t>
        </is>
      </c>
      <c r="J159" s="190" t="inlineStr">
        <is>
          <t>Non</t>
        </is>
      </c>
      <c r="K159" s="187" t="inlineStr">
        <is>
          <t>Non</t>
        </is>
      </c>
      <c r="L159" s="45" t="inlineStr">
        <is>
          <t>À confirmer</t>
        </is>
      </c>
      <c r="M159" s="55" t="n">
        <v>559</v>
      </c>
      <c r="N159" s="44" t="inlineStr">
        <is>
          <t>DAC / ampli portable</t>
        </is>
      </c>
      <c r="O159" s="44" t="inlineStr">
        <is>
          <t>À analyser</t>
        </is>
      </c>
      <c r="P159" s="56" t="inlineStr">
        <is>
          <t>https://www.audiophonics.fr/fr/dac-portables/fangsound-prometheus-p-21765.html</t>
        </is>
      </c>
      <c r="Q159" s="45" t="inlineStr">
        <is>
          <t>À analyser</t>
        </is>
      </c>
      <c r="R159" s="45" t="inlineStr">
        <is>
          <t>À évaluer selon ton cahier des charges</t>
        </is>
      </c>
      <c r="S159" s="49" t="n"/>
      <c r="T159" s="49" t="n"/>
      <c r="U159" s="81" t="n"/>
      <c r="V159" s="49" t="n"/>
      <c r="W159" s="41" t="n"/>
      <c r="X159" s="49" t="n"/>
    </row>
    <row r="160">
      <c r="A160" s="44" t="inlineStr">
        <is>
          <t>xDuoo</t>
        </is>
      </c>
      <c r="B160" s="44" t="inlineStr">
        <is>
          <t>XD05T</t>
        </is>
      </c>
      <c r="C160" s="45" t="inlineStr">
        <is>
          <t>2x ES9039Q2M; tubes + transistors; BT 5.1; jusqu’à 1500 mW</t>
        </is>
      </c>
      <c r="D160" s="192" t="inlineStr">
        <is>
          <t>Oui</t>
        </is>
      </c>
      <c r="E160" s="192" t="inlineStr">
        <is>
          <t>Oui</t>
        </is>
      </c>
      <c r="F160" s="190" t="inlineStr">
        <is>
          <t>Non</t>
        </is>
      </c>
      <c r="G160" s="190" t="inlineStr">
        <is>
          <t>Oui</t>
        </is>
      </c>
      <c r="H160" s="190" t="inlineStr">
        <is>
          <t>Non</t>
        </is>
      </c>
      <c r="I160" s="190" t="inlineStr">
        <is>
          <t>Oui</t>
        </is>
      </c>
      <c r="J160" s="190" t="inlineStr">
        <is>
          <t>Non</t>
        </is>
      </c>
      <c r="K160" s="187" t="inlineStr">
        <is>
          <t>Non</t>
        </is>
      </c>
      <c r="L160" s="45" t="inlineStr">
        <is>
          <t>À confirmer</t>
        </is>
      </c>
      <c r="M160" s="55" t="n">
        <v>549</v>
      </c>
      <c r="N160" s="44" t="inlineStr">
        <is>
          <t>DAC / ampli portable</t>
        </is>
      </c>
      <c r="O160" s="44" t="inlineStr">
        <is>
          <t>À analyser</t>
        </is>
      </c>
      <c r="P160" s="56" t="inlineStr">
        <is>
          <t>https://www.audiophonics.fr/fr/amplificateurs-casque-mobiles/xduoo-xd05t-p-20232.html</t>
        </is>
      </c>
      <c r="Q160" s="45" t="inlineStr">
        <is>
          <t>À analyser</t>
        </is>
      </c>
      <c r="R160" s="45" t="inlineStr">
        <is>
          <t>À évaluer selon ton cahier des charges</t>
        </is>
      </c>
      <c r="S160" s="49" t="n"/>
      <c r="T160" s="49" t="n"/>
      <c r="U160" s="81" t="n"/>
      <c r="V160" s="49" t="n"/>
      <c r="W160" s="41" t="n"/>
      <c r="X160" s="49" t="n"/>
    </row>
    <row r="161">
      <c r="A161" s="44" t="inlineStr">
        <is>
          <t>iFi audio</t>
        </is>
      </c>
      <c r="B161" s="44" t="inlineStr">
        <is>
          <t>iDSD GR 2</t>
        </is>
      </c>
      <c r="C161" s="45" t="inlineStr">
        <is>
          <t>Burr-Brown PCM1795; Bluetooth 5.4; jusqu’à 1513 mW</t>
        </is>
      </c>
      <c r="D161" s="192" t="inlineStr">
        <is>
          <t>Oui</t>
        </is>
      </c>
      <c r="E161" s="192" t="inlineStr">
        <is>
          <t>Oui</t>
        </is>
      </c>
      <c r="F161" s="190" t="inlineStr">
        <is>
          <t>Oui</t>
        </is>
      </c>
      <c r="G161" s="190" t="inlineStr">
        <is>
          <t>Oui</t>
        </is>
      </c>
      <c r="H161" s="190" t="inlineStr">
        <is>
          <t>Non</t>
        </is>
      </c>
      <c r="I161" s="190" t="inlineStr">
        <is>
          <t>Non</t>
        </is>
      </c>
      <c r="J161" s="190" t="inlineStr">
        <is>
          <t>Non</t>
        </is>
      </c>
      <c r="K161" s="187" t="inlineStr">
        <is>
          <t>Non</t>
        </is>
      </c>
      <c r="L161" s="45" t="inlineStr">
        <is>
          <t>À confirmer</t>
        </is>
      </c>
      <c r="M161" s="55" t="n">
        <v>549</v>
      </c>
      <c r="N161" s="44" t="inlineStr">
        <is>
          <t>DAC / ampli portable</t>
        </is>
      </c>
      <c r="O161" s="44" t="inlineStr">
        <is>
          <t>À analyser</t>
        </is>
      </c>
      <c r="P161" s="56" t="inlineStr">
        <is>
          <t>https://www.audiophonics.fr/fr/dac-portables-c-6399.html?orderby=price&amp;orderway=desc&amp;orderway=desc</t>
        </is>
      </c>
      <c r="Q161" s="45" t="inlineStr">
        <is>
          <t>À analyser</t>
        </is>
      </c>
      <c r="R161" s="45" t="inlineStr">
        <is>
          <t>À évaluer selon ton cahier des charges</t>
        </is>
      </c>
      <c r="S161" s="49" t="n"/>
      <c r="T161" s="49" t="n"/>
      <c r="U161" s="81" t="n"/>
      <c r="V161" s="49" t="n"/>
      <c r="W161" s="41" t="n"/>
      <c r="X161" s="49" t="n"/>
    </row>
    <row r="162">
      <c r="A162" s="44" t="inlineStr">
        <is>
          <t>xDuoo</t>
        </is>
      </c>
      <c r="B162" s="44" t="inlineStr">
        <is>
          <t>XD05 BAL</t>
        </is>
      </c>
      <c r="C162" s="45" t="inlineStr">
        <is>
          <t>2x ES9038Q2M; XMOS; Bluetooth 5.0</t>
        </is>
      </c>
      <c r="D162" s="192" t="inlineStr">
        <is>
          <t>Oui</t>
        </is>
      </c>
      <c r="E162" s="192" t="inlineStr">
        <is>
          <t>Oui</t>
        </is>
      </c>
      <c r="F162" s="190" t="inlineStr">
        <is>
          <t>Non</t>
        </is>
      </c>
      <c r="G162" s="190" t="inlineStr">
        <is>
          <t>Oui</t>
        </is>
      </c>
      <c r="H162" s="190" t="inlineStr">
        <is>
          <t>Non</t>
        </is>
      </c>
      <c r="I162" s="190" t="inlineStr">
        <is>
          <t>Oui</t>
        </is>
      </c>
      <c r="J162" s="190" t="inlineStr">
        <is>
          <t>Non</t>
        </is>
      </c>
      <c r="K162" s="187" t="inlineStr">
        <is>
          <t>Non</t>
        </is>
      </c>
      <c r="L162" s="45" t="inlineStr">
        <is>
          <t>À confirmer</t>
        </is>
      </c>
      <c r="M162" s="55" t="n">
        <v>399</v>
      </c>
      <c r="N162" s="44" t="inlineStr">
        <is>
          <t>DAC / ampli portable</t>
        </is>
      </c>
      <c r="O162" s="44" t="inlineStr">
        <is>
          <t>À analyser</t>
        </is>
      </c>
      <c r="P162" s="56" t="inlineStr">
        <is>
          <t>https://www.audiophonics.fr/fr/amplificateurs-casque-mobiles/xduoo-xd05-bal-amplificateur-casque-portable-symetrique-2x-es9038q2m-xmos-bluetooth-50-32bit-768khz-dsd512-argent-p-15104.html</t>
        </is>
      </c>
      <c r="Q162" s="45" t="inlineStr">
        <is>
          <t>À analyser</t>
        </is>
      </c>
      <c r="R162" s="45" t="inlineStr">
        <is>
          <t>À évaluer selon ton cahier des charges</t>
        </is>
      </c>
      <c r="S162" s="49" t="n"/>
      <c r="T162" s="49" t="n"/>
      <c r="U162" s="81" t="n"/>
      <c r="V162" s="49" t="n"/>
      <c r="W162" s="41" t="n"/>
      <c r="X162" s="49" t="n"/>
    </row>
    <row r="163">
      <c r="A163" s="44" t="inlineStr">
        <is>
          <t>FiiO</t>
        </is>
      </c>
      <c r="B163" s="44" t="inlineStr">
        <is>
          <t>BTR7</t>
        </is>
      </c>
      <c r="C163" s="45" t="inlineStr">
        <is>
          <t>2x ES9219C; 2x THX AAA-28; Bluetooth 5.1</t>
        </is>
      </c>
      <c r="D163" s="192" t="inlineStr">
        <is>
          <t>Oui</t>
        </is>
      </c>
      <c r="E163" s="192" t="inlineStr">
        <is>
          <t>Oui</t>
        </is>
      </c>
      <c r="F163" s="190" t="inlineStr">
        <is>
          <t>Oui</t>
        </is>
      </c>
      <c r="G163" s="190" t="inlineStr">
        <is>
          <t>Oui</t>
        </is>
      </c>
      <c r="H163" s="190" t="inlineStr">
        <is>
          <t>Non</t>
        </is>
      </c>
      <c r="I163" s="190" t="inlineStr">
        <is>
          <t>Non</t>
        </is>
      </c>
      <c r="J163" s="190" t="inlineStr">
        <is>
          <t>Non</t>
        </is>
      </c>
      <c r="K163" s="187" t="inlineStr">
        <is>
          <t>Oui</t>
        </is>
      </c>
      <c r="L163" s="45" t="inlineStr">
        <is>
          <t>À confirmer</t>
        </is>
      </c>
      <c r="M163" s="55" t="n">
        <v>209</v>
      </c>
      <c r="N163" s="44" t="inlineStr">
        <is>
          <t>DAC / ampli portable</t>
        </is>
      </c>
      <c r="O163" s="44" t="inlineStr">
        <is>
          <t>À analyser</t>
        </is>
      </c>
      <c r="P163" s="56" t="inlineStr">
        <is>
          <t>https://www.audiophonics.fr/fr/amplificateurs-casque-mobiles/fiio-btr7-amplificateur-casque-dac-portable-2x-thx-aaa-28-2x-es9219c-bluetooth-51-aptx-hd-ldac-32bit-384khz-dsd256-p-16614.html</t>
        </is>
      </c>
      <c r="Q163" s="45" t="inlineStr">
        <is>
          <t>À analyser</t>
        </is>
      </c>
      <c r="R163" s="45" t="inlineStr">
        <is>
          <t>À évaluer selon ton cahier des charges</t>
        </is>
      </c>
      <c r="S163" s="49" t="n"/>
      <c r="T163" s="49" t="n"/>
      <c r="U163" s="81" t="n"/>
      <c r="V163" s="49" t="n"/>
      <c r="W163" s="41" t="n"/>
      <c r="X163" s="49" t="n"/>
    </row>
    <row r="164">
      <c r="A164" s="44" t="inlineStr">
        <is>
          <t>E1DA</t>
        </is>
      </c>
      <c r="B164" s="44" t="inlineStr">
        <is>
          <t>9039S</t>
        </is>
      </c>
      <c r="C164" s="45" t="inlineStr">
        <is>
          <t>ES9039Q2M; symétrique</t>
        </is>
      </c>
      <c r="D164" s="192" t="inlineStr">
        <is>
          <t>Non</t>
        </is>
      </c>
      <c r="E164" s="192" t="inlineStr">
        <is>
          <t>Non</t>
        </is>
      </c>
      <c r="F164" s="190" t="inlineStr">
        <is>
          <t>Non</t>
        </is>
      </c>
      <c r="G164" s="190" t="inlineStr">
        <is>
          <t>Non</t>
        </is>
      </c>
      <c r="H164" s="190" t="inlineStr">
        <is>
          <t>Oui</t>
        </is>
      </c>
      <c r="I164" s="190" t="inlineStr">
        <is>
          <t>Non</t>
        </is>
      </c>
      <c r="J164" s="190" t="inlineStr">
        <is>
          <t>Non</t>
        </is>
      </c>
      <c r="K164" s="187" t="inlineStr">
        <is>
          <t>Non</t>
        </is>
      </c>
      <c r="L164" s="45" t="inlineStr">
        <is>
          <t>À confirmer</t>
        </is>
      </c>
      <c r="M164" s="55" t="n">
        <v>179</v>
      </c>
      <c r="N164" s="44" t="inlineStr">
        <is>
          <t>DAC / ampli portable</t>
        </is>
      </c>
      <c r="O164" s="44" t="inlineStr">
        <is>
          <t>À analyser</t>
        </is>
      </c>
      <c r="P164" s="56" t="inlineStr">
        <is>
          <t>https://www.audiophonics.fr/fr/dac-portables/e1da-9039s-p-20971.html</t>
        </is>
      </c>
      <c r="Q164" s="45" t="inlineStr">
        <is>
          <t>À analyser</t>
        </is>
      </c>
      <c r="R164" s="45" t="inlineStr">
        <is>
          <t>À évaluer selon ton cahier des charges</t>
        </is>
      </c>
      <c r="S164" s="49" t="n"/>
      <c r="T164" s="49" t="n"/>
      <c r="U164" s="81" t="n"/>
      <c r="V164" s="49" t="n"/>
      <c r="W164" s="41" t="n"/>
      <c r="X164" s="49" t="n"/>
    </row>
    <row r="165">
      <c r="A165" s="44" t="inlineStr">
        <is>
          <t>Aune</t>
        </is>
      </c>
      <c r="B165" s="44" t="inlineStr">
        <is>
          <t>Yuki</t>
        </is>
      </c>
      <c r="C165" s="45" t="inlineStr">
        <is>
          <t>2x CS43198; amplification discrète 16 transistors</t>
        </is>
      </c>
      <c r="D165" s="45" t="inlineStr">
        <is>
          <t>Non</t>
        </is>
      </c>
      <c r="E165" s="192" t="inlineStr">
        <is>
          <t>Non</t>
        </is>
      </c>
      <c r="F165" s="190" t="inlineStr">
        <is>
          <t>Oui</t>
        </is>
      </c>
      <c r="G165" s="190" t="inlineStr">
        <is>
          <t>Oui</t>
        </is>
      </c>
      <c r="H165" s="190" t="inlineStr">
        <is>
          <t>Non</t>
        </is>
      </c>
      <c r="I165" s="190" t="inlineStr">
        <is>
          <t>Non</t>
        </is>
      </c>
      <c r="J165" s="190" t="inlineStr">
        <is>
          <t>Non</t>
        </is>
      </c>
      <c r="K165" s="187" t="inlineStr">
        <is>
          <t>Non</t>
        </is>
      </c>
      <c r="L165" s="45" t="inlineStr">
        <is>
          <t>À confirmer</t>
        </is>
      </c>
      <c r="M165" s="55" t="n">
        <v>169</v>
      </c>
      <c r="N165" s="44" t="inlineStr">
        <is>
          <t>DAC / ampli portable</t>
        </is>
      </c>
      <c r="O165" s="44" t="inlineStr">
        <is>
          <t>À analyser</t>
        </is>
      </c>
      <c r="P165" s="56" t="inlineStr">
        <is>
          <t>https://www.audiophonics.fr/fr/dac-portables/aune-yuki-p-18617.html</t>
        </is>
      </c>
      <c r="Q165" s="45" t="inlineStr">
        <is>
          <t>À analyser</t>
        </is>
      </c>
      <c r="R165" s="45" t="inlineStr">
        <is>
          <t>À évaluer selon ton cahier des charges</t>
        </is>
      </c>
      <c r="S165" s="49" t="n"/>
      <c r="T165" s="49" t="n"/>
      <c r="U165" s="81" t="n"/>
      <c r="V165" s="49" t="n"/>
      <c r="W165" s="41" t="n"/>
      <c r="X165" s="49" t="n"/>
    </row>
    <row r="166">
      <c r="A166" s="44" t="inlineStr">
        <is>
          <t>E1DA</t>
        </is>
      </c>
      <c r="B166" s="44" t="inlineStr">
        <is>
          <t>9038D6K</t>
        </is>
      </c>
      <c r="C166" s="45" t="inlineStr">
        <is>
          <t>ES9038Q2M; AD8397</t>
        </is>
      </c>
      <c r="D166" s="192" t="inlineStr">
        <is>
          <t>Non</t>
        </is>
      </c>
      <c r="E166" s="192" t="inlineStr">
        <is>
          <t>Non</t>
        </is>
      </c>
      <c r="F166" s="190" t="inlineStr">
        <is>
          <t>Oui</t>
        </is>
      </c>
      <c r="G166" s="190" t="inlineStr">
        <is>
          <t>Non</t>
        </is>
      </c>
      <c r="H166" s="190" t="inlineStr">
        <is>
          <t>Non</t>
        </is>
      </c>
      <c r="I166" s="190" t="inlineStr">
        <is>
          <t>Non</t>
        </is>
      </c>
      <c r="J166" s="190" t="inlineStr">
        <is>
          <t>Non</t>
        </is>
      </c>
      <c r="K166" s="187" t="inlineStr">
        <is>
          <t>Non</t>
        </is>
      </c>
      <c r="L166" s="45" t="inlineStr">
        <is>
          <t>À confirmer</t>
        </is>
      </c>
      <c r="M166" s="55" t="n">
        <v>169</v>
      </c>
      <c r="N166" s="44" t="inlineStr">
        <is>
          <t>DAC / ampli portable</t>
        </is>
      </c>
      <c r="O166" s="44" t="inlineStr">
        <is>
          <t>À analyser</t>
        </is>
      </c>
      <c r="P166" s="56" t="inlineStr">
        <is>
          <t>https://www.audiophonics.fr/fr/amplificateurs-casque-mobiles/e1da-9038d6k-amplificateur-casque-dac-usb-es9038q2m-ad8397-32bit-384khz-dsd256-p-17305.html</t>
        </is>
      </c>
      <c r="Q166" s="45" t="inlineStr">
        <is>
          <t>À analyser</t>
        </is>
      </c>
      <c r="R166" s="45" t="inlineStr">
        <is>
          <t>À évaluer selon ton cahier des charges</t>
        </is>
      </c>
      <c r="S166" s="49" t="n"/>
      <c r="T166" s="49" t="n"/>
      <c r="U166" s="81" t="n"/>
      <c r="V166" s="49" t="n"/>
      <c r="W166" s="41" t="n"/>
      <c r="X166" s="49" t="n"/>
    </row>
    <row r="167">
      <c r="A167" s="44" t="inlineStr">
        <is>
          <t>iFi audio</t>
        </is>
      </c>
      <c r="B167" s="44" t="inlineStr">
        <is>
          <t>GO Blu Air</t>
        </is>
      </c>
      <c r="C167" s="45" t="inlineStr">
        <is>
          <t>CS43131; Qualcomm QCC5144; Bluetooth 5.2</t>
        </is>
      </c>
      <c r="D167" s="192" t="inlineStr">
        <is>
          <t>Oui</t>
        </is>
      </c>
      <c r="E167" s="192" t="inlineStr">
        <is>
          <t>Oui</t>
        </is>
      </c>
      <c r="F167" s="190" t="inlineStr">
        <is>
          <t>Oui</t>
        </is>
      </c>
      <c r="G167" s="190" t="inlineStr">
        <is>
          <t>Oui</t>
        </is>
      </c>
      <c r="H167" s="190" t="inlineStr">
        <is>
          <t>Non</t>
        </is>
      </c>
      <c r="I167" s="190" t="inlineStr">
        <is>
          <t>Non</t>
        </is>
      </c>
      <c r="J167" s="190" t="inlineStr">
        <is>
          <t>Non</t>
        </is>
      </c>
      <c r="K167" s="187" t="inlineStr">
        <is>
          <t>Non</t>
        </is>
      </c>
      <c r="L167" s="45" t="inlineStr">
        <is>
          <t>À confirmer</t>
        </is>
      </c>
      <c r="M167" s="55" t="n">
        <v>149</v>
      </c>
      <c r="N167" s="44" t="inlineStr">
        <is>
          <t>DAC / ampli portable</t>
        </is>
      </c>
      <c r="O167" s="44" t="inlineStr">
        <is>
          <t>À analyser</t>
        </is>
      </c>
      <c r="P167" s="56" t="inlineStr">
        <is>
          <t>https://www.audiophonics.fr/fr/dac-portables-c-6399.html?orderby=price&amp;orderway=desc&amp;orderway=desc&amp;p=2</t>
        </is>
      </c>
      <c r="Q167" s="45" t="inlineStr">
        <is>
          <t>À analyser</t>
        </is>
      </c>
      <c r="R167" s="45" t="inlineStr">
        <is>
          <t>À évaluer selon ton cahier des charges</t>
        </is>
      </c>
      <c r="S167" s="49" t="n"/>
      <c r="T167" s="49" t="n"/>
      <c r="U167" s="81" t="n"/>
      <c r="V167" s="49" t="n"/>
      <c r="W167" s="41" t="n"/>
      <c r="X167" s="49" t="n"/>
    </row>
    <row r="168">
      <c r="A168" s="44" t="inlineStr">
        <is>
          <t>E1DA</t>
        </is>
      </c>
      <c r="B168" s="44" t="inlineStr">
        <is>
          <t>9038S Gen 3</t>
        </is>
      </c>
      <c r="C168" s="45" t="inlineStr">
        <is>
          <t>ES9038Q2M; AD8397; symétrique</t>
        </is>
      </c>
      <c r="D168" s="192" t="inlineStr">
        <is>
          <t>Non</t>
        </is>
      </c>
      <c r="E168" s="192" t="inlineStr">
        <is>
          <t>Non</t>
        </is>
      </c>
      <c r="F168" s="190" t="inlineStr">
        <is>
          <t>Non</t>
        </is>
      </c>
      <c r="G168" s="190" t="inlineStr">
        <is>
          <t>Non</t>
        </is>
      </c>
      <c r="H168" s="190" t="inlineStr">
        <is>
          <t>Oui</t>
        </is>
      </c>
      <c r="I168" s="190" t="inlineStr">
        <is>
          <t>Non</t>
        </is>
      </c>
      <c r="J168" s="190" t="inlineStr">
        <is>
          <t>Non</t>
        </is>
      </c>
      <c r="K168" s="187" t="inlineStr">
        <is>
          <t>Non</t>
        </is>
      </c>
      <c r="L168" s="45" t="inlineStr">
        <is>
          <t>À confirmer</t>
        </is>
      </c>
      <c r="M168" s="55" t="n">
        <v>139</v>
      </c>
      <c r="N168" s="44" t="inlineStr">
        <is>
          <t>DAC / ampli portable</t>
        </is>
      </c>
      <c r="O168" s="44" t="inlineStr">
        <is>
          <t>À analyser</t>
        </is>
      </c>
      <c r="P168" s="56" t="inlineStr">
        <is>
          <t>https://www.audiophonics.fr/fr/amplificateurs-casque-mobiles/e1da-9038s-gen-3-amplificateur-casque-symetrique-dac-usb-es9038q2m-ad8397-32bit-384khz-dsd256-p-14638.html</t>
        </is>
      </c>
      <c r="Q168" s="45" t="inlineStr">
        <is>
          <t>À analyser</t>
        </is>
      </c>
      <c r="R168" s="45" t="inlineStr">
        <is>
          <t>À évaluer selon ton cahier des charges</t>
        </is>
      </c>
      <c r="S168" s="49" t="n"/>
      <c r="T168" s="49" t="n"/>
      <c r="U168" s="81" t="n"/>
      <c r="V168" s="49" t="n"/>
      <c r="W168" s="41" t="n"/>
      <c r="X168" s="49" t="n"/>
    </row>
    <row r="169">
      <c r="A169" s="44" t="inlineStr">
        <is>
          <t>iBasso</t>
        </is>
      </c>
      <c r="B169" s="44" t="inlineStr">
        <is>
          <t>DC04U Ultra</t>
        </is>
      </c>
      <c r="C169" s="45" t="inlineStr">
        <is>
          <t>2x CS43198; symétrique 4 canaux</t>
        </is>
      </c>
      <c r="D169" s="45" t="inlineStr">
        <is>
          <t>Non</t>
        </is>
      </c>
      <c r="E169" s="192" t="inlineStr">
        <is>
          <t>Non</t>
        </is>
      </c>
      <c r="F169" s="190" t="inlineStr">
        <is>
          <t>Oui</t>
        </is>
      </c>
      <c r="G169" s="190" t="inlineStr">
        <is>
          <t>Oui</t>
        </is>
      </c>
      <c r="H169" s="190" t="inlineStr">
        <is>
          <t>Non</t>
        </is>
      </c>
      <c r="I169" s="190" t="inlineStr">
        <is>
          <t>Non</t>
        </is>
      </c>
      <c r="J169" s="190" t="inlineStr">
        <is>
          <t>Non</t>
        </is>
      </c>
      <c r="K169" s="190" t="inlineStr">
        <is>
          <t>Oui</t>
        </is>
      </c>
      <c r="L169" s="45" t="inlineStr">
        <is>
          <t>À confirmer</t>
        </is>
      </c>
      <c r="M169" s="55" t="n">
        <v>119</v>
      </c>
      <c r="N169" s="44" t="inlineStr">
        <is>
          <t>DAC / ampli portable</t>
        </is>
      </c>
      <c r="O169" s="44" t="inlineStr">
        <is>
          <t>À analyser</t>
        </is>
      </c>
      <c r="P169" s="56" t="inlineStr">
        <is>
          <t>https://www.audiophonics.fr/fr/dac-portables/ibasso-dc04u-p-21828.html</t>
        </is>
      </c>
      <c r="Q169" s="45" t="inlineStr">
        <is>
          <t>À analyser</t>
        </is>
      </c>
      <c r="R169" s="45" t="inlineStr">
        <is>
          <t>À évaluer selon ton cahier des charges</t>
        </is>
      </c>
      <c r="S169" s="49" t="n"/>
      <c r="T169" s="49" t="n"/>
      <c r="U169" s="81" t="n"/>
      <c r="V169" s="49" t="n"/>
      <c r="W169" s="41" t="n"/>
      <c r="X169" s="49" t="n"/>
    </row>
    <row r="170">
      <c r="A170" s="44" t="inlineStr">
        <is>
          <t>Aiyima</t>
        </is>
      </c>
      <c r="B170" s="44" t="inlineStr">
        <is>
          <t>H4</t>
        </is>
      </c>
      <c r="C170" s="45" t="inlineStr">
        <is>
          <t>ES9039Q2M; 2x RT6863</t>
        </is>
      </c>
      <c r="D170" s="45" t="inlineStr">
        <is>
          <t>Non</t>
        </is>
      </c>
      <c r="E170" s="192" t="inlineStr">
        <is>
          <t>Non</t>
        </is>
      </c>
      <c r="F170" s="190" t="inlineStr">
        <is>
          <t>Oui</t>
        </is>
      </c>
      <c r="G170" s="190" t="inlineStr">
        <is>
          <t>Oui</t>
        </is>
      </c>
      <c r="H170" s="190" t="inlineStr">
        <is>
          <t>Non</t>
        </is>
      </c>
      <c r="I170" s="190" t="inlineStr">
        <is>
          <t>Non</t>
        </is>
      </c>
      <c r="J170" s="190" t="inlineStr">
        <is>
          <t>Non</t>
        </is>
      </c>
      <c r="K170" s="187" t="inlineStr">
        <is>
          <t>Non</t>
        </is>
      </c>
      <c r="L170" s="45" t="inlineStr">
        <is>
          <t>À confirmer</t>
        </is>
      </c>
      <c r="M170" s="55" t="n">
        <v>109</v>
      </c>
      <c r="N170" s="44" t="inlineStr">
        <is>
          <t>DAC / ampli portable</t>
        </is>
      </c>
      <c r="O170" s="44" t="inlineStr">
        <is>
          <t>À analyser</t>
        </is>
      </c>
      <c r="P170" s="56" t="inlineStr">
        <is>
          <t>https://www.audiophonics.fr/fr/dac-portables/aiyima-h4-p-21905.html</t>
        </is>
      </c>
      <c r="Q170" s="45" t="inlineStr">
        <is>
          <t>À analyser</t>
        </is>
      </c>
      <c r="R170" s="45" t="inlineStr">
        <is>
          <t>À évaluer selon ton cahier des charges</t>
        </is>
      </c>
      <c r="S170" s="49" t="n"/>
      <c r="T170" s="49" t="n"/>
      <c r="U170" s="81" t="n"/>
      <c r="V170" s="49" t="n"/>
      <c r="W170" s="41" t="n"/>
      <c r="X170" s="49" t="n"/>
    </row>
    <row r="171">
      <c r="A171" s="44" t="inlineStr">
        <is>
          <t>Aune</t>
        </is>
      </c>
      <c r="B171" s="44" t="inlineStr">
        <is>
          <t>Yuki SE</t>
        </is>
      </c>
      <c r="C171" s="45" t="inlineStr">
        <is>
          <t>ES9280AC Pro; amplification discrète 16 transistors</t>
        </is>
      </c>
      <c r="D171" s="45" t="inlineStr">
        <is>
          <t>Non</t>
        </is>
      </c>
      <c r="E171" s="192" t="inlineStr">
        <is>
          <t>Non</t>
        </is>
      </c>
      <c r="F171" s="190" t="inlineStr">
        <is>
          <t>Oui</t>
        </is>
      </c>
      <c r="G171" s="190" t="inlineStr">
        <is>
          <t>Oui</t>
        </is>
      </c>
      <c r="H171" s="190" t="inlineStr">
        <is>
          <t>Non</t>
        </is>
      </c>
      <c r="I171" s="190" t="inlineStr">
        <is>
          <t>Non</t>
        </is>
      </c>
      <c r="J171" s="190" t="inlineStr">
        <is>
          <t>Non</t>
        </is>
      </c>
      <c r="K171" s="187" t="inlineStr">
        <is>
          <t>Non</t>
        </is>
      </c>
      <c r="L171" s="45" t="inlineStr">
        <is>
          <t>À confirmer</t>
        </is>
      </c>
      <c r="M171" s="55" t="n">
        <v>109</v>
      </c>
      <c r="N171" s="44" t="inlineStr">
        <is>
          <t>DAC / ampli portable</t>
        </is>
      </c>
      <c r="O171" s="44" t="inlineStr">
        <is>
          <t>À analyser</t>
        </is>
      </c>
      <c r="P171" s="56" t="inlineStr">
        <is>
          <t>https://www.audiophonics.fr/fr/dac-portables/aune-yuki-se-p-19868.html</t>
        </is>
      </c>
      <c r="Q171" s="45" t="inlineStr">
        <is>
          <t>À analyser</t>
        </is>
      </c>
      <c r="R171" s="45" t="inlineStr">
        <is>
          <t>À évaluer selon ton cahier des charges</t>
        </is>
      </c>
      <c r="S171" s="49" t="n"/>
      <c r="T171" s="49" t="n"/>
      <c r="U171" s="81" t="n"/>
      <c r="V171" s="49" t="n"/>
      <c r="W171" s="41" t="n"/>
      <c r="X171" s="49" t="n"/>
    </row>
    <row r="172">
      <c r="A172" s="44" t="inlineStr">
        <is>
          <t>Tanchjim</t>
        </is>
      </c>
      <c r="B172" s="44" t="inlineStr">
        <is>
          <t>Space Pro</t>
        </is>
      </c>
      <c r="C172" s="45" t="inlineStr">
        <is>
          <t>2x CS43198; PCM 32/768; DSD256</t>
        </is>
      </c>
      <c r="D172" s="45" t="inlineStr">
        <is>
          <t>Non</t>
        </is>
      </c>
      <c r="E172" s="192" t="inlineStr">
        <is>
          <t>Non</t>
        </is>
      </c>
      <c r="F172" s="190" t="inlineStr">
        <is>
          <t>Oui</t>
        </is>
      </c>
      <c r="G172" s="190" t="inlineStr">
        <is>
          <t>Oui</t>
        </is>
      </c>
      <c r="H172" s="190" t="inlineStr">
        <is>
          <t>Non</t>
        </is>
      </c>
      <c r="I172" s="190" t="inlineStr">
        <is>
          <t>Non</t>
        </is>
      </c>
      <c r="J172" s="190" t="inlineStr">
        <is>
          <t>Non</t>
        </is>
      </c>
      <c r="K172" s="190" t="inlineStr">
        <is>
          <t>Oui</t>
        </is>
      </c>
      <c r="L172" s="45" t="inlineStr">
        <is>
          <t>À confirmer</t>
        </is>
      </c>
      <c r="M172" s="55" t="n">
        <v>99</v>
      </c>
      <c r="N172" s="44" t="inlineStr">
        <is>
          <t>DAC / ampli portable</t>
        </is>
      </c>
      <c r="O172" s="44" t="inlineStr">
        <is>
          <t>À analyser</t>
        </is>
      </c>
      <c r="P172" s="56" t="inlineStr">
        <is>
          <t>https://www.audiophonics.fr/fr/dac-portables/tanchjim-space-pro-p-21768.html</t>
        </is>
      </c>
      <c r="Q172" s="45" t="inlineStr">
        <is>
          <t>À analyser</t>
        </is>
      </c>
      <c r="R172" s="45" t="inlineStr">
        <is>
          <t>À évaluer selon ton cahier des charges</t>
        </is>
      </c>
      <c r="S172" s="49" t="n"/>
      <c r="T172" s="49" t="n"/>
      <c r="U172" s="81" t="n"/>
      <c r="V172" s="49" t="n"/>
      <c r="W172" s="41" t="n"/>
      <c r="X172" s="49" t="n"/>
    </row>
    <row r="173">
      <c r="A173" s="44" t="inlineStr">
        <is>
          <t>Fosi Audio</t>
        </is>
      </c>
      <c r="B173" s="44" t="inlineStr">
        <is>
          <t>DS3</t>
        </is>
      </c>
      <c r="C173" s="45" t="inlineStr">
        <is>
          <t>ES9039Q2M; XMOS; mode 7.1 virtuel</t>
        </is>
      </c>
      <c r="D173" s="192" t="inlineStr">
        <is>
          <t>Non</t>
        </is>
      </c>
      <c r="E173" s="192" t="inlineStr">
        <is>
          <t>Non</t>
        </is>
      </c>
      <c r="F173" s="190" t="inlineStr">
        <is>
          <t>Oui</t>
        </is>
      </c>
      <c r="G173" s="190" t="inlineStr">
        <is>
          <t>Oui</t>
        </is>
      </c>
      <c r="H173" s="190" t="inlineStr">
        <is>
          <t>Non</t>
        </is>
      </c>
      <c r="I173" s="190" t="inlineStr">
        <is>
          <t>Non</t>
        </is>
      </c>
      <c r="J173" s="190" t="inlineStr">
        <is>
          <t>Non</t>
        </is>
      </c>
      <c r="K173" s="190" t="inlineStr">
        <is>
          <t>Oui</t>
        </is>
      </c>
      <c r="L173" s="45" t="inlineStr">
        <is>
          <t>À confirmer</t>
        </is>
      </c>
      <c r="M173" s="55" t="n">
        <v>93.48999999999999</v>
      </c>
      <c r="N173" s="44" t="inlineStr">
        <is>
          <t>DAC / ampli portable</t>
        </is>
      </c>
      <c r="O173" s="44" t="inlineStr">
        <is>
          <t>À analyser</t>
        </is>
      </c>
      <c r="P173" s="56" t="inlineStr">
        <is>
          <t>https://www.audiophonics.fr/fr/dac-portables-c-6399.html?orderby=price&amp;orderway=desc&amp;orderway=desc&amp;p=2</t>
        </is>
      </c>
      <c r="Q173" s="45" t="inlineStr">
        <is>
          <t>À analyser</t>
        </is>
      </c>
      <c r="R173" s="45" t="inlineStr">
        <is>
          <t>À évaluer selon ton cahier des charges</t>
        </is>
      </c>
      <c r="S173" s="49" t="n"/>
      <c r="T173" s="49" t="n"/>
      <c r="U173" s="81" t="n"/>
      <c r="V173" s="49" t="n"/>
      <c r="W173" s="41" t="n"/>
      <c r="X173" s="49" t="n"/>
    </row>
    <row r="174">
      <c r="A174" s="44" t="inlineStr">
        <is>
          <t>Fosi Audio</t>
        </is>
      </c>
      <c r="B174" s="44" t="inlineStr">
        <is>
          <t>SK02</t>
        </is>
      </c>
      <c r="C174" s="45" t="inlineStr">
        <is>
          <t>ES9038Q2M; SGM8262; préampli</t>
        </is>
      </c>
      <c r="D174" s="192" t="inlineStr">
        <is>
          <t>Non</t>
        </is>
      </c>
      <c r="E174" s="192" t="inlineStr">
        <is>
          <t>Non</t>
        </is>
      </c>
      <c r="F174" s="190" t="inlineStr">
        <is>
          <t>Oui</t>
        </is>
      </c>
      <c r="G174" s="190" t="inlineStr">
        <is>
          <t>Oui</t>
        </is>
      </c>
      <c r="H174" s="190" t="inlineStr">
        <is>
          <t>Non</t>
        </is>
      </c>
      <c r="I174" s="190" t="inlineStr">
        <is>
          <t>Non</t>
        </is>
      </c>
      <c r="J174" s="190" t="inlineStr">
        <is>
          <t>Non</t>
        </is>
      </c>
      <c r="K174" s="187" t="inlineStr">
        <is>
          <t>Non</t>
        </is>
      </c>
      <c r="L174" s="45" t="inlineStr">
        <is>
          <t>À confirmer</t>
        </is>
      </c>
      <c r="M174" s="55" t="n">
        <v>93.48999999999999</v>
      </c>
      <c r="N174" s="44" t="inlineStr">
        <is>
          <t>DAC / ampli portable</t>
        </is>
      </c>
      <c r="O174" s="44" t="inlineStr">
        <is>
          <t>À analyser</t>
        </is>
      </c>
      <c r="P174" s="56" t="inlineStr">
        <is>
          <t>https://www.audiophonics.fr/fr/amplificateurs-casque-sedentaires/fosi-audio-sk02-p-18861.html</t>
        </is>
      </c>
      <c r="Q174" s="45" t="inlineStr">
        <is>
          <t>À analyser</t>
        </is>
      </c>
      <c r="R174" s="45" t="inlineStr">
        <is>
          <t>À évaluer selon ton cahier des charges</t>
        </is>
      </c>
      <c r="S174" s="49" t="n"/>
      <c r="T174" s="49" t="n"/>
      <c r="U174" s="81" t="n"/>
      <c r="V174" s="49" t="n"/>
      <c r="W174" s="41" t="n"/>
      <c r="X174" s="49" t="n"/>
    </row>
    <row r="175">
      <c r="A175" s="44" t="inlineStr">
        <is>
          <t>CrinEar</t>
        </is>
      </c>
      <c r="B175" s="44" t="inlineStr">
        <is>
          <t>Protocol Max</t>
        </is>
      </c>
      <c r="C175" s="45" t="inlineStr">
        <is>
          <t>2x CS43198; SGM8262-2</t>
        </is>
      </c>
      <c r="D175" s="45" t="inlineStr">
        <is>
          <t>Non</t>
        </is>
      </c>
      <c r="E175" s="192" t="inlineStr">
        <is>
          <t>Non</t>
        </is>
      </c>
      <c r="F175" s="190" t="inlineStr">
        <is>
          <t>Oui</t>
        </is>
      </c>
      <c r="G175" s="190" t="inlineStr">
        <is>
          <t>Oui</t>
        </is>
      </c>
      <c r="H175" s="190" t="inlineStr">
        <is>
          <t>Non</t>
        </is>
      </c>
      <c r="I175" s="190" t="inlineStr">
        <is>
          <t>Non</t>
        </is>
      </c>
      <c r="J175" s="190" t="inlineStr">
        <is>
          <t>Non</t>
        </is>
      </c>
      <c r="K175" s="190" t="inlineStr">
        <is>
          <t>Oui</t>
        </is>
      </c>
      <c r="L175" s="45" t="inlineStr">
        <is>
          <t>À confirmer</t>
        </is>
      </c>
      <c r="M175" s="55" t="n">
        <v>89.90000000000001</v>
      </c>
      <c r="N175" s="44" t="inlineStr">
        <is>
          <t>DAC / ampli portable</t>
        </is>
      </c>
      <c r="O175" s="44" t="inlineStr">
        <is>
          <t>À analyser</t>
        </is>
      </c>
      <c r="P175" s="56" t="inlineStr">
        <is>
          <t>https://www.audiophonics.fr/fr/dac-portables/crinear-protocol-max-p-21200.html</t>
        </is>
      </c>
      <c r="Q175" s="45" t="inlineStr">
        <is>
          <t>À analyser</t>
        </is>
      </c>
      <c r="R175" s="45" t="inlineStr">
        <is>
          <t>À évaluer selon ton cahier des charges</t>
        </is>
      </c>
      <c r="S175" s="49" t="n"/>
      <c r="T175" s="49" t="n"/>
      <c r="U175" s="81" t="n"/>
      <c r="V175" s="49" t="n"/>
      <c r="W175" s="41" t="n"/>
      <c r="X175" s="49" t="n"/>
    </row>
    <row r="176">
      <c r="A176" s="44" t="inlineStr">
        <is>
          <t>ROSESELSA</t>
        </is>
      </c>
      <c r="B176" s="44" t="inlineStr">
        <is>
          <t>RS9029</t>
        </is>
      </c>
      <c r="C176" s="45" t="inlineStr">
        <is>
          <t>ES9039Q2M; sorties 3.5/4.4 mm</t>
        </is>
      </c>
      <c r="D176" s="45" t="inlineStr">
        <is>
          <t>Non</t>
        </is>
      </c>
      <c r="E176" s="192" t="inlineStr">
        <is>
          <t>Non</t>
        </is>
      </c>
      <c r="F176" s="190" t="inlineStr">
        <is>
          <t>Oui</t>
        </is>
      </c>
      <c r="G176" s="190" t="inlineStr">
        <is>
          <t>Oui</t>
        </is>
      </c>
      <c r="H176" s="190" t="inlineStr">
        <is>
          <t>Non</t>
        </is>
      </c>
      <c r="I176" s="190" t="inlineStr">
        <is>
          <t>Non</t>
        </is>
      </c>
      <c r="J176" s="190" t="inlineStr">
        <is>
          <t>Non</t>
        </is>
      </c>
      <c r="K176" s="187" t="inlineStr">
        <is>
          <t>Non</t>
        </is>
      </c>
      <c r="L176" s="45" t="inlineStr">
        <is>
          <t>À confirmer</t>
        </is>
      </c>
      <c r="M176" s="55" t="n">
        <v>89</v>
      </c>
      <c r="N176" s="44" t="inlineStr">
        <is>
          <t>DAC / ampli portable</t>
        </is>
      </c>
      <c r="O176" s="44" t="inlineStr">
        <is>
          <t>À analyser</t>
        </is>
      </c>
      <c r="P176" s="56" t="inlineStr">
        <is>
          <t>https://www.audiophonics.fr/fr/dac-portables-c-6399.html?orderby=price&amp;orderway=desc&amp;orderway=desc&amp;p=2</t>
        </is>
      </c>
      <c r="Q176" s="45" t="inlineStr">
        <is>
          <t>À analyser</t>
        </is>
      </c>
      <c r="R176" s="45" t="inlineStr">
        <is>
          <t>À évaluer selon ton cahier des charges</t>
        </is>
      </c>
      <c r="S176" s="49" t="n"/>
      <c r="T176" s="49" t="n"/>
      <c r="U176" s="81" t="n"/>
      <c r="V176" s="49" t="n"/>
      <c r="W176" s="41" t="n"/>
      <c r="X176" s="49" t="n"/>
    </row>
    <row r="177">
      <c r="A177" s="44" t="inlineStr">
        <is>
          <t>iFi audio</t>
        </is>
      </c>
      <c r="B177" s="44" t="inlineStr">
        <is>
          <t>GO Link 2 Max</t>
        </is>
      </c>
      <c r="C177" s="45" t="inlineStr">
        <is>
          <t>2x ES9219; architecture symétrique</t>
        </is>
      </c>
      <c r="D177" s="45" t="inlineStr">
        <is>
          <t>Non</t>
        </is>
      </c>
      <c r="E177" s="192" t="inlineStr">
        <is>
          <t>Non</t>
        </is>
      </c>
      <c r="F177" s="190" t="inlineStr">
        <is>
          <t>Oui</t>
        </is>
      </c>
      <c r="G177" s="190" t="inlineStr">
        <is>
          <t>Oui</t>
        </is>
      </c>
      <c r="H177" s="190" t="inlineStr">
        <is>
          <t>Non</t>
        </is>
      </c>
      <c r="I177" s="190" t="inlineStr">
        <is>
          <t>Non</t>
        </is>
      </c>
      <c r="J177" s="190" t="inlineStr">
        <is>
          <t>Non</t>
        </is>
      </c>
      <c r="K177" s="187" t="inlineStr">
        <is>
          <t>Non</t>
        </is>
      </c>
      <c r="L177" s="45" t="inlineStr">
        <is>
          <t>À confirmer</t>
        </is>
      </c>
      <c r="M177" s="55" t="n">
        <v>89</v>
      </c>
      <c r="N177" s="44" t="inlineStr">
        <is>
          <t>DAC / ampli portable</t>
        </is>
      </c>
      <c r="O177" s="44" t="inlineStr">
        <is>
          <t>À analyser</t>
        </is>
      </c>
      <c r="P177" s="56" t="inlineStr">
        <is>
          <t>https://www.audiophonics.fr/fr/dac-portables-c-6399.html?orderby=price&amp;orderway=desc&amp;orderway=desc&amp;p=2</t>
        </is>
      </c>
      <c r="Q177" s="45" t="inlineStr">
        <is>
          <t>À analyser</t>
        </is>
      </c>
      <c r="R177" s="45" t="inlineStr">
        <is>
          <t>À évaluer selon ton cahier des charges</t>
        </is>
      </c>
      <c r="S177" s="49" t="n"/>
      <c r="T177" s="49" t="n"/>
      <c r="U177" s="81" t="n"/>
      <c r="V177" s="49" t="n"/>
      <c r="W177" s="41" t="n"/>
      <c r="X177" s="49" t="n"/>
    </row>
    <row r="178">
      <c r="A178" s="44" t="inlineStr">
        <is>
          <t>Fosi Audio</t>
        </is>
      </c>
      <c r="B178" s="44" t="inlineStr">
        <is>
          <t>DS1</t>
        </is>
      </c>
      <c r="C178" s="45" t="inlineStr">
        <is>
          <t>ES9038Q2M; symétrique</t>
        </is>
      </c>
      <c r="D178" s="45" t="inlineStr">
        <is>
          <t>Non</t>
        </is>
      </c>
      <c r="E178" s="192" t="inlineStr">
        <is>
          <t>Non</t>
        </is>
      </c>
      <c r="F178" s="190" t="inlineStr">
        <is>
          <t>Oui</t>
        </is>
      </c>
      <c r="G178" s="190" t="inlineStr">
        <is>
          <t>Oui</t>
        </is>
      </c>
      <c r="H178" s="190" t="inlineStr">
        <is>
          <t>Non</t>
        </is>
      </c>
      <c r="I178" s="190" t="inlineStr">
        <is>
          <t>Non</t>
        </is>
      </c>
      <c r="J178" s="190" t="inlineStr">
        <is>
          <t>Non</t>
        </is>
      </c>
      <c r="K178" s="187" t="inlineStr">
        <is>
          <t>Non</t>
        </is>
      </c>
      <c r="L178" s="45" t="inlineStr">
        <is>
          <t>À confirmer</t>
        </is>
      </c>
      <c r="M178" s="55" t="n">
        <v>75.65000000000001</v>
      </c>
      <c r="N178" s="44" t="inlineStr">
        <is>
          <t>DAC / ampli portable</t>
        </is>
      </c>
      <c r="O178" s="44" t="inlineStr">
        <is>
          <t>À analyser</t>
        </is>
      </c>
      <c r="P178" s="56" t="inlineStr">
        <is>
          <t>https://www.audiophonics.fr/fr/amplificateurs-casque-mobiles/fosi-audio-ds1-amplificateur-casque-dac-portable-2x-es9038q2m-symetrique-32bit-768khz-dsd512-p-16996.html</t>
        </is>
      </c>
      <c r="Q178" s="45" t="inlineStr">
        <is>
          <t>À analyser</t>
        </is>
      </c>
      <c r="R178" s="45" t="inlineStr">
        <is>
          <t>À évaluer selon ton cahier des charges</t>
        </is>
      </c>
      <c r="S178" s="49" t="n"/>
      <c r="T178" s="49" t="n"/>
      <c r="U178" s="81" t="n"/>
      <c r="V178" s="49" t="n"/>
      <c r="W178" s="41" t="n"/>
      <c r="X178" s="49" t="n"/>
    </row>
    <row r="179">
      <c r="A179" s="44" t="inlineStr">
        <is>
          <t>Tanchjim</t>
        </is>
      </c>
      <c r="B179" s="44" t="inlineStr">
        <is>
          <t>Space</t>
        </is>
      </c>
      <c r="C179" s="45" t="inlineStr">
        <is>
          <t>2x CS43131; symétrique</t>
        </is>
      </c>
      <c r="D179" s="45" t="inlineStr">
        <is>
          <t>Non</t>
        </is>
      </c>
      <c r="E179" s="192" t="inlineStr">
        <is>
          <t>Non</t>
        </is>
      </c>
      <c r="F179" s="190" t="inlineStr">
        <is>
          <t>Oui</t>
        </is>
      </c>
      <c r="G179" s="190" t="inlineStr">
        <is>
          <t>Oui</t>
        </is>
      </c>
      <c r="H179" s="190" t="inlineStr">
        <is>
          <t>Non</t>
        </is>
      </c>
      <c r="I179" s="190" t="inlineStr">
        <is>
          <t>Non</t>
        </is>
      </c>
      <c r="J179" s="190" t="inlineStr">
        <is>
          <t>Non</t>
        </is>
      </c>
      <c r="K179" s="187" t="inlineStr">
        <is>
          <t>Non</t>
        </is>
      </c>
      <c r="L179" s="45" t="inlineStr">
        <is>
          <t>À confirmer</t>
        </is>
      </c>
      <c r="M179" s="55" t="n">
        <v>72.90000000000001</v>
      </c>
      <c r="N179" s="44" t="inlineStr">
        <is>
          <t>DAC / ampli portable</t>
        </is>
      </c>
      <c r="O179" s="44" t="inlineStr">
        <is>
          <t>À analyser</t>
        </is>
      </c>
      <c r="P179" s="56" t="inlineStr">
        <is>
          <t>https://www.audiophonics.fr/fr/dac-portables/tanchjim-space-dac-usb-portable-2x-cs43131-symetrique-32bit-384khz-dsd256-p-17668.html</t>
        </is>
      </c>
      <c r="Q179" s="45" t="inlineStr">
        <is>
          <t>À analyser</t>
        </is>
      </c>
      <c r="R179" s="45" t="inlineStr">
        <is>
          <t>À évaluer selon ton cahier des charges</t>
        </is>
      </c>
      <c r="S179" s="49" t="n"/>
      <c r="T179" s="49" t="n"/>
      <c r="U179" s="81" t="n"/>
      <c r="V179" s="49" t="n"/>
      <c r="W179" s="41" t="n"/>
      <c r="X179" s="49" t="n"/>
    </row>
    <row r="180">
      <c r="A180" t="inlineStr">
        <is>
          <t>Qudelix</t>
        </is>
      </c>
      <c r="B180" t="inlineStr">
        <is>
          <t>5K</t>
        </is>
      </c>
      <c r="C180" t="inlineStr">
        <is>
          <t>2x ESS ES9219C (SABRE)</t>
        </is>
      </c>
      <c r="D180" t="inlineStr">
        <is>
          <t>Oui</t>
        </is>
      </c>
      <c r="E180" t="inlineStr">
        <is>
          <t>Oui</t>
        </is>
      </c>
      <c r="F180" t="inlineStr">
        <is>
          <t>Oui</t>
        </is>
      </c>
      <c r="G180" t="inlineStr">
        <is>
          <t>Non</t>
        </is>
      </c>
      <c r="H180" t="inlineStr">
        <is>
          <t>Oui</t>
        </is>
      </c>
      <c r="I180" t="inlineStr">
        <is>
          <t>Non</t>
        </is>
      </c>
      <c r="J180" t="inlineStr">
        <is>
          <t>Non</t>
        </is>
      </c>
      <c r="K180" t="inlineStr">
        <is>
          <t>Oui</t>
        </is>
      </c>
      <c r="L180" t="inlineStr">
        <is>
          <t>≈80 mW SE / 240 mW BAL @32Ω (2V/4V RMS)</t>
        </is>
      </c>
      <c r="M180" t="n">
        <v>110</v>
      </c>
      <c r="N180" t="inlineStr">
        <is>
          <t>BT DAC/amp</t>
        </is>
      </c>
      <c r="O180" t="inlineStr">
        <is>
          <t>Élevée</t>
        </is>
      </c>
      <c r="P180" t="inlineStr">
        <is>
          <t>https://www.headphonesty.com/2023/03/review-qudelix-5k/</t>
        </is>
      </c>
      <c r="Q180" t="inlineStr">
        <is>
          <t>Neutre-légèrement chaleureux, détaillé sans agressivité</t>
        </is>
      </c>
    </row>
    <row r="181">
      <c r="A181" t="inlineStr">
        <is>
          <t>AudioQuest</t>
        </is>
      </c>
      <c r="B181" t="inlineStr">
        <is>
          <t>DragonFly Cobalt</t>
        </is>
      </c>
      <c r="C181" t="inlineStr">
        <is>
          <t>1x ESS ES9038Q2M + amp ESS Sabre 9601</t>
        </is>
      </c>
      <c r="D181" t="inlineStr">
        <is>
          <t>Non</t>
        </is>
      </c>
      <c r="E181" t="inlineStr">
        <is>
          <t>Non</t>
        </is>
      </c>
      <c r="F181" t="inlineStr">
        <is>
          <t>Oui</t>
        </is>
      </c>
      <c r="G181" t="inlineStr">
        <is>
          <t>Non</t>
        </is>
      </c>
      <c r="H181" t="inlineStr">
        <is>
          <t>Non</t>
        </is>
      </c>
      <c r="I181" t="inlineStr">
        <is>
          <t>Non</t>
        </is>
      </c>
      <c r="J181" t="inlineStr">
        <is>
          <t>Non</t>
        </is>
      </c>
      <c r="K181" t="inlineStr">
        <is>
          <t>Non</t>
        </is>
      </c>
      <c r="L181" t="inlineStr">
        <is>
          <t>2.1 V RMS (sortie directe)</t>
        </is>
      </c>
      <c r="M181" t="n">
        <v>300</v>
      </c>
      <c r="N181" t="inlineStr">
        <is>
          <t>Dongle DAC/amp</t>
        </is>
      </c>
      <c r="O181" t="inlineStr">
        <is>
          <t>Élevée</t>
        </is>
      </c>
      <c r="P181" t="inlineStr">
        <is>
          <t>https://www.headfonia.com/audioquest-dragonfly-cobalt-review/</t>
        </is>
      </c>
      <c r="Q181" t="inlineStr">
        <is>
          <t>Naturel, expressif, chaleureux et détaillé</t>
        </is>
      </c>
    </row>
    <row r="182">
      <c r="A182" t="inlineStr">
        <is>
          <t>AudioQuest</t>
        </is>
      </c>
      <c r="B182" t="inlineStr">
        <is>
          <t>DragonFly Red</t>
        </is>
      </c>
      <c r="C182" t="inlineStr">
        <is>
          <t>1x ESS ES9016 (minimum-phase fast roll-off) + amp ESS Sabre 9601</t>
        </is>
      </c>
      <c r="D182" t="inlineStr">
        <is>
          <t>Non</t>
        </is>
      </c>
      <c r="E182" t="inlineStr">
        <is>
          <t>Non</t>
        </is>
      </c>
      <c r="F182" t="inlineStr">
        <is>
          <t>Oui</t>
        </is>
      </c>
      <c r="G182" t="inlineStr">
        <is>
          <t>Non</t>
        </is>
      </c>
      <c r="H182" t="inlineStr">
        <is>
          <t>Non</t>
        </is>
      </c>
      <c r="I182" t="inlineStr">
        <is>
          <t>Non</t>
        </is>
      </c>
      <c r="J182" t="inlineStr">
        <is>
          <t>Non</t>
        </is>
      </c>
      <c r="K182" t="inlineStr">
        <is>
          <t>Non</t>
        </is>
      </c>
      <c r="L182" t="inlineStr">
        <is>
          <t>2.1 V RMS</t>
        </is>
      </c>
      <c r="M182" t="n">
        <v>229</v>
      </c>
      <c r="N182" t="inlineStr">
        <is>
          <t>Dongle DAC/amp</t>
        </is>
      </c>
      <c r="O182" t="inlineStr">
        <is>
          <t>Élevée</t>
        </is>
      </c>
      <c r="P182" t="inlineStr">
        <is>
          <t>https://www.headfonia.com/review-audioquest-dragonfly-red-black/</t>
        </is>
      </c>
      <c r="Q182" t="inlineStr">
        <is>
          <t>Neutre, très légèrement chaleureux, détaillé et dynamique</t>
        </is>
      </c>
    </row>
    <row r="183">
      <c r="A183" t="inlineStr">
        <is>
          <t>Truthear</t>
        </is>
      </c>
      <c r="B183" t="inlineStr">
        <is>
          <t>SHIO</t>
        </is>
      </c>
      <c r="C183" t="inlineStr">
        <is>
          <t>2x Cirrus Logic CS43198</t>
        </is>
      </c>
      <c r="D183" t="inlineStr">
        <is>
          <t>Non</t>
        </is>
      </c>
      <c r="E183" t="inlineStr">
        <is>
          <t>Non</t>
        </is>
      </c>
      <c r="F183" t="inlineStr">
        <is>
          <t>Oui</t>
        </is>
      </c>
      <c r="G183" t="inlineStr">
        <is>
          <t>Oui</t>
        </is>
      </c>
      <c r="H183" t="inlineStr">
        <is>
          <t>Non</t>
        </is>
      </c>
      <c r="I183" t="inlineStr">
        <is>
          <t>Non</t>
        </is>
      </c>
      <c r="J183" t="inlineStr">
        <is>
          <t>Non</t>
        </is>
      </c>
      <c r="K183" t="inlineStr">
        <is>
          <t>Non</t>
        </is>
      </c>
      <c r="L183" t="inlineStr">
        <is>
          <t>150 mW x2 @32Ω, 55 mW x2 @300Ω (4V RMS BAL high gain)</t>
        </is>
      </c>
      <c r="M183" t="n">
        <v>70</v>
      </c>
      <c r="N183" t="inlineStr">
        <is>
          <t>Dongle DAC/amp</t>
        </is>
      </c>
      <c r="O183" t="inlineStr">
        <is>
          <t>Élevée</t>
        </is>
      </c>
      <c r="P183" t="inlineStr">
        <is>
          <t>https://www.headphonesty.com/2023/02/review-truthear-shio/</t>
        </is>
      </c>
      <c r="Q183" t="inlineStr">
        <is>
          <t>Chaleureux, analogique, musical, bassé — analogue plutôt qu'analytique</t>
        </is>
      </c>
    </row>
    <row r="184">
      <c r="A184" t="inlineStr">
        <is>
          <t>Simgot</t>
        </is>
      </c>
      <c r="B184" t="inlineStr">
        <is>
          <t>Dew4x</t>
        </is>
      </c>
      <c r="C184" t="inlineStr">
        <is>
          <t>2x Cirrus Logic CS43198</t>
        </is>
      </c>
      <c r="D184" t="inlineStr">
        <is>
          <t>Non</t>
        </is>
      </c>
      <c r="E184" t="inlineStr">
        <is>
          <t>Non</t>
        </is>
      </c>
      <c r="F184" t="inlineStr">
        <is>
          <t>Oui</t>
        </is>
      </c>
      <c r="G184" t="inlineStr">
        <is>
          <t>Oui</t>
        </is>
      </c>
      <c r="H184" t="inlineStr">
        <is>
          <t>Non</t>
        </is>
      </c>
      <c r="I184" t="inlineStr">
        <is>
          <t>Non</t>
        </is>
      </c>
      <c r="J184" t="inlineStr">
        <is>
          <t>Non</t>
        </is>
      </c>
      <c r="K184" t="inlineStr">
        <is>
          <t>Non</t>
        </is>
      </c>
      <c r="L184" t="inlineStr">
        <is>
          <t>NON TROUVÉ (moins que les concurrents ~150mW, plenty for IEMs)</t>
        </is>
      </c>
      <c r="M184" t="n">
        <v>79</v>
      </c>
      <c r="N184" t="inlineStr">
        <is>
          <t>Dongle DAC/amp</t>
        </is>
      </c>
      <c r="O184" t="inlineStr">
        <is>
          <t>Élevée</t>
        </is>
      </c>
      <c r="P184" t="inlineStr">
        <is>
          <t>https://mobileaudiophile.com/dacs/simgot-dew4x-review/</t>
        </is>
      </c>
      <c r="Q184" t="inlineStr">
        <is>
          <t>Propre, légèrement coloré, velours lisse, plus musical qu'analytique</t>
        </is>
      </c>
    </row>
    <row r="185">
      <c r="A185" t="inlineStr">
        <is>
          <t>iBasso</t>
        </is>
      </c>
      <c r="B185" t="inlineStr">
        <is>
          <t>DC01</t>
        </is>
      </c>
      <c r="C185" t="inlineStr">
        <is>
          <t>1x AKM AK4493EQ</t>
        </is>
      </c>
      <c r="D185" t="inlineStr">
        <is>
          <t>Non</t>
        </is>
      </c>
      <c r="E185" t="inlineStr">
        <is>
          <t>Non</t>
        </is>
      </c>
      <c r="F185" t="inlineStr">
        <is>
          <t>Non</t>
        </is>
      </c>
      <c r="G185" t="inlineStr">
        <is>
          <t>Non</t>
        </is>
      </c>
      <c r="H185" t="inlineStr">
        <is>
          <t>Oui</t>
        </is>
      </c>
      <c r="I185" t="inlineStr">
        <is>
          <t>Non</t>
        </is>
      </c>
      <c r="J185" t="inlineStr">
        <is>
          <t>Non</t>
        </is>
      </c>
      <c r="K185" t="inlineStr">
        <is>
          <t>Non</t>
        </is>
      </c>
      <c r="L185" t="inlineStr">
        <is>
          <t>113 mW @32Ω (1.9V)</t>
        </is>
      </c>
      <c r="M185" t="n">
        <v>49</v>
      </c>
      <c r="N185" t="inlineStr">
        <is>
          <t>Dongle DAC/amp</t>
        </is>
      </c>
      <c r="O185" t="inlineStr">
        <is>
          <t>Élevée</t>
        </is>
      </c>
      <c r="P185" t="inlineStr">
        <is>
          <t>https://www.headfonia.com/ibasso-dc01-first-look-sunday/</t>
        </is>
      </c>
      <c r="Q185" t="inlineStr">
        <is>
          <t>Équilibré entre définition et musicalité, rappelant l'AK320</t>
        </is>
      </c>
    </row>
    <row r="186">
      <c r="A186" t="inlineStr">
        <is>
          <t>Kiwi Ears</t>
        </is>
      </c>
      <c r="B186" t="inlineStr">
        <is>
          <t>Allegro Pro</t>
        </is>
      </c>
      <c r="C186" t="inlineStr">
        <is>
          <t>DAC custom haute performance + 2x ES9603 (amps)</t>
        </is>
      </c>
      <c r="D186" t="inlineStr">
        <is>
          <t>Non</t>
        </is>
      </c>
      <c r="E186" t="inlineStr">
        <is>
          <t>Non</t>
        </is>
      </c>
      <c r="F186" t="inlineStr">
        <is>
          <t>Oui</t>
        </is>
      </c>
      <c r="G186" t="inlineStr">
        <is>
          <t>Oui</t>
        </is>
      </c>
      <c r="H186" t="inlineStr">
        <is>
          <t>Non</t>
        </is>
      </c>
      <c r="I186" t="inlineStr">
        <is>
          <t>Non</t>
        </is>
      </c>
      <c r="J186" t="inlineStr">
        <is>
          <t>Non</t>
        </is>
      </c>
      <c r="K186" t="inlineStr">
        <is>
          <t>Oui</t>
        </is>
      </c>
      <c r="L186" t="inlineStr">
        <is>
          <t>68 mW @32Ω (3.5mm) / 170 mW @32Ω (4.4mm)</t>
        </is>
      </c>
      <c r="M186" t="n">
        <v>60</v>
      </c>
      <c r="N186" t="inlineStr">
        <is>
          <t>Dongle DAC/amp</t>
        </is>
      </c>
      <c r="O186" t="inlineStr">
        <is>
          <t>Élevée</t>
        </is>
      </c>
      <c r="P186" t="inlineStr">
        <is>
          <t>https://kiwiears.com/products/kiwi-ears-allegro-pro</t>
        </is>
      </c>
      <c r="Q186" t="inlineStr">
        <is>
          <t>Détail et clarté, aigus cristallins, basse profonde</t>
        </is>
      </c>
    </row>
    <row r="187">
      <c r="A187" t="inlineStr">
        <is>
          <t>EPZ</t>
        </is>
      </c>
      <c r="B187" t="inlineStr">
        <is>
          <t>TP35 Pro</t>
        </is>
      </c>
      <c r="C187" t="inlineStr">
        <is>
          <t>2x Cirrus Logic CS43198 (PCM 32/384 kHz, DSD256, SNR 131 dB)</t>
        </is>
      </c>
      <c r="D187" t="inlineStr">
        <is>
          <t>Non</t>
        </is>
      </c>
      <c r="E187" t="inlineStr">
        <is>
          <t>Non</t>
        </is>
      </c>
      <c r="F187" t="inlineStr">
        <is>
          <t>Oui</t>
        </is>
      </c>
      <c r="G187" t="inlineStr">
        <is>
          <t>Oui</t>
        </is>
      </c>
      <c r="H187" t="inlineStr">
        <is>
          <t>Non</t>
        </is>
      </c>
      <c r="I187" t="inlineStr">
        <is>
          <t>Non</t>
        </is>
      </c>
      <c r="J187" t="inlineStr">
        <is>
          <t>Non</t>
        </is>
      </c>
      <c r="K187" t="inlineStr">
        <is>
          <t>Oui</t>
        </is>
      </c>
      <c r="L187" t="inlineStr">
        <is>
          <t>112 mW @32Ω (3.5 SE) / 262 mW @32Ω (4.4 BAL)</t>
        </is>
      </c>
      <c r="M187" t="n">
        <v>88</v>
      </c>
      <c r="N187" t="inlineStr">
        <is>
          <t>Dongle DAC/amp</t>
        </is>
      </c>
      <c r="O187" t="inlineStr">
        <is>
          <t>Élevée</t>
        </is>
      </c>
      <c r="P187" t="inlineStr">
        <is>
          <t>https://mobileaudiophile.com/dacs/dongle/epz-tp35-pro-review/</t>
        </is>
      </c>
      <c r="Q187" t="inlineStr">
        <is>
          <t>Neutre/analytique, très propre et précis, avec un léger aigu finement affûté</t>
        </is>
      </c>
    </row>
    <row r="188">
      <c r="A188" t="inlineStr">
        <is>
          <t>EPZ</t>
        </is>
      </c>
      <c r="B188" t="inlineStr">
        <is>
          <t>TP20 Pro</t>
        </is>
      </c>
      <c r="C188" t="inlineStr">
        <is>
          <t>2x Cirrus Logic CS43131 (PCM 32/384 kHz, DSD256)</t>
        </is>
      </c>
      <c r="D188" t="inlineStr">
        <is>
          <t>Non</t>
        </is>
      </c>
      <c r="E188" t="inlineStr">
        <is>
          <t>Non</t>
        </is>
      </c>
      <c r="F188" t="inlineStr">
        <is>
          <t>Oui</t>
        </is>
      </c>
      <c r="G188" t="inlineStr">
        <is>
          <t>Oui</t>
        </is>
      </c>
      <c r="H188" t="inlineStr">
        <is>
          <t>Non</t>
        </is>
      </c>
      <c r="I188" t="inlineStr">
        <is>
          <t>Non</t>
        </is>
      </c>
      <c r="J188" t="inlineStr">
        <is>
          <t>Non</t>
        </is>
      </c>
      <c r="K188" t="inlineStr">
        <is>
          <t>Non</t>
        </is>
      </c>
      <c r="L188" t="inlineStr">
        <is>
          <t>121 mW @32Ω (3.5 SE, 2 Vrms) / 171 mW @32Ω (4.4 BAL, 4 Vrms)</t>
        </is>
      </c>
      <c r="M188" t="n">
        <v>80</v>
      </c>
      <c r="N188" t="inlineStr">
        <is>
          <t>Dongle DAC/amp</t>
        </is>
      </c>
      <c r="O188" t="inlineStr">
        <is>
          <t>Élevée</t>
        </is>
      </c>
      <c r="P188" t="inlineStr">
        <is>
          <t>https://mobileaudiophile.com/dacs/dongle/epz-tp20-pro-review/</t>
        </is>
      </c>
      <c r="Q188" t="inlineStr">
        <is>
          <t>Chaud/doux, warm-neutral avec une touche de velours ; graves avec du poids, aigus lissés</t>
        </is>
      </c>
    </row>
    <row r="189">
      <c r="A189" t="inlineStr">
        <is>
          <t>EPZ</t>
        </is>
      </c>
      <c r="B189" t="inlineStr">
        <is>
          <t>TP50</t>
        </is>
      </c>
      <c r="C189" t="inlineStr">
        <is>
          <t>2x CS43198 + 2x amplis indépendants RT6863 (PCM 32/768 kHz, DSD256)</t>
        </is>
      </c>
      <c r="D189" t="inlineStr">
        <is>
          <t>Non</t>
        </is>
      </c>
      <c r="E189" t="inlineStr">
        <is>
          <t>Non</t>
        </is>
      </c>
      <c r="F189" t="inlineStr">
        <is>
          <t>Oui</t>
        </is>
      </c>
      <c r="G189" t="inlineStr">
        <is>
          <t>Oui</t>
        </is>
      </c>
      <c r="H189" t="inlineStr">
        <is>
          <t>Non</t>
        </is>
      </c>
      <c r="I189" t="inlineStr">
        <is>
          <t>Non</t>
        </is>
      </c>
      <c r="J189" t="inlineStr">
        <is>
          <t>Non</t>
        </is>
      </c>
      <c r="K189" t="inlineStr">
        <is>
          <t>Non</t>
        </is>
      </c>
      <c r="L189" t="inlineStr">
        <is>
          <t>121 mW @32Ω (3.5 SE, 2 Vrms) / 240 mW @32Ω (4.4 BAL, 4 Vrms)</t>
        </is>
      </c>
      <c r="M189" t="n">
        <v>100</v>
      </c>
      <c r="N189" t="inlineStr">
        <is>
          <t>Dongle DAC/amp</t>
        </is>
      </c>
      <c r="O189" t="inlineStr">
        <is>
          <t>Élevée</t>
        </is>
      </c>
      <c r="P189" t="inlineStr">
        <is>
          <t>https://mobileaudiophile.com/dacs/dongle/epz-tp50-review/</t>
        </is>
      </c>
      <c r="Q189" t="inlineStr">
        <is>
          <t>Musical mais technique, équilibré, ne colore pas trop</t>
        </is>
      </c>
    </row>
    <row r="190">
      <c r="A190" t="inlineStr">
        <is>
          <t>Rose Technics</t>
        </is>
      </c>
      <c r="B190" t="inlineStr">
        <is>
          <t>RS9039</t>
        </is>
      </c>
      <c r="C190" t="inlineStr">
        <is>
          <t>ES9039Q2M (ESS Sabre) (PCM 32/384 kHz, DSD256, SNR 126 dB)</t>
        </is>
      </c>
      <c r="D190" t="inlineStr">
        <is>
          <t>Non</t>
        </is>
      </c>
      <c r="E190" t="inlineStr">
        <is>
          <t>Non</t>
        </is>
      </c>
      <c r="F190" t="inlineStr">
        <is>
          <t>Oui</t>
        </is>
      </c>
      <c r="G190" t="inlineStr">
        <is>
          <t>Oui</t>
        </is>
      </c>
      <c r="H190" t="inlineStr">
        <is>
          <t>Non</t>
        </is>
      </c>
      <c r="I190" t="inlineStr">
        <is>
          <t>Non</t>
        </is>
      </c>
      <c r="J190" t="inlineStr">
        <is>
          <t>Non</t>
        </is>
      </c>
      <c r="K190" t="inlineStr">
        <is>
          <t>Non</t>
        </is>
      </c>
      <c r="L190" t="inlineStr">
        <is>
          <t>240 mW @32Ω (3.5 SE) / 300 mW @32Ω (4.4 BAL)</t>
        </is>
      </c>
      <c r="M190" t="n">
        <v>65</v>
      </c>
      <c r="N190" t="inlineStr">
        <is>
          <t>Dongle DAC/amp</t>
        </is>
      </c>
      <c r="O190" t="inlineStr">
        <is>
          <t>Élevée</t>
        </is>
      </c>
      <c r="P190" t="inlineStr">
        <is>
          <t>https://mobileaudiophile.com/dacs/dongle/roseselsa-rs9039-review/</t>
        </is>
      </c>
      <c r="Q190" t="inlineStr">
        <is>
          <t>Chaud et basse-renforcé, musical, organique, terreux — très orienté musicalité</t>
        </is>
      </c>
    </row>
    <row r="191">
      <c r="A191" t="inlineStr">
        <is>
          <t>AFUL</t>
        </is>
      </c>
      <c r="B191" t="inlineStr">
        <is>
          <t>SnowyNight</t>
        </is>
      </c>
      <c r="C191" t="inlineStr">
        <is>
          <t>2x Cirrus Logic CS43198 (PCM 32/768 kHz, DSD256)</t>
        </is>
      </c>
      <c r="D191" t="inlineStr">
        <is>
          <t>Non</t>
        </is>
      </c>
      <c r="E191" t="inlineStr">
        <is>
          <t>Non</t>
        </is>
      </c>
      <c r="F191" t="inlineStr">
        <is>
          <t>Oui</t>
        </is>
      </c>
      <c r="G191" t="inlineStr">
        <is>
          <t>Oui</t>
        </is>
      </c>
      <c r="H191" t="inlineStr">
        <is>
          <t>Non</t>
        </is>
      </c>
      <c r="I191" t="inlineStr">
        <is>
          <t>Non</t>
        </is>
      </c>
      <c r="J191" t="inlineStr">
        <is>
          <t>Non</t>
        </is>
      </c>
      <c r="K191" t="inlineStr">
        <is>
          <t>Non</t>
        </is>
      </c>
      <c r="L191" t="inlineStr">
        <is>
          <t>140 mW @32Ω (3.5 SE, 2 Vrms) / 300 mW @32Ω (4.4 BAL)</t>
        </is>
      </c>
      <c r="M191" t="n">
        <v>100</v>
      </c>
      <c r="N191" t="inlineStr">
        <is>
          <t>Dongle DAC/amp</t>
        </is>
      </c>
      <c r="O191" t="inlineStr">
        <is>
          <t>Élevée</t>
        </is>
      </c>
      <c r="P191" t="inlineStr">
        <is>
          <t>https://mobileaudiophile.com/dacs/dongle/aful-snowynight-review/</t>
        </is>
      </c>
      <c r="Q191" t="inlineStr">
        <is>
          <t>Ouvert, musical et équilibré avec un très bon équilibre spectre complet ; son très ouvert, micro-détails préservés avec un timbre naturel</t>
        </is>
      </c>
    </row>
    <row r="192">
      <c r="A192" t="inlineStr">
        <is>
          <t>iKKO</t>
        </is>
      </c>
      <c r="B192" t="inlineStr">
        <is>
          <t>Zerda ITM01</t>
        </is>
      </c>
      <c r="C192" t="inlineStr">
        <is>
          <t>ESS ES9298 (PCM 16/384 kHz, DSD DoP128, SNR 118 dB)</t>
        </is>
      </c>
      <c r="D192" t="inlineStr">
        <is>
          <t>Non</t>
        </is>
      </c>
      <c r="E192" t="inlineStr">
        <is>
          <t>Non</t>
        </is>
      </c>
      <c r="F192" t="inlineStr">
        <is>
          <t>Oui</t>
        </is>
      </c>
      <c r="G192" t="inlineStr">
        <is>
          <t>Non</t>
        </is>
      </c>
      <c r="H192" t="inlineStr">
        <is>
          <t>Non</t>
        </is>
      </c>
      <c r="I192" t="inlineStr">
        <is>
          <t>Non</t>
        </is>
      </c>
      <c r="J192" t="inlineStr">
        <is>
          <t>Non</t>
        </is>
      </c>
      <c r="K192" t="inlineStr">
        <is>
          <t>Oui</t>
        </is>
      </c>
      <c r="L192" t="inlineStr">
        <is>
          <t>125 mW @32Ω (2 V @ 32Ω)</t>
        </is>
      </c>
      <c r="M192" t="n">
        <v>55</v>
      </c>
      <c r="N192" t="inlineStr">
        <is>
          <t>Dongle DAC/amp</t>
        </is>
      </c>
      <c r="O192" t="inlineStr">
        <is>
          <t>Élevée</t>
        </is>
      </c>
      <c r="P192" t="inlineStr">
        <is>
          <t>https://hiendportable.com/ikko-zerda-itm01-english-review/</t>
        </is>
      </c>
      <c r="Q192" t="inlineStr">
        <is>
          <t>Neutre avec un léger bass boost pour rester fun ; 3 modes (musique, film, jeu)</t>
        </is>
      </c>
    </row>
    <row r="193">
      <c r="A193" t="inlineStr">
        <is>
          <t>EarMen</t>
        </is>
      </c>
      <c r="B193" t="inlineStr">
        <is>
          <t>Eagle</t>
        </is>
      </c>
      <c r="C193" t="inlineStr">
        <is>
          <t>ESS Sabre ES9280 C PRO (PCM/DoP/DSD64/128, MQA, 32/384 kHz)</t>
        </is>
      </c>
      <c r="D193" t="inlineStr">
        <is>
          <t>Non</t>
        </is>
      </c>
      <c r="E193" t="inlineStr">
        <is>
          <t>Non</t>
        </is>
      </c>
      <c r="F193" t="inlineStr">
        <is>
          <t>Oui</t>
        </is>
      </c>
      <c r="G193" t="inlineStr">
        <is>
          <t>Non</t>
        </is>
      </c>
      <c r="H193" t="inlineStr">
        <is>
          <t>Non</t>
        </is>
      </c>
      <c r="I193" t="inlineStr">
        <is>
          <t>Non</t>
        </is>
      </c>
      <c r="J193" t="inlineStr">
        <is>
          <t>Non</t>
        </is>
      </c>
      <c r="K193" t="inlineStr">
        <is>
          <t>Non</t>
        </is>
      </c>
      <c r="L193" t="inlineStr">
        <is>
          <t>Modérée (spec constructeur) — pousse bien les IEM et HD 25, limite sur HD 600 300Ω</t>
        </is>
      </c>
      <c r="M193" t="n">
        <v>120</v>
      </c>
      <c r="N193" t="inlineStr">
        <is>
          <t>Dongle DAC/amp</t>
        </is>
      </c>
      <c r="O193" t="inlineStr">
        <is>
          <t>Élevée</t>
        </is>
      </c>
      <c r="P193" t="inlineStr">
        <is>
          <t>https://www.audioreviews.org/earmen-eagle-review/</t>
        </is>
      </c>
      <c r="Q193" t="inlineStr">
        <is>
          <t>Neutre avec une pointe de chaleur, très musical et organique, sans grain ni dureté</t>
        </is>
      </c>
    </row>
    <row r="194">
      <c r="A194" t="inlineStr">
        <is>
          <t>EarMen</t>
        </is>
      </c>
      <c r="B194" t="inlineStr">
        <is>
          <t>Sparrow</t>
        </is>
      </c>
      <c r="C194" t="inlineStr">
        <is>
          <t>ESS Sabre ES9281PRO (PCM/DoP/DSD64/128, MQA, 32/384 kHz)</t>
        </is>
      </c>
      <c r="D194" t="inlineStr">
        <is>
          <t>Non</t>
        </is>
      </c>
      <c r="E194" t="inlineStr">
        <is>
          <t>Non</t>
        </is>
      </c>
      <c r="F194" t="inlineStr">
        <is>
          <t>Oui</t>
        </is>
      </c>
      <c r="G194" t="inlineStr">
        <is>
          <t>Non</t>
        </is>
      </c>
      <c r="H194" t="inlineStr">
        <is>
          <t>Oui</t>
        </is>
      </c>
      <c r="I194" t="inlineStr">
        <is>
          <t>Non</t>
        </is>
      </c>
      <c r="J194" t="inlineStr">
        <is>
          <t>Non</t>
        </is>
      </c>
      <c r="K194" t="inlineStr">
        <is>
          <t>Non</t>
        </is>
      </c>
      <c r="L194" t="inlineStr">
        <is>
          <t>2.5 BAL : 125 mW @32Ω / 4 Vrms @600Ω (20 mW) ; 3.5 SE : 61 mW @32Ω / 7 mW @600Ω</t>
        </is>
      </c>
      <c r="M194" t="n">
        <v>185</v>
      </c>
      <c r="N194" t="inlineStr">
        <is>
          <t>Dongle DAC/amp</t>
        </is>
      </c>
      <c r="O194" t="inlineStr">
        <is>
          <t>Élevée</t>
        </is>
      </c>
      <c r="P194" t="inlineStr">
        <is>
          <t>https://www.audioreviews.org/earmen-sparrow-review/</t>
        </is>
      </c>
      <c r="Q194" t="inlineStr">
        <is>
          <t>Neutre-chaleureux (plus neutre que chaud), son quasi-analogique, plein et dynamique</t>
        </is>
      </c>
    </row>
    <row r="195">
      <c r="A195" t="inlineStr">
        <is>
          <t>Audirect</t>
        </is>
      </c>
      <c r="B195" t="inlineStr">
        <is>
          <t>Atom 2</t>
        </is>
      </c>
      <c r="C195" t="inlineStr">
        <is>
          <t>Décode MQA, chip non précisé</t>
        </is>
      </c>
      <c r="D195" t="inlineStr">
        <is>
          <t>Non</t>
        </is>
      </c>
      <c r="E195" t="inlineStr">
        <is>
          <t>Non</t>
        </is>
      </c>
      <c r="F195" t="inlineStr">
        <is>
          <t>Oui</t>
        </is>
      </c>
      <c r="G195" t="inlineStr">
        <is>
          <t>Non</t>
        </is>
      </c>
      <c r="H195" t="inlineStr">
        <is>
          <t>Non</t>
        </is>
      </c>
      <c r="I195" t="inlineStr">
        <is>
          <t>Non</t>
        </is>
      </c>
      <c r="J195" t="inlineStr">
        <is>
          <t>Non</t>
        </is>
      </c>
      <c r="K195" t="inlineStr">
        <is>
          <t>Non</t>
        </is>
      </c>
      <c r="L195" t="inlineStr">
        <is>
          <t>30 mW @16Ω / 7 mW @600Ω (annoncés) — plus de punch que prévu, driver 150Ω correctement</t>
        </is>
      </c>
      <c r="M195" t="n">
        <v>70</v>
      </c>
      <c r="N195" t="inlineStr">
        <is>
          <t>Dongle DAC/amp</t>
        </is>
      </c>
      <c r="O195" t="inlineStr">
        <is>
          <t>Élevée</t>
        </is>
      </c>
      <c r="P195" t="inlineStr">
        <is>
          <t>https://www.audioreviews.org/audirect-atom-2-review/</t>
        </is>
      </c>
      <c r="Q195" t="inlineStr">
        <is>
          <t>Chaud et formel, épaissit les notes, renforce les médiums, adoucit les aigus</t>
        </is>
      </c>
    </row>
    <row r="196">
      <c r="A196" t="inlineStr">
        <is>
          <t>Audirect</t>
        </is>
      </c>
      <c r="B196" t="inlineStr">
        <is>
          <t>Atom 3</t>
        </is>
      </c>
      <c r="C196" t="inlineStr">
        <is>
          <t>ESS9280 AC PRO, oscillateur femtoseconde, 32-bit/768 kHz, DSD512, SNR &gt;119 dB, THD+N 0.0004 %</t>
        </is>
      </c>
      <c r="D196" t="inlineStr">
        <is>
          <t>Non</t>
        </is>
      </c>
      <c r="E196" t="inlineStr">
        <is>
          <t>Non</t>
        </is>
      </c>
      <c r="F196" t="inlineStr">
        <is>
          <t>Oui</t>
        </is>
      </c>
      <c r="G196" t="inlineStr">
        <is>
          <t>Non</t>
        </is>
      </c>
      <c r="H196" t="inlineStr">
        <is>
          <t>Non</t>
        </is>
      </c>
      <c r="I196" t="inlineStr">
        <is>
          <t>Non</t>
        </is>
      </c>
      <c r="J196" t="inlineStr">
        <is>
          <t>Non</t>
        </is>
      </c>
      <c r="K196" t="inlineStr">
        <is>
          <t>Non</t>
        </is>
      </c>
      <c r="L196" t="inlineStr">
        <is>
          <t>62 mW@32 Ω / 160 mW@22 Ω / 7.4 mW@600 Ω</t>
        </is>
      </c>
      <c r="M196" t="n">
        <v>44</v>
      </c>
      <c r="N196" t="inlineStr">
        <is>
          <t>Dongle DAC/amp</t>
        </is>
      </c>
      <c r="O196" t="inlineStr">
        <is>
          <t>Élevée</t>
        </is>
      </c>
      <c r="P196" t="inlineStr">
        <is>
          <t>https://www.audioreviews.org/audirect-atom-3-review/</t>
        </is>
      </c>
      <c r="Q196" t="inlineStr">
        <is>
          <t>Agressif et vivant, ajoute du poids, de la dynamique et de la matière aux notes, avec une tonalité naturelle vinyle</t>
        </is>
      </c>
    </row>
    <row r="197">
      <c r="A197" t="inlineStr">
        <is>
          <t>Audirect</t>
        </is>
      </c>
      <c r="B197" t="inlineStr">
        <is>
          <t>Team 1</t>
        </is>
      </c>
      <c r="C197" t="inlineStr">
        <is>
          <t>ES9281AC PRO, op-amps OPA1612×1 + OPA6863×4, 32-bit/768 kHz, DSD512, SNR 118 dB, THD+N 0.000004 %</t>
        </is>
      </c>
      <c r="D197" t="inlineStr">
        <is>
          <t>Oui</t>
        </is>
      </c>
      <c r="E197" t="inlineStr">
        <is>
          <t>Oui</t>
        </is>
      </c>
      <c r="F197" t="inlineStr">
        <is>
          <t>Oui</t>
        </is>
      </c>
      <c r="G197" t="inlineStr">
        <is>
          <t>Oui</t>
        </is>
      </c>
      <c r="H197" t="inlineStr">
        <is>
          <t>Non</t>
        </is>
      </c>
      <c r="I197" t="inlineStr">
        <is>
          <t>Non</t>
        </is>
      </c>
      <c r="J197" t="inlineStr">
        <is>
          <t>Non</t>
        </is>
      </c>
      <c r="K197" t="inlineStr">
        <is>
          <t>Non</t>
        </is>
      </c>
      <c r="L197" t="inlineStr">
        <is>
          <t>3.5 mm ≥2.0 Vrms (16 Ω) / 2.8 Vrms (32–600 Ω) ; 4.4 mm ≥1.5 Vrms (16 Ω) / 2.3 Vrms (32 Ω) / 5.6 Vrms (600 Ω)</t>
        </is>
      </c>
      <c r="M197" t="n">
        <v>300</v>
      </c>
      <c r="N197" t="inlineStr">
        <is>
          <t>DAC/amp portable</t>
        </is>
      </c>
      <c r="O197" t="inlineStr">
        <is>
          <t>Élevée</t>
        </is>
      </c>
      <c r="P197" t="inlineStr">
        <is>
          <t>https://www.audioreviews.org/audirect-team-1-review/</t>
        </is>
      </c>
      <c r="Q197" t="inlineStr">
        <is>
          <t>Neutre et propre, sans coloration ni empreinte artificielle, avec un léger épaississement de la texture des notes</t>
        </is>
      </c>
    </row>
    <row r="198">
      <c r="A198" t="inlineStr">
        <is>
          <t>Venture Electronics</t>
        </is>
      </c>
      <c r="B198" t="inlineStr">
        <is>
          <t>Odyssey HD</t>
        </is>
      </c>
      <c r="C198" t="inlineStr">
        <is>
          <t>Realtek ALC4042 (SoC DAC+amp), 24-bit/96 kHz, SNR 98 dB(A), THD 0.01 %, 1 V RMS max, 45 mA max</t>
        </is>
      </c>
      <c r="D198" t="inlineStr">
        <is>
          <t>Non</t>
        </is>
      </c>
      <c r="E198" t="inlineStr">
        <is>
          <t>Non</t>
        </is>
      </c>
      <c r="F198" t="inlineStr">
        <is>
          <t>Oui</t>
        </is>
      </c>
      <c r="G198" t="inlineStr">
        <is>
          <t>Oui</t>
        </is>
      </c>
      <c r="H198" t="inlineStr">
        <is>
          <t>Oui</t>
        </is>
      </c>
      <c r="I198" t="inlineStr">
        <is>
          <t>Non</t>
        </is>
      </c>
      <c r="J198" t="inlineStr">
        <is>
          <t>Non</t>
        </is>
      </c>
      <c r="K198" t="inlineStr">
        <is>
          <t>Non</t>
        </is>
      </c>
      <c r="L198" t="inlineStr">
        <is>
          <t>1 V RMS max, 45 mA max</t>
        </is>
      </c>
      <c r="M198" t="n">
        <v>9</v>
      </c>
      <c r="N198" t="inlineStr">
        <is>
          <t>Dongle DAC/amp</t>
        </is>
      </c>
      <c r="O198" t="inlineStr">
        <is>
          <t>Élevée</t>
        </is>
      </c>
      <c r="P198" t="inlineStr">
        <is>
          <t>https://www.soundphilereview.com/reviews/venture-electronics-odyssey-hd-review-4580/</t>
        </is>
      </c>
      <c r="Q198" t="inlineStr">
        <is>
          <t>Plus basseux que neutre, amplifié et musclé, mais sans la finesse de détail du dongle Apple</t>
        </is>
      </c>
    </row>
    <row r="199">
      <c r="A199" t="inlineStr">
        <is>
          <t>TempoTec</t>
        </is>
      </c>
      <c r="B199" t="inlineStr">
        <is>
          <t>Sonata HD II</t>
        </is>
      </c>
      <c r="C199" t="inlineStr">
        <is>
          <t>ES9270, SNR 116 dB, THD+N 108 dB@32 Ω, 70 mW/32 Ω, PCM 32-bit/384 kHz, DSD128 (DoP), 2 Vrms/600 Ω, USB-C uniquement</t>
        </is>
      </c>
      <c r="D199" t="inlineStr">
        <is>
          <t>Non</t>
        </is>
      </c>
      <c r="E199" t="inlineStr">
        <is>
          <t>Non</t>
        </is>
      </c>
      <c r="F199" t="inlineStr">
        <is>
          <t>Oui</t>
        </is>
      </c>
      <c r="G199" t="inlineStr">
        <is>
          <t>Non</t>
        </is>
      </c>
      <c r="H199" t="inlineStr">
        <is>
          <t>Non</t>
        </is>
      </c>
      <c r="I199" t="inlineStr">
        <is>
          <t>Non</t>
        </is>
      </c>
      <c r="J199" t="inlineStr">
        <is>
          <t>Non</t>
        </is>
      </c>
      <c r="K199" t="inlineStr">
        <is>
          <t>Non</t>
        </is>
      </c>
      <c r="L199" t="inlineStr">
        <is>
          <t>70 mW/32 Ω, 2 Vrms/600 Ω</t>
        </is>
      </c>
      <c r="M199" t="n">
        <v>80</v>
      </c>
      <c r="N199" t="inlineStr">
        <is>
          <t>Dongle DAC/amp</t>
        </is>
      </c>
      <c r="O199" t="inlineStr">
        <is>
          <t>Élevée</t>
        </is>
      </c>
      <c r="P199" t="inlineStr">
        <is>
          <t>https://www.audiophile-heaven.com/2022/05/tempotec-sonata-hd-ii-music-tail.html</t>
        </is>
      </c>
      <c r="Q199" t="inlineStr">
        <is>
          <t>Propre et globalement transparent, avec une légère emphase médium ; le haut est lissé</t>
        </is>
      </c>
    </row>
    <row r="200">
      <c r="A200" t="inlineStr">
        <is>
          <t>BGVP</t>
        </is>
      </c>
      <c r="B200" t="inlineStr">
        <is>
          <t>T01s</t>
        </is>
      </c>
      <c r="C200" t="inlineStr">
        <is>
          <t>Conexant CX31993 avec op-amp plus robuste, 32-bit/384 kHz, sortie 3.5 mm</t>
        </is>
      </c>
      <c r="D200" t="inlineStr">
        <is>
          <t>Non</t>
        </is>
      </c>
      <c r="E200" t="inlineStr">
        <is>
          <t>Non</t>
        </is>
      </c>
      <c r="F200" t="inlineStr">
        <is>
          <t>Oui</t>
        </is>
      </c>
      <c r="G200" t="inlineStr">
        <is>
          <t>Non</t>
        </is>
      </c>
      <c r="H200" t="inlineStr">
        <is>
          <t>Non</t>
        </is>
      </c>
      <c r="I200" t="inlineStr">
        <is>
          <t>Non</t>
        </is>
      </c>
      <c r="J200" t="inlineStr">
        <is>
          <t>Non</t>
        </is>
      </c>
      <c r="K200" t="inlineStr">
        <is>
          <t>Non</t>
        </is>
      </c>
      <c r="L200" t="inlineStr">
        <is>
          <t>NON TROUVÉ (très fort à 45 % de volume)</t>
        </is>
      </c>
      <c r="M200" t="n">
        <v>16</v>
      </c>
      <c r="N200" t="inlineStr">
        <is>
          <t>Dongle DAC/amp</t>
        </is>
      </c>
      <c r="O200" t="inlineStr">
        <is>
          <t>Élevée</t>
        </is>
      </c>
      <c r="P200" t="inlineStr">
        <is>
          <t>https://www.audioreviews.org/bgvp-t01s-review/</t>
        </is>
      </c>
      <c r="Q200" t="inlineStr">
        <is>
          <t>Plein et sombre, sub-bass sismique et serré, médiums riches, très puissant</t>
        </is>
      </c>
    </row>
    <row r="201">
      <c r="A201" t="inlineStr">
        <is>
          <t>Campfire Audio</t>
        </is>
      </c>
      <c r="B201" t="inlineStr">
        <is>
          <t>Relay</t>
        </is>
      </c>
      <c r="C201" t="inlineStr">
        <is>
          <t>AKM AK4493SEQ (Velvet Sound), low gain 1.35/2.7 Vrms, high gain 2/4 Vrms (SE/BAL), volume 60 pas, contrôle transport</t>
        </is>
      </c>
      <c r="D201" t="inlineStr">
        <is>
          <t>Non</t>
        </is>
      </c>
      <c r="E201" t="inlineStr">
        <is>
          <t>Non</t>
        </is>
      </c>
      <c r="F201" t="inlineStr">
        <is>
          <t>Oui</t>
        </is>
      </c>
      <c r="G201" t="inlineStr">
        <is>
          <t>Oui</t>
        </is>
      </c>
      <c r="H201" t="inlineStr">
        <is>
          <t>Non</t>
        </is>
      </c>
      <c r="I201" t="inlineStr">
        <is>
          <t>Non</t>
        </is>
      </c>
      <c r="J201" t="inlineStr">
        <is>
          <t>Non</t>
        </is>
      </c>
      <c r="K201" t="inlineStr">
        <is>
          <t>Non</t>
        </is>
      </c>
      <c r="L201" t="inlineStr">
        <is>
          <t>2/4 Vrms (SE/BAL) high gain</t>
        </is>
      </c>
      <c r="M201" t="n">
        <v>210</v>
      </c>
      <c r="N201" t="inlineStr">
        <is>
          <t>Dongle DAC/amp</t>
        </is>
      </c>
      <c r="O201" t="inlineStr">
        <is>
          <t>Élevée</t>
        </is>
      </c>
      <c r="P201" t="inlineStr">
        <is>
          <t>https://majorhifi.com/campfire-audio-relay-review/</t>
        </is>
      </c>
      <c r="Q201" t="inlineStr">
        <is>
          <t>Très neutre et précis, analytique avec un tranchant ; imaging holographique exceptionnel</t>
        </is>
      </c>
    </row>
    <row r="202">
      <c r="A202" t="inlineStr">
        <is>
          <t>Cozoy</t>
        </is>
      </c>
      <c r="B202" t="inlineStr">
        <is>
          <t>Takt-C</t>
        </is>
      </c>
      <c r="C202" t="inlineStr">
        <is>
          <t>ESS Sabre ES9018Q2C, SNR 120 dB, 1.5 Vrms@32 Ω/canal, 32-bit/384 kHz, DSD, boîtier 6063 aluminium, câble 10 cm</t>
        </is>
      </c>
      <c r="D202" t="inlineStr">
        <is>
          <t>Non</t>
        </is>
      </c>
      <c r="E202" t="inlineStr">
        <is>
          <t>Non</t>
        </is>
      </c>
      <c r="F202" t="inlineStr">
        <is>
          <t>Oui</t>
        </is>
      </c>
      <c r="G202" t="inlineStr">
        <is>
          <t>Non</t>
        </is>
      </c>
      <c r="H202" t="inlineStr">
        <is>
          <t>Non</t>
        </is>
      </c>
      <c r="I202" t="inlineStr">
        <is>
          <t>Non</t>
        </is>
      </c>
      <c r="J202" t="inlineStr">
        <is>
          <t>Non</t>
        </is>
      </c>
      <c r="K202" t="inlineStr">
        <is>
          <t>Non</t>
        </is>
      </c>
      <c r="L202" t="inlineStr">
        <is>
          <t>1.5 Vrms@32 Ω/canal</t>
        </is>
      </c>
      <c r="M202" t="n">
        <v>60</v>
      </c>
      <c r="N202" t="inlineStr">
        <is>
          <t>Dongle DAC/amp</t>
        </is>
      </c>
      <c r="O202" t="inlineStr">
        <is>
          <t>Élevée</t>
        </is>
      </c>
      <c r="P202" t="inlineStr">
        <is>
          <t>https://www.audioreviews.org/cozoy-takt-c-review/</t>
        </is>
      </c>
      <c r="Q202" t="inlineStr">
        <is>
          <t>Signature chaude et légèrement amplifiée, basses avec un peu plus d'oomph, aigus atténués</t>
        </is>
      </c>
    </row>
    <row r="203">
      <c r="A203" t="inlineStr">
        <is>
          <t>Celest</t>
        </is>
      </c>
      <c r="B203" t="inlineStr">
        <is>
          <t>CD-2</t>
        </is>
      </c>
      <c r="C203" t="inlineStr">
        <is>
          <t>Conexant CX31993, 140 mW@16 Ω / 60 mW@32 Ω, poids 21 g, boîtier zinc, gamme dynamique 124 dB</t>
        </is>
      </c>
      <c r="D203" t="inlineStr">
        <is>
          <t>Non</t>
        </is>
      </c>
      <c r="E203" t="inlineStr">
        <is>
          <t>Non</t>
        </is>
      </c>
      <c r="F203" t="inlineStr">
        <is>
          <t>Oui</t>
        </is>
      </c>
      <c r="G203" t="inlineStr">
        <is>
          <t>Oui</t>
        </is>
      </c>
      <c r="H203" t="inlineStr">
        <is>
          <t>Non</t>
        </is>
      </c>
      <c r="I203" t="inlineStr">
        <is>
          <t>Non</t>
        </is>
      </c>
      <c r="J203" t="inlineStr">
        <is>
          <t>Non</t>
        </is>
      </c>
      <c r="K203" t="inlineStr">
        <is>
          <t>Non</t>
        </is>
      </c>
      <c r="L203" t="inlineStr">
        <is>
          <t>140 mW@16 Ω / 60 mW@32 Ω</t>
        </is>
      </c>
      <c r="M203" t="n">
        <v>23</v>
      </c>
      <c r="N203" t="inlineStr">
        <is>
          <t>Dongle DAC/amp</t>
        </is>
      </c>
      <c r="O203" t="inlineStr">
        <is>
          <t>Élevée</t>
        </is>
      </c>
      <c r="P203" t="inlineStr">
        <is>
          <t>https://www.audioreviews.org/celest-cd-2-review/</t>
        </is>
      </c>
      <c r="Q203" t="inlineStr">
        <is>
          <t>Brillant, brut et vinylesque, avec beaucoup de basse et de présence, mais extension aiguë limitée</t>
        </is>
      </c>
    </row>
    <row r="204">
      <c r="A204" t="inlineStr">
        <is>
          <t>Apogee</t>
        </is>
      </c>
      <c r="B204" t="inlineStr">
        <is>
          <t>Groove</t>
        </is>
      </c>
      <c r="C204" t="inlineStr">
        <is>
          <t>USB 2.0, topologie current-shaping brevetée Constant Current Drive, 40mW/600Ω, &gt;5V out; sortie 3.5mm seule</t>
        </is>
      </c>
      <c r="D204" t="inlineStr">
        <is>
          <t>Non</t>
        </is>
      </c>
      <c r="E204" t="inlineStr">
        <is>
          <t>Non</t>
        </is>
      </c>
      <c r="F204" t="inlineStr">
        <is>
          <t>Oui</t>
        </is>
      </c>
      <c r="G204" t="inlineStr">
        <is>
          <t>Non</t>
        </is>
      </c>
      <c r="H204" t="inlineStr">
        <is>
          <t>Non</t>
        </is>
      </c>
      <c r="I204" t="inlineStr">
        <is>
          <t>Non</t>
        </is>
      </c>
      <c r="J204" t="inlineStr">
        <is>
          <t>Non</t>
        </is>
      </c>
      <c r="K204" t="inlineStr">
        <is>
          <t>Non</t>
        </is>
      </c>
      <c r="L204" t="inlineStr">
        <is>
          <t>40mW/600Ω, &gt;5V out</t>
        </is>
      </c>
      <c r="M204" t="n">
        <v>180</v>
      </c>
      <c r="N204" t="inlineStr">
        <is>
          <t>Dongle DAC/amp</t>
        </is>
      </c>
      <c r="O204" t="inlineStr">
        <is>
          <t>Élevée</t>
        </is>
      </c>
      <c r="P204" t="inlineStr">
        <is>
          <t>https://www.audioreviews.org/apogee-groove-review-ap/</t>
        </is>
      </c>
      <c r="Q204" t="inlineStr">
        <is>
          <t>DAC de niveau pro à reconstruction spatiale phénoménale, technique mais musical</t>
        </is>
      </c>
    </row>
    <row r="205">
      <c r="A205" t="inlineStr">
        <is>
          <t>SMSL</t>
        </is>
      </c>
      <c r="B205" t="inlineStr">
        <is>
          <t>C200</t>
        </is>
      </c>
      <c r="C205" t="inlineStr">
        <is>
          <t>ESS ES9038Q2M + opamps TI OPA1612A; DSD512, PCM 32/768; RCA pre-out + TRS bal</t>
        </is>
      </c>
      <c r="D205" t="inlineStr">
        <is>
          <t>Non</t>
        </is>
      </c>
      <c r="E205" t="inlineStr">
        <is>
          <t>Oui</t>
        </is>
      </c>
      <c r="F205" t="inlineStr">
        <is>
          <t>Non</t>
        </is>
      </c>
      <c r="G205" t="inlineStr">
        <is>
          <t>Oui</t>
        </is>
      </c>
      <c r="H205" t="inlineStr">
        <is>
          <t>Non</t>
        </is>
      </c>
      <c r="I205" t="inlineStr">
        <is>
          <t>Oui</t>
        </is>
      </c>
      <c r="J205" t="inlineStr">
        <is>
          <t>Non</t>
        </is>
      </c>
      <c r="K205" t="inlineStr">
        <is>
          <t>Oui</t>
        </is>
      </c>
      <c r="L205" t="inlineStr">
        <is>
          <t>NON TROUVÉ</t>
        </is>
      </c>
      <c r="M205" t="n">
        <v>200</v>
      </c>
      <c r="N205" t="inlineStr">
        <is>
          <t>DAC/amp portable</t>
        </is>
      </c>
      <c r="O205" t="inlineStr">
        <is>
          <t>Élevée</t>
        </is>
      </c>
      <c r="P205" t="inlineStr">
        <is>
          <t>https://www.audioreviews.org/aoshida-audio-smsl-c200-review-dw/</t>
        </is>
      </c>
      <c r="Q205" t="inlineStr">
        <is>
          <t>Vif, punchy dans le grave, aigu propre, très transparent</t>
        </is>
      </c>
    </row>
    <row r="206">
      <c r="A206" t="inlineStr">
        <is>
          <t>NuPrime</t>
        </is>
      </c>
      <c r="B206" t="inlineStr">
        <is>
          <t>Hi-mDAC</t>
        </is>
      </c>
      <c r="C206" t="inlineStr">
        <is>
          <t>Cirrus Logic (CS43131), DAC USB clé; mode line-out possible</t>
        </is>
      </c>
      <c r="D206" t="inlineStr">
        <is>
          <t>Non</t>
        </is>
      </c>
      <c r="E206" t="inlineStr">
        <is>
          <t>Non</t>
        </is>
      </c>
      <c r="F206" t="inlineStr">
        <is>
          <t>Oui</t>
        </is>
      </c>
      <c r="G206" t="inlineStr">
        <is>
          <t>Non</t>
        </is>
      </c>
      <c r="H206" t="inlineStr">
        <is>
          <t>Non</t>
        </is>
      </c>
      <c r="I206" t="inlineStr">
        <is>
          <t>Non</t>
        </is>
      </c>
      <c r="J206" t="inlineStr">
        <is>
          <t>Non</t>
        </is>
      </c>
      <c r="K206" t="inlineStr">
        <is>
          <t>Non</t>
        </is>
      </c>
      <c r="L206" t="inlineStr">
        <is>
          <t>NON TROUVÉ</t>
        </is>
      </c>
      <c r="M206" t="n">
        <v>139</v>
      </c>
      <c r="N206" t="inlineStr">
        <is>
          <t>Dongle DAC/amp</t>
        </is>
      </c>
      <c r="O206" t="inlineStr">
        <is>
          <t>Élevée</t>
        </is>
      </c>
      <c r="P206" t="inlineStr">
        <is>
          <t>https://www.headfonia.com/nuprime-hi-mdac-review/</t>
        </is>
      </c>
      <c r="Q206" t="inlineStr">
        <is>
          <t>Médiums relevés, nets et clairs; signature engageante</t>
        </is>
      </c>
    </row>
    <row r="207">
      <c r="A207" t="inlineStr">
        <is>
          <t>Apos Audio</t>
        </is>
      </c>
      <c r="B207" t="inlineStr">
        <is>
          <t>Druid</t>
        </is>
      </c>
      <c r="C207" t="inlineStr">
        <is>
          <t>DAC R-2R à échelle résistive discrète, USB uniquement, sortie casque 3.5mm + RCA</t>
        </is>
      </c>
      <c r="D207" t="inlineStr">
        <is>
          <t>Non</t>
        </is>
      </c>
      <c r="E207" t="inlineStr">
        <is>
          <t>Non</t>
        </is>
      </c>
      <c r="F207" t="inlineStr">
        <is>
          <t>Oui</t>
        </is>
      </c>
      <c r="G207" t="inlineStr">
        <is>
          <t>Non</t>
        </is>
      </c>
      <c r="H207" t="inlineStr">
        <is>
          <t>Non</t>
        </is>
      </c>
      <c r="I207" t="inlineStr">
        <is>
          <t>Non</t>
        </is>
      </c>
      <c r="J207" t="inlineStr">
        <is>
          <t>Non</t>
        </is>
      </c>
      <c r="K207" t="inlineStr">
        <is>
          <t>Non</t>
        </is>
      </c>
      <c r="L207" t="inlineStr">
        <is>
          <t>NON TROUVÉ</t>
        </is>
      </c>
      <c r="M207" t="n">
        <v>150</v>
      </c>
      <c r="N207" t="inlineStr">
        <is>
          <t>DAC/amp portable</t>
        </is>
      </c>
      <c r="O207" t="inlineStr">
        <is>
          <t>Élevée</t>
        </is>
      </c>
      <c r="P207" t="inlineStr">
        <is>
          <t>https://www.headfonia.com/apos-druid-review/</t>
        </is>
      </c>
      <c r="Q207" t="inlineStr">
        <is>
          <t>Chaud, organique, analogique — priorité à la musicalité sur la précision analytique</t>
        </is>
      </c>
    </row>
    <row r="208">
      <c r="A208" t="inlineStr">
        <is>
          <t>EarMen</t>
        </is>
      </c>
      <c r="B208" t="inlineStr">
        <is>
          <t>TR-Amp</t>
        </is>
      </c>
      <c r="C208" t="inlineStr">
        <is>
          <t>ESS ES9038Q2M (PCM 384 + DSD256, MQA) + TI TPA6120; circuits séparés power/data USB-C; pre-out RCA</t>
        </is>
      </c>
      <c r="D208" t="inlineStr">
        <is>
          <t>Oui</t>
        </is>
      </c>
      <c r="E208" t="inlineStr">
        <is>
          <t>Non</t>
        </is>
      </c>
      <c r="F208" t="inlineStr">
        <is>
          <t>Oui</t>
        </is>
      </c>
      <c r="G208" t="inlineStr">
        <is>
          <t>Non</t>
        </is>
      </c>
      <c r="H208" t="inlineStr">
        <is>
          <t>Non</t>
        </is>
      </c>
      <c r="I208" t="inlineStr">
        <is>
          <t>Oui</t>
        </is>
      </c>
      <c r="J208" t="inlineStr">
        <is>
          <t>Non</t>
        </is>
      </c>
      <c r="K208" t="inlineStr">
        <is>
          <t>Non</t>
        </is>
      </c>
      <c r="L208" t="inlineStr">
        <is>
          <t>400mW@16Ω</t>
        </is>
      </c>
      <c r="M208" t="n">
        <v>260</v>
      </c>
      <c r="N208" t="inlineStr">
        <is>
          <t>DAC/amp portable</t>
        </is>
      </c>
      <c r="O208" t="inlineStr">
        <is>
          <t>Élevée</t>
        </is>
      </c>
      <c r="P208" t="inlineStr">
        <is>
          <t>https://www.headfonia.com/earmen-tr-amp-review/</t>
        </is>
      </c>
      <c r="Q208" t="inlineStr">
        <is>
          <t>Synergie DAC/AMP magique, fond noir silencieux, détail élevé</t>
        </is>
      </c>
    </row>
    <row r="209">
      <c r="A209" t="inlineStr">
        <is>
          <t>Radsone</t>
        </is>
      </c>
      <c r="B209" t="inlineStr">
        <is>
          <t>Earstudio HUD100 MK2</t>
        </is>
      </c>
      <c r="C209" t="inlineStr">
        <is>
          <t>AKM AK4377, PCM 32/384, DSD128 (DoP), THD+N -105dB, DR 118dB, out imp &lt;1Ω, sortie 0.914V/2.26V</t>
        </is>
      </c>
      <c r="D209" t="inlineStr">
        <is>
          <t>Non</t>
        </is>
      </c>
      <c r="E209" t="inlineStr">
        <is>
          <t>Non</t>
        </is>
      </c>
      <c r="F209" t="inlineStr">
        <is>
          <t>Oui</t>
        </is>
      </c>
      <c r="G209" t="inlineStr">
        <is>
          <t>Non</t>
        </is>
      </c>
      <c r="H209" t="inlineStr">
        <is>
          <t>Non</t>
        </is>
      </c>
      <c r="I209" t="inlineStr">
        <is>
          <t>Non</t>
        </is>
      </c>
      <c r="J209" t="inlineStr">
        <is>
          <t>Non</t>
        </is>
      </c>
      <c r="K209" t="inlineStr">
        <is>
          <t>Oui</t>
        </is>
      </c>
      <c r="L209" t="inlineStr">
        <is>
          <t>0.914V/2.26V (Standard/High Power)</t>
        </is>
      </c>
      <c r="M209" t="n">
        <v>110</v>
      </c>
      <c r="N209" t="inlineStr">
        <is>
          <t>Dongle DAC/amp</t>
        </is>
      </c>
      <c r="O209" t="inlineStr">
        <is>
          <t>Élevée</t>
        </is>
      </c>
      <c r="P209" t="inlineStr">
        <is>
          <t>https://www.audioreviews.org/earstudio-hud100-review-jk/</t>
        </is>
      </c>
      <c r="Q209" t="inlineStr">
        <is>
          <t>Le plus linéaire testé, non agressif et non analytique; 3 filtres (Bypass/DCT/Dynamic)</t>
        </is>
      </c>
    </row>
    <row r="210">
      <c r="A210" t="inlineStr">
        <is>
          <t>iKKO</t>
        </is>
      </c>
      <c r="B210" t="inlineStr">
        <is>
          <t>Heimdalir ITB03</t>
        </is>
      </c>
      <c r="C210" t="inlineStr">
        <is>
          <t>Dual AKM AK4377 (dual-mono) + opamp Ricore RT6863; USB-C, mode UAC2.0, NFC, DSD/PCM 384</t>
        </is>
      </c>
      <c r="D210" t="inlineStr">
        <is>
          <t>Oui</t>
        </is>
      </c>
      <c r="E210" t="inlineStr">
        <is>
          <t>Oui</t>
        </is>
      </c>
      <c r="F210" t="inlineStr">
        <is>
          <t>Oui</t>
        </is>
      </c>
      <c r="G210" t="inlineStr">
        <is>
          <t>Oui</t>
        </is>
      </c>
      <c r="H210" t="inlineStr">
        <is>
          <t>Non</t>
        </is>
      </c>
      <c r="I210" t="inlineStr">
        <is>
          <t>Non</t>
        </is>
      </c>
      <c r="J210" t="inlineStr">
        <is>
          <t>Non</t>
        </is>
      </c>
      <c r="K210" t="inlineStr">
        <is>
          <t>Oui</t>
        </is>
      </c>
      <c r="L210" t="inlineStr">
        <is>
          <t>Bonne puissance en 4.4mm bal</t>
        </is>
      </c>
      <c r="M210" t="n">
        <v>138</v>
      </c>
      <c r="N210" t="inlineStr">
        <is>
          <t>BT DAC/amp</t>
        </is>
      </c>
      <c r="O210" t="inlineStr">
        <is>
          <t>Élevée</t>
        </is>
      </c>
      <c r="P210" t="inlineStr">
        <is>
          <t>https://www.audioreviews.org/ikko-itb03-review-kazi/</t>
        </is>
      </c>
      <c r="Q210" t="inlineStr">
        <is>
          <t>Warm-neutre, inoffensif, agréable avec tous IEM</t>
        </is>
      </c>
    </row>
    <row r="211">
      <c r="A211" t="inlineStr">
        <is>
          <t>TimeEar</t>
        </is>
      </c>
      <c r="B211" t="inlineStr">
        <is>
          <t>BTE-9</t>
        </is>
      </c>
      <c r="C211" t="inlineStr">
        <is>
          <t>Qualcomm QCC5125 + dual CS43198 + opamps ESS ES9603; USB DAC + mic, écran OLED, 60g, 2 gains, volume 63 pas</t>
        </is>
      </c>
      <c r="D211" t="inlineStr">
        <is>
          <t>Oui</t>
        </is>
      </c>
      <c r="E211" t="inlineStr">
        <is>
          <t>Oui</t>
        </is>
      </c>
      <c r="F211" t="inlineStr">
        <is>
          <t>Oui</t>
        </is>
      </c>
      <c r="G211" t="inlineStr">
        <is>
          <t>Oui</t>
        </is>
      </c>
      <c r="H211" t="inlineStr">
        <is>
          <t>Non</t>
        </is>
      </c>
      <c r="I211" t="inlineStr">
        <is>
          <t>Non</t>
        </is>
      </c>
      <c r="J211" t="inlineStr">
        <is>
          <t>Non</t>
        </is>
      </c>
      <c r="K211" t="inlineStr">
        <is>
          <t>Oui</t>
        </is>
      </c>
      <c r="L211" t="inlineStr">
        <is>
          <t>100mW SE / 240mW BAL</t>
        </is>
      </c>
      <c r="M211" t="n">
        <v>73</v>
      </c>
      <c r="N211" t="inlineStr">
        <is>
          <t>BT DAC/amp</t>
        </is>
      </c>
      <c r="O211" t="inlineStr">
        <is>
          <t>Élevée</t>
        </is>
      </c>
      <c r="P211" t="inlineStr">
        <is>
          <t>https://moonstarreviews.net/timeear-bte-9-review/</t>
        </is>
      </c>
      <c r="Q211" t="inlineStr">
        <is>
          <t>Neutre-crisp, légèrement bright, très détaillé, parfait rock/metal/EDM; bass tight</t>
        </is>
      </c>
    </row>
  </sheetData>
  <autoFilter ref="A4:R178"/>
  <mergeCells count="3">
    <mergeCell ref="A2:R2"/>
    <mergeCell ref="A1:R1"/>
    <mergeCell ref="A1:X1"/>
  </mergeCells>
  <hyperlinks>
    <hyperlink xmlns:r="http://schemas.openxmlformats.org/officeDocument/2006/relationships" ref="P6" r:id="rId1"/>
    <hyperlink xmlns:r="http://schemas.openxmlformats.org/officeDocument/2006/relationships" ref="P8" r:id="rId2"/>
    <hyperlink xmlns:r="http://schemas.openxmlformats.org/officeDocument/2006/relationships" ref="W8" r:id="rId3"/>
    <hyperlink xmlns:r="http://schemas.openxmlformats.org/officeDocument/2006/relationships" ref="P9" r:id="rId4"/>
    <hyperlink xmlns:r="http://schemas.openxmlformats.org/officeDocument/2006/relationships" ref="P10" r:id="rId5"/>
    <hyperlink xmlns:r="http://schemas.openxmlformats.org/officeDocument/2006/relationships" ref="W10" r:id="rId6"/>
    <hyperlink xmlns:r="http://schemas.openxmlformats.org/officeDocument/2006/relationships" ref="P11" r:id="rId7"/>
    <hyperlink xmlns:r="http://schemas.openxmlformats.org/officeDocument/2006/relationships" ref="P12" r:id="rId8"/>
    <hyperlink xmlns:r="http://schemas.openxmlformats.org/officeDocument/2006/relationships" ref="W12" r:id="rId9"/>
    <hyperlink xmlns:r="http://schemas.openxmlformats.org/officeDocument/2006/relationships" ref="P13" r:id="rId10"/>
    <hyperlink xmlns:r="http://schemas.openxmlformats.org/officeDocument/2006/relationships" ref="W13" r:id="rId11"/>
    <hyperlink xmlns:r="http://schemas.openxmlformats.org/officeDocument/2006/relationships" ref="P14" r:id="rId12"/>
    <hyperlink xmlns:r="http://schemas.openxmlformats.org/officeDocument/2006/relationships" ref="W14" r:id="rId13"/>
    <hyperlink xmlns:r="http://schemas.openxmlformats.org/officeDocument/2006/relationships" ref="P15" r:id="rId14"/>
    <hyperlink xmlns:r="http://schemas.openxmlformats.org/officeDocument/2006/relationships" ref="P16" r:id="rId15"/>
    <hyperlink xmlns:r="http://schemas.openxmlformats.org/officeDocument/2006/relationships" ref="W16" r:id="rId16"/>
    <hyperlink xmlns:r="http://schemas.openxmlformats.org/officeDocument/2006/relationships" ref="P17" r:id="rId17"/>
    <hyperlink xmlns:r="http://schemas.openxmlformats.org/officeDocument/2006/relationships" ref="P18" r:id="rId18"/>
    <hyperlink xmlns:r="http://schemas.openxmlformats.org/officeDocument/2006/relationships" ref="P19" r:id="rId19"/>
    <hyperlink xmlns:r="http://schemas.openxmlformats.org/officeDocument/2006/relationships" ref="W19" r:id="rId20"/>
    <hyperlink xmlns:r="http://schemas.openxmlformats.org/officeDocument/2006/relationships" ref="P20" r:id="rId21"/>
    <hyperlink xmlns:r="http://schemas.openxmlformats.org/officeDocument/2006/relationships" ref="W20" r:id="rId22"/>
    <hyperlink xmlns:r="http://schemas.openxmlformats.org/officeDocument/2006/relationships" ref="P21" r:id="rId23"/>
    <hyperlink xmlns:r="http://schemas.openxmlformats.org/officeDocument/2006/relationships" ref="P22" r:id="rId24"/>
    <hyperlink xmlns:r="http://schemas.openxmlformats.org/officeDocument/2006/relationships" ref="W22" r:id="rId25"/>
    <hyperlink xmlns:r="http://schemas.openxmlformats.org/officeDocument/2006/relationships" ref="P23" r:id="rId26"/>
    <hyperlink xmlns:r="http://schemas.openxmlformats.org/officeDocument/2006/relationships" ref="W23" r:id="rId27"/>
    <hyperlink xmlns:r="http://schemas.openxmlformats.org/officeDocument/2006/relationships" ref="P24" r:id="rId28"/>
    <hyperlink xmlns:r="http://schemas.openxmlformats.org/officeDocument/2006/relationships" ref="P25" r:id="rId29"/>
    <hyperlink xmlns:r="http://schemas.openxmlformats.org/officeDocument/2006/relationships" ref="W25" r:id="rId30"/>
    <hyperlink xmlns:r="http://schemas.openxmlformats.org/officeDocument/2006/relationships" ref="P26" r:id="rId31"/>
    <hyperlink xmlns:r="http://schemas.openxmlformats.org/officeDocument/2006/relationships" ref="W26" r:id="rId32"/>
    <hyperlink xmlns:r="http://schemas.openxmlformats.org/officeDocument/2006/relationships" ref="P27" r:id="rId33"/>
    <hyperlink xmlns:r="http://schemas.openxmlformats.org/officeDocument/2006/relationships" ref="W27" r:id="rId34"/>
    <hyperlink xmlns:r="http://schemas.openxmlformats.org/officeDocument/2006/relationships" ref="P28" r:id="rId35"/>
    <hyperlink xmlns:r="http://schemas.openxmlformats.org/officeDocument/2006/relationships" ref="W30" r:id="rId36"/>
    <hyperlink xmlns:r="http://schemas.openxmlformats.org/officeDocument/2006/relationships" ref="P31" r:id="rId37"/>
    <hyperlink xmlns:r="http://schemas.openxmlformats.org/officeDocument/2006/relationships" ref="W32" r:id="rId38"/>
    <hyperlink xmlns:r="http://schemas.openxmlformats.org/officeDocument/2006/relationships" ref="W33" r:id="rId39"/>
    <hyperlink xmlns:r="http://schemas.openxmlformats.org/officeDocument/2006/relationships" ref="W34" r:id="rId40"/>
    <hyperlink xmlns:r="http://schemas.openxmlformats.org/officeDocument/2006/relationships" ref="W35" r:id="rId41"/>
    <hyperlink xmlns:r="http://schemas.openxmlformats.org/officeDocument/2006/relationships" ref="W36" r:id="rId42"/>
    <hyperlink xmlns:r="http://schemas.openxmlformats.org/officeDocument/2006/relationships" ref="W37" r:id="rId43"/>
    <hyperlink xmlns:r="http://schemas.openxmlformats.org/officeDocument/2006/relationships" ref="W38" r:id="rId44"/>
    <hyperlink xmlns:r="http://schemas.openxmlformats.org/officeDocument/2006/relationships" ref="W39" r:id="rId45"/>
    <hyperlink xmlns:r="http://schemas.openxmlformats.org/officeDocument/2006/relationships" ref="W40" r:id="rId46"/>
    <hyperlink xmlns:r="http://schemas.openxmlformats.org/officeDocument/2006/relationships" ref="W41" r:id="rId47"/>
    <hyperlink xmlns:r="http://schemas.openxmlformats.org/officeDocument/2006/relationships" ref="W42" r:id="rId48"/>
    <hyperlink xmlns:r="http://schemas.openxmlformats.org/officeDocument/2006/relationships" ref="W43" r:id="rId49"/>
    <hyperlink xmlns:r="http://schemas.openxmlformats.org/officeDocument/2006/relationships" ref="W44" r:id="rId50"/>
    <hyperlink xmlns:r="http://schemas.openxmlformats.org/officeDocument/2006/relationships" ref="W45" r:id="rId51"/>
    <hyperlink xmlns:r="http://schemas.openxmlformats.org/officeDocument/2006/relationships" ref="W46" r:id="rId52"/>
    <hyperlink xmlns:r="http://schemas.openxmlformats.org/officeDocument/2006/relationships" ref="W47" r:id="rId53"/>
    <hyperlink xmlns:r="http://schemas.openxmlformats.org/officeDocument/2006/relationships" ref="W48" r:id="rId54"/>
    <hyperlink xmlns:r="http://schemas.openxmlformats.org/officeDocument/2006/relationships" ref="W49" r:id="rId55"/>
    <hyperlink xmlns:r="http://schemas.openxmlformats.org/officeDocument/2006/relationships" ref="W50" r:id="rId56"/>
    <hyperlink xmlns:r="http://schemas.openxmlformats.org/officeDocument/2006/relationships" ref="W51" r:id="rId57"/>
    <hyperlink xmlns:r="http://schemas.openxmlformats.org/officeDocument/2006/relationships" ref="W52" r:id="rId58"/>
    <hyperlink xmlns:r="http://schemas.openxmlformats.org/officeDocument/2006/relationships" ref="W53" r:id="rId59"/>
    <hyperlink xmlns:r="http://schemas.openxmlformats.org/officeDocument/2006/relationships" ref="W54" r:id="rId60"/>
    <hyperlink xmlns:r="http://schemas.openxmlformats.org/officeDocument/2006/relationships" ref="W55" r:id="rId61"/>
    <hyperlink xmlns:r="http://schemas.openxmlformats.org/officeDocument/2006/relationships" ref="W56" r:id="rId62"/>
    <hyperlink xmlns:r="http://schemas.openxmlformats.org/officeDocument/2006/relationships" ref="W57" r:id="rId63"/>
    <hyperlink xmlns:r="http://schemas.openxmlformats.org/officeDocument/2006/relationships" ref="W58" r:id="rId64"/>
    <hyperlink xmlns:r="http://schemas.openxmlformats.org/officeDocument/2006/relationships" ref="W59" r:id="rId65"/>
    <hyperlink xmlns:r="http://schemas.openxmlformats.org/officeDocument/2006/relationships" ref="W60" r:id="rId66"/>
    <hyperlink xmlns:r="http://schemas.openxmlformats.org/officeDocument/2006/relationships" ref="W61" r:id="rId67"/>
    <hyperlink xmlns:r="http://schemas.openxmlformats.org/officeDocument/2006/relationships" ref="W62" r:id="rId68"/>
    <hyperlink xmlns:r="http://schemas.openxmlformats.org/officeDocument/2006/relationships" ref="W63" r:id="rId69"/>
    <hyperlink xmlns:r="http://schemas.openxmlformats.org/officeDocument/2006/relationships" ref="W64" r:id="rId70"/>
    <hyperlink xmlns:r="http://schemas.openxmlformats.org/officeDocument/2006/relationships" ref="W65" r:id="rId71"/>
    <hyperlink xmlns:r="http://schemas.openxmlformats.org/officeDocument/2006/relationships" ref="W66" r:id="rId72"/>
    <hyperlink xmlns:r="http://schemas.openxmlformats.org/officeDocument/2006/relationships" ref="W67" r:id="rId73"/>
    <hyperlink xmlns:r="http://schemas.openxmlformats.org/officeDocument/2006/relationships" ref="W68" r:id="rId74"/>
    <hyperlink xmlns:r="http://schemas.openxmlformats.org/officeDocument/2006/relationships" ref="W69" r:id="rId75"/>
    <hyperlink xmlns:r="http://schemas.openxmlformats.org/officeDocument/2006/relationships" ref="W70" r:id="rId76"/>
    <hyperlink xmlns:r="http://schemas.openxmlformats.org/officeDocument/2006/relationships" ref="W71" r:id="rId77"/>
    <hyperlink xmlns:r="http://schemas.openxmlformats.org/officeDocument/2006/relationships" ref="W72" r:id="rId78"/>
    <hyperlink xmlns:r="http://schemas.openxmlformats.org/officeDocument/2006/relationships" ref="W73" r:id="rId79"/>
    <hyperlink xmlns:r="http://schemas.openxmlformats.org/officeDocument/2006/relationships" ref="W74" r:id="rId80"/>
    <hyperlink xmlns:r="http://schemas.openxmlformats.org/officeDocument/2006/relationships" ref="W75" r:id="rId81"/>
    <hyperlink xmlns:r="http://schemas.openxmlformats.org/officeDocument/2006/relationships" ref="W76" r:id="rId82"/>
    <hyperlink xmlns:r="http://schemas.openxmlformats.org/officeDocument/2006/relationships" ref="W77" r:id="rId83"/>
    <hyperlink xmlns:r="http://schemas.openxmlformats.org/officeDocument/2006/relationships" ref="W78" r:id="rId84"/>
    <hyperlink xmlns:r="http://schemas.openxmlformats.org/officeDocument/2006/relationships" ref="W79" r:id="rId85"/>
    <hyperlink xmlns:r="http://schemas.openxmlformats.org/officeDocument/2006/relationships" ref="W80" r:id="rId86"/>
    <hyperlink xmlns:r="http://schemas.openxmlformats.org/officeDocument/2006/relationships" ref="W81" r:id="rId87"/>
    <hyperlink xmlns:r="http://schemas.openxmlformats.org/officeDocument/2006/relationships" ref="W82" r:id="rId88"/>
    <hyperlink xmlns:r="http://schemas.openxmlformats.org/officeDocument/2006/relationships" ref="W83" r:id="rId89"/>
    <hyperlink xmlns:r="http://schemas.openxmlformats.org/officeDocument/2006/relationships" ref="W84" r:id="rId90"/>
    <hyperlink xmlns:r="http://schemas.openxmlformats.org/officeDocument/2006/relationships" ref="W85" r:id="rId91"/>
    <hyperlink xmlns:r="http://schemas.openxmlformats.org/officeDocument/2006/relationships" ref="W86" r:id="rId92"/>
    <hyperlink xmlns:r="http://schemas.openxmlformats.org/officeDocument/2006/relationships" ref="W87" r:id="rId93"/>
    <hyperlink xmlns:r="http://schemas.openxmlformats.org/officeDocument/2006/relationships" ref="W88" r:id="rId94"/>
    <hyperlink xmlns:r="http://schemas.openxmlformats.org/officeDocument/2006/relationships" ref="W89" r:id="rId95"/>
    <hyperlink xmlns:r="http://schemas.openxmlformats.org/officeDocument/2006/relationships" ref="W90" r:id="rId96"/>
    <hyperlink xmlns:r="http://schemas.openxmlformats.org/officeDocument/2006/relationships" ref="W91" r:id="rId97"/>
    <hyperlink xmlns:r="http://schemas.openxmlformats.org/officeDocument/2006/relationships" ref="W92" r:id="rId98"/>
    <hyperlink xmlns:r="http://schemas.openxmlformats.org/officeDocument/2006/relationships" ref="W93" r:id="rId99"/>
    <hyperlink xmlns:r="http://schemas.openxmlformats.org/officeDocument/2006/relationships" ref="W94" r:id="rId100"/>
    <hyperlink xmlns:r="http://schemas.openxmlformats.org/officeDocument/2006/relationships" ref="W95" r:id="rId101"/>
    <hyperlink xmlns:r="http://schemas.openxmlformats.org/officeDocument/2006/relationships" ref="W96" r:id="rId102"/>
    <hyperlink xmlns:r="http://schemas.openxmlformats.org/officeDocument/2006/relationships" ref="W97" r:id="rId103"/>
    <hyperlink xmlns:r="http://schemas.openxmlformats.org/officeDocument/2006/relationships" ref="W98" r:id="rId104"/>
    <hyperlink xmlns:r="http://schemas.openxmlformats.org/officeDocument/2006/relationships" ref="W99" r:id="rId105"/>
    <hyperlink xmlns:r="http://schemas.openxmlformats.org/officeDocument/2006/relationships" ref="W100" r:id="rId106"/>
    <hyperlink xmlns:r="http://schemas.openxmlformats.org/officeDocument/2006/relationships" ref="W101" r:id="rId107"/>
    <hyperlink xmlns:r="http://schemas.openxmlformats.org/officeDocument/2006/relationships" ref="W102" r:id="rId108"/>
    <hyperlink xmlns:r="http://schemas.openxmlformats.org/officeDocument/2006/relationships" ref="W103" r:id="rId109"/>
    <hyperlink xmlns:r="http://schemas.openxmlformats.org/officeDocument/2006/relationships" ref="W104" r:id="rId110"/>
    <hyperlink xmlns:r="http://schemas.openxmlformats.org/officeDocument/2006/relationships" ref="W105" r:id="rId111"/>
    <hyperlink xmlns:r="http://schemas.openxmlformats.org/officeDocument/2006/relationships" ref="W106" r:id="rId112"/>
    <hyperlink xmlns:r="http://schemas.openxmlformats.org/officeDocument/2006/relationships" ref="W107" r:id="rId113"/>
    <hyperlink xmlns:r="http://schemas.openxmlformats.org/officeDocument/2006/relationships" ref="W108" r:id="rId114"/>
    <hyperlink xmlns:r="http://schemas.openxmlformats.org/officeDocument/2006/relationships" ref="W109" r:id="rId115"/>
    <hyperlink xmlns:r="http://schemas.openxmlformats.org/officeDocument/2006/relationships" ref="W110" r:id="rId116"/>
    <hyperlink xmlns:r="http://schemas.openxmlformats.org/officeDocument/2006/relationships" ref="W111" r:id="rId117"/>
    <hyperlink xmlns:r="http://schemas.openxmlformats.org/officeDocument/2006/relationships" ref="W112" r:id="rId118"/>
    <hyperlink xmlns:r="http://schemas.openxmlformats.org/officeDocument/2006/relationships" ref="W113" r:id="rId119"/>
    <hyperlink xmlns:r="http://schemas.openxmlformats.org/officeDocument/2006/relationships" ref="W114" r:id="rId120"/>
    <hyperlink xmlns:r="http://schemas.openxmlformats.org/officeDocument/2006/relationships" ref="W115" r:id="rId121"/>
    <hyperlink xmlns:r="http://schemas.openxmlformats.org/officeDocument/2006/relationships" ref="W116" r:id="rId122"/>
    <hyperlink xmlns:r="http://schemas.openxmlformats.org/officeDocument/2006/relationships" ref="W117" r:id="rId123"/>
    <hyperlink xmlns:r="http://schemas.openxmlformats.org/officeDocument/2006/relationships" ref="W118" r:id="rId124"/>
    <hyperlink xmlns:r="http://schemas.openxmlformats.org/officeDocument/2006/relationships" ref="W119" r:id="rId125"/>
    <hyperlink xmlns:r="http://schemas.openxmlformats.org/officeDocument/2006/relationships" ref="W120" r:id="rId126"/>
    <hyperlink xmlns:r="http://schemas.openxmlformats.org/officeDocument/2006/relationships" ref="W121" r:id="rId127"/>
    <hyperlink xmlns:r="http://schemas.openxmlformats.org/officeDocument/2006/relationships" ref="W122" r:id="rId128"/>
    <hyperlink xmlns:r="http://schemas.openxmlformats.org/officeDocument/2006/relationships" ref="W123" r:id="rId129"/>
    <hyperlink xmlns:r="http://schemas.openxmlformats.org/officeDocument/2006/relationships" ref="W124" r:id="rId130"/>
    <hyperlink xmlns:r="http://schemas.openxmlformats.org/officeDocument/2006/relationships" ref="W125" r:id="rId131"/>
    <hyperlink xmlns:r="http://schemas.openxmlformats.org/officeDocument/2006/relationships" ref="W126" r:id="rId132"/>
    <hyperlink xmlns:r="http://schemas.openxmlformats.org/officeDocument/2006/relationships" ref="W127" r:id="rId133"/>
    <hyperlink xmlns:r="http://schemas.openxmlformats.org/officeDocument/2006/relationships" ref="W128" r:id="rId134"/>
    <hyperlink xmlns:r="http://schemas.openxmlformats.org/officeDocument/2006/relationships" ref="W129" r:id="rId135"/>
    <hyperlink xmlns:r="http://schemas.openxmlformats.org/officeDocument/2006/relationships" ref="W130" r:id="rId136"/>
    <hyperlink xmlns:r="http://schemas.openxmlformats.org/officeDocument/2006/relationships" ref="W131" r:id="rId137"/>
    <hyperlink xmlns:r="http://schemas.openxmlformats.org/officeDocument/2006/relationships" ref="W132" r:id="rId138"/>
    <hyperlink xmlns:r="http://schemas.openxmlformats.org/officeDocument/2006/relationships" ref="W133" r:id="rId139"/>
    <hyperlink xmlns:r="http://schemas.openxmlformats.org/officeDocument/2006/relationships" ref="W134" r:id="rId140"/>
    <hyperlink xmlns:r="http://schemas.openxmlformats.org/officeDocument/2006/relationships" ref="W135" r:id="rId141"/>
    <hyperlink xmlns:r="http://schemas.openxmlformats.org/officeDocument/2006/relationships" ref="W136" r:id="rId142"/>
    <hyperlink xmlns:r="http://schemas.openxmlformats.org/officeDocument/2006/relationships" ref="W137" r:id="rId143"/>
    <hyperlink xmlns:r="http://schemas.openxmlformats.org/officeDocument/2006/relationships" ref="W138" r:id="rId144"/>
    <hyperlink xmlns:r="http://schemas.openxmlformats.org/officeDocument/2006/relationships" ref="W139" r:id="rId145"/>
    <hyperlink xmlns:r="http://schemas.openxmlformats.org/officeDocument/2006/relationships" ref="W140" r:id="rId146"/>
    <hyperlink xmlns:r="http://schemas.openxmlformats.org/officeDocument/2006/relationships" ref="W141" r:id="rId147"/>
    <hyperlink xmlns:r="http://schemas.openxmlformats.org/officeDocument/2006/relationships" ref="W142" r:id="rId148"/>
    <hyperlink xmlns:r="http://schemas.openxmlformats.org/officeDocument/2006/relationships" ref="W143" r:id="rId149"/>
    <hyperlink xmlns:r="http://schemas.openxmlformats.org/officeDocument/2006/relationships" ref="W144" r:id="rId150"/>
    <hyperlink xmlns:r="http://schemas.openxmlformats.org/officeDocument/2006/relationships" ref="W145" r:id="rId151"/>
    <hyperlink xmlns:r="http://schemas.openxmlformats.org/officeDocument/2006/relationships" ref="W146" r:id="rId152"/>
    <hyperlink xmlns:r="http://schemas.openxmlformats.org/officeDocument/2006/relationships" ref="W147" r:id="rId153"/>
    <hyperlink xmlns:r="http://schemas.openxmlformats.org/officeDocument/2006/relationships" ref="W148" r:id="rId154"/>
    <hyperlink xmlns:r="http://schemas.openxmlformats.org/officeDocument/2006/relationships" ref="W149" r:id="rId155"/>
    <hyperlink xmlns:r="http://schemas.openxmlformats.org/officeDocument/2006/relationships" ref="W150" r:id="rId156"/>
    <hyperlink xmlns:r="http://schemas.openxmlformats.org/officeDocument/2006/relationships" ref="W151" r:id="rId157"/>
    <hyperlink xmlns:r="http://schemas.openxmlformats.org/officeDocument/2006/relationships" ref="W152" r:id="rId158"/>
    <hyperlink xmlns:r="http://schemas.openxmlformats.org/officeDocument/2006/relationships" ref="W153" r:id="rId159"/>
    <hyperlink xmlns:r="http://schemas.openxmlformats.org/officeDocument/2006/relationships" ref="W154" r:id="rId160"/>
    <hyperlink xmlns:r="http://schemas.openxmlformats.org/officeDocument/2006/relationships" ref="W155" r:id="rId161"/>
    <hyperlink xmlns:r="http://schemas.openxmlformats.org/officeDocument/2006/relationships" ref="W156" r:id="rId162"/>
    <hyperlink xmlns:r="http://schemas.openxmlformats.org/officeDocument/2006/relationships" ref="W157" r:id="rId16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46"/>
  <sheetViews>
    <sheetView workbookViewId="0">
      <pane ySplit="4" topLeftCell="A5" activePane="bottomLeft" state="frozen"/>
      <selection pane="bottomLeft" activeCell="A1" sqref="A1"/>
    </sheetView>
  </sheetViews>
  <sheetFormatPr baseColWidth="8" defaultRowHeight="15"/>
  <cols>
    <col width="7" customWidth="1" min="1" max="1"/>
    <col width="16" customWidth="1" min="2" max="2"/>
    <col width="22" customWidth="1" min="3" max="3"/>
    <col width="12" customWidth="1" min="4" max="4"/>
    <col width="14" customWidth="1" min="5" max="5"/>
    <col width="52" customWidth="1" min="6" max="6"/>
    <col width="70" customWidth="1" min="7" max="7"/>
    <col width="12" customWidth="1" min="8" max="8"/>
  </cols>
  <sheetData>
    <row r="1">
      <c r="A1" s="193" t="inlineStr">
        <is>
          <t>Traçabilité de la vérification des colonnes D à K de « Technique &amp; sources »</t>
        </is>
      </c>
    </row>
    <row r="2">
      <c r="A2" s="194" t="inlineStr">
        <is>
          <t>Une ligne par produit et par champ renseigné. Vérification unitaire du 2026-08-10 : URL réellement ouverte + citation verbatim ayant servi de preuve. Depuis la reprise du 2026-08-10, la feuille contient aussi les cellules conclues par défaut : la citation indique alors explicitement « Aucune mention de … dans la source produit consultée » et l'URL est celle de la source ouverte pour ce produit. Ces lignes relèvent de la règle « non mentionné = Non » et non d'une attestation directe.</t>
        </is>
      </c>
    </row>
    <row r="4">
      <c r="A4" s="195" t="inlineStr">
        <is>
          <t>Ligne</t>
        </is>
      </c>
      <c r="B4" s="195" t="inlineStr">
        <is>
          <t>Marque</t>
        </is>
      </c>
      <c r="C4" s="195" t="inlineStr">
        <is>
          <t>Modèle</t>
        </is>
      </c>
      <c r="D4" s="195" t="inlineStr">
        <is>
          <t>Champ</t>
        </is>
      </c>
      <c r="E4" s="195" t="inlineStr">
        <is>
          <t>Valeur retenue</t>
        </is>
      </c>
      <c r="F4" s="195" t="inlineStr">
        <is>
          <t>URL source</t>
        </is>
      </c>
      <c r="G4" s="195" t="inlineStr">
        <is>
          <t>Citation verbatim</t>
        </is>
      </c>
      <c r="H4" s="195" t="inlineStr">
        <is>
          <t>Date vérif.</t>
        </is>
      </c>
    </row>
    <row r="5">
      <c r="A5" t="n">
        <v>6</v>
      </c>
      <c r="B5" t="inlineStr">
        <is>
          <t>Cayin</t>
        </is>
      </c>
      <c r="C5" t="inlineStr">
        <is>
          <t>N7</t>
        </is>
      </c>
      <c r="D5" t="inlineStr">
        <is>
          <t>Batterie</t>
        </is>
      </c>
      <c r="E5" t="inlineStr">
        <is>
          <t>Oui</t>
        </is>
      </c>
      <c r="F5" t="inlineStr">
        <is>
          <t>https://hifigo.com/products/cayin-n7</t>
        </is>
      </c>
      <c r="G5" s="26" t="inlineStr">
        <is>
          <t>Cayin N7 houses a large 9000mAh battery pack that provides a battery back of anywhere between 6 to 10 hours.</t>
        </is>
      </c>
      <c r="H5" t="inlineStr">
        <is>
          <t>2026-08-10</t>
        </is>
      </c>
    </row>
    <row r="6">
      <c r="A6" t="n">
        <v>6</v>
      </c>
      <c r="B6" t="inlineStr">
        <is>
          <t>Cayin</t>
        </is>
      </c>
      <c r="C6" t="inlineStr">
        <is>
          <t>N7</t>
        </is>
      </c>
      <c r="D6" t="inlineStr">
        <is>
          <t>Bluetooth</t>
        </is>
      </c>
      <c r="E6" t="inlineStr">
        <is>
          <t>Oui</t>
        </is>
      </c>
      <c r="F6" t="inlineStr">
        <is>
          <t>https://hifigo.com/products/cayin-n7</t>
        </is>
      </c>
      <c r="G6" s="26" t="inlineStr">
        <is>
          <t>Cayin N7 also has high-resolution two-way Bluetooth connectivity with class-leading LDAC, UAT, AAC, and SBC transmission protocols.</t>
        </is>
      </c>
      <c r="H6" t="inlineStr">
        <is>
          <t>2026-08-10</t>
        </is>
      </c>
    </row>
    <row r="7">
      <c r="A7" t="n">
        <v>6</v>
      </c>
      <c r="B7" t="inlineStr">
        <is>
          <t>Cayin</t>
        </is>
      </c>
      <c r="C7" t="inlineStr">
        <is>
          <t>N7</t>
        </is>
      </c>
      <c r="D7" t="inlineStr">
        <is>
          <t>3.5mm</t>
        </is>
      </c>
      <c r="E7" t="inlineStr">
        <is>
          <t>Oui</t>
        </is>
      </c>
      <c r="F7" t="inlineStr">
        <is>
          <t>https://headfonics.com/cayin-n7-review/</t>
        </is>
      </c>
      <c r="G7" s="26" t="inlineStr">
        <is>
          <t>You get 4 ports, 2 x 4.4mm balanced for PO and LO, and 2 x 3.5mm SE for PO and LO.</t>
        </is>
      </c>
      <c r="H7" t="inlineStr">
        <is>
          <t>2026-08-10</t>
        </is>
      </c>
    </row>
    <row r="8">
      <c r="A8" t="n">
        <v>6</v>
      </c>
      <c r="B8" t="inlineStr">
        <is>
          <t>Cayin</t>
        </is>
      </c>
      <c r="C8" t="inlineStr">
        <is>
          <t>N7</t>
        </is>
      </c>
      <c r="D8" t="inlineStr">
        <is>
          <t>4.4mm</t>
        </is>
      </c>
      <c r="E8" t="inlineStr">
        <is>
          <t>Oui</t>
        </is>
      </c>
      <c r="F8" t="inlineStr">
        <is>
          <t>https://headfonics.com/cayin-n7-review/</t>
        </is>
      </c>
      <c r="G8" s="26" t="inlineStr">
        <is>
          <t>You get 4 ports, 2 x 4.4mm balanced for PO and LO, and 2 x 3.5mm SE for PO and LO.</t>
        </is>
      </c>
      <c r="H8" t="inlineStr">
        <is>
          <t>2026-08-10</t>
        </is>
      </c>
    </row>
    <row r="9">
      <c r="A9" t="n">
        <v>6</v>
      </c>
      <c r="B9" t="inlineStr">
        <is>
          <t>Cayin</t>
        </is>
      </c>
      <c r="C9" t="inlineStr">
        <is>
          <t>N7</t>
        </is>
      </c>
      <c r="D9" t="inlineStr">
        <is>
          <t>2.5mm</t>
        </is>
      </c>
      <c r="E9" t="inlineStr">
        <is>
          <t>Non</t>
        </is>
      </c>
      <c r="F9" t="inlineStr">
        <is>
          <t>https://www.ecoustics.com/reviews/cayin-n7/</t>
        </is>
      </c>
      <c r="G9" s="26" t="inlineStr">
        <is>
          <t>a pair of 2.5mm adapters for 3.5mm and 4.4mm ports (since the N7 does not have a 2.5mm port)</t>
        </is>
      </c>
      <c r="H9" t="inlineStr">
        <is>
          <t>2026-08-10</t>
        </is>
      </c>
    </row>
    <row r="10">
      <c r="A10" t="n">
        <v>6</v>
      </c>
      <c r="B10" t="inlineStr">
        <is>
          <t>Cayin</t>
        </is>
      </c>
      <c r="C10" t="inlineStr">
        <is>
          <t>N7</t>
        </is>
      </c>
      <c r="D10" t="inlineStr">
        <is>
          <t>6.35mm</t>
        </is>
      </c>
      <c r="E10" t="inlineStr">
        <is>
          <t>Non</t>
        </is>
      </c>
      <c r="F10" t="inlineStr">
        <is>
          <t>https://headfonics.com/cayin-n7-review/</t>
        </is>
      </c>
      <c r="G10" s="26" t="inlineStr">
        <is>
          <t>You get 4 ports, 2 x 4.4mm balanced for PO and LO, and 2 x 3.5mm SE for PO and LO.</t>
        </is>
      </c>
      <c r="H10" t="inlineStr">
        <is>
          <t>2026-08-10</t>
        </is>
      </c>
    </row>
    <row r="11">
      <c r="A11" t="n">
        <v>6</v>
      </c>
      <c r="B11" t="inlineStr">
        <is>
          <t>Cayin</t>
        </is>
      </c>
      <c r="C11" t="inlineStr">
        <is>
          <t>N7</t>
        </is>
      </c>
      <c r="D11" t="inlineStr">
        <is>
          <t>XLR</t>
        </is>
      </c>
      <c r="E11" t="inlineStr">
        <is>
          <t>Non</t>
        </is>
      </c>
      <c r="F11" t="inlineStr">
        <is>
          <t>https://headfonics.com/cayin-n7-review/</t>
        </is>
      </c>
      <c r="G11" s="26" t="inlineStr">
        <is>
          <t>You get 4 ports, 2 x 4.4mm balanced for PO and LO, and 2 x 3.5mm SE for PO and LO.</t>
        </is>
      </c>
      <c r="H11" t="inlineStr">
        <is>
          <t>2026-08-10</t>
        </is>
      </c>
    </row>
    <row r="12">
      <c r="A12" t="n">
        <v>7</v>
      </c>
      <c r="B12" t="inlineStr">
        <is>
          <t>Topping</t>
        </is>
      </c>
      <c r="C12" t="inlineStr">
        <is>
          <t>L70</t>
        </is>
      </c>
      <c r="D12" t="inlineStr">
        <is>
          <t>Batterie</t>
        </is>
      </c>
      <c r="E12" t="inlineStr">
        <is>
          <t>Non</t>
        </is>
      </c>
      <c r="F12" t="inlineStr">
        <is>
          <t>https://headfonics.com/topping-l70-review/</t>
        </is>
      </c>
      <c r="G12" s="26" t="inlineStr">
        <is>
          <t>There’s also a USB-C port marked FW, two 12v trigger ports, and a 3-prong power plug along with a ground loop switch feature.</t>
        </is>
      </c>
      <c r="H12" t="inlineStr">
        <is>
          <t>2026-08-10</t>
        </is>
      </c>
    </row>
    <row r="13">
      <c r="A13" t="n">
        <v>7</v>
      </c>
      <c r="B13" t="inlineStr">
        <is>
          <t>Topping</t>
        </is>
      </c>
      <c r="C13" t="inlineStr">
        <is>
          <t>L70</t>
        </is>
      </c>
      <c r="D13" t="inlineStr">
        <is>
          <t>Bluetooth</t>
        </is>
      </c>
      <c r="E13" t="inlineStr">
        <is>
          <t>Non</t>
        </is>
      </c>
      <c r="F13" t="inlineStr">
        <is>
          <t>https://www.audiophonics.fr/fr/packs-de-produits/pack-topping-amplificateur-casque-l70-dac-e70-cables-xlr-tcx1-25cm-argent-p-17690.html</t>
        </is>
      </c>
      <c r="G13" s="26" t="inlineStr">
        <is>
          <t>Entrée | 1* Combo XLR stéréo/Jack 6.35mm symétrique 1* RCA stéréo asymétrique</t>
        </is>
      </c>
      <c r="H13" t="inlineStr">
        <is>
          <t>2026-08-10</t>
        </is>
      </c>
    </row>
    <row r="14">
      <c r="A14" t="n">
        <v>7</v>
      </c>
      <c r="B14" t="inlineStr">
        <is>
          <t>Topping</t>
        </is>
      </c>
      <c r="C14" t="inlineStr">
        <is>
          <t>L70</t>
        </is>
      </c>
      <c r="D14" t="inlineStr">
        <is>
          <t>3.5mm</t>
        </is>
      </c>
      <c r="E14" t="inlineStr">
        <is>
          <t>Non</t>
        </is>
      </c>
      <c r="F14" t="inlineStr">
        <is>
          <t>https://headfonics.com/topping-l70-review/</t>
        </is>
      </c>
      <c r="G14" s="26" t="inlineStr">
        <is>
          <t>The front panel has three of the major modern headphone output connections, a 6.35mm, a 4.4mm, and a 4 pin XLR.</t>
        </is>
      </c>
      <c r="H14" t="inlineStr">
        <is>
          <t>2026-08-10</t>
        </is>
      </c>
    </row>
    <row r="15">
      <c r="A15" t="n">
        <v>7</v>
      </c>
      <c r="B15" t="inlineStr">
        <is>
          <t>Topping</t>
        </is>
      </c>
      <c r="C15" t="inlineStr">
        <is>
          <t>L70</t>
        </is>
      </c>
      <c r="D15" t="inlineStr">
        <is>
          <t>4.4mm</t>
        </is>
      </c>
      <c r="E15" t="inlineStr">
        <is>
          <t>Oui</t>
        </is>
      </c>
      <c r="F15" t="inlineStr">
        <is>
          <t>https://www.audiophonics.fr/fr/amplificateurs-casque-sedentaires/topping-l70-amplificateur-casque-nfca-preamplificateur-symetrique-noir-p-16950.html</t>
        </is>
      </c>
      <c r="G15" s="26" t="inlineStr">
        <is>
          <t>Il intègre en effet un XLR 4 pins symétrique, un Jack 4.4mm symétrique et un Jack 6.35mm asymétrique.</t>
        </is>
      </c>
      <c r="H15" t="inlineStr">
        <is>
          <t>2026-08-10</t>
        </is>
      </c>
    </row>
    <row r="16">
      <c r="A16" t="n">
        <v>7</v>
      </c>
      <c r="B16" t="inlineStr">
        <is>
          <t>Topping</t>
        </is>
      </c>
      <c r="C16" t="inlineStr">
        <is>
          <t>L70</t>
        </is>
      </c>
      <c r="D16" t="inlineStr">
        <is>
          <t>2.5mm</t>
        </is>
      </c>
      <c r="E16" t="inlineStr">
        <is>
          <t>Non</t>
        </is>
      </c>
      <c r="F16" t="inlineStr">
        <is>
          <t>https://headfonics.com/topping-l70-review/</t>
        </is>
      </c>
      <c r="G16" s="26" t="inlineStr">
        <is>
          <t>The front panel has three of the major modern headphone output connections, a 6.35mm, a 4.4mm, and a 4 pin XLR.</t>
        </is>
      </c>
      <c r="H16" t="inlineStr">
        <is>
          <t>2026-08-10</t>
        </is>
      </c>
    </row>
    <row r="17">
      <c r="A17" t="n">
        <v>7</v>
      </c>
      <c r="B17" t="inlineStr">
        <is>
          <t>Topping</t>
        </is>
      </c>
      <c r="C17" t="inlineStr">
        <is>
          <t>L70</t>
        </is>
      </c>
      <c r="D17" t="inlineStr">
        <is>
          <t>6.35mm</t>
        </is>
      </c>
      <c r="E17" t="inlineStr">
        <is>
          <t>Oui</t>
        </is>
      </c>
      <c r="F17" t="inlineStr">
        <is>
          <t>https://www.audiophonics.fr/fr/amplificateurs-casque-sedentaires/topping-l70-amplificateur-casque-nfca-preamplificateur-symetrique-noir-p-16950.html</t>
        </is>
      </c>
      <c r="G17" s="26" t="inlineStr">
        <is>
          <t>Il intègre en effet un XLR 4 pins symétrique, un Jack 4.4mm symétrique et un Jack 6.35mm asymétrique.</t>
        </is>
      </c>
      <c r="H17" t="inlineStr">
        <is>
          <t>2026-08-10</t>
        </is>
      </c>
    </row>
    <row r="18">
      <c r="A18" t="n">
        <v>7</v>
      </c>
      <c r="B18" t="inlineStr">
        <is>
          <t>Topping</t>
        </is>
      </c>
      <c r="C18" t="inlineStr">
        <is>
          <t>L70</t>
        </is>
      </c>
      <c r="D18" t="inlineStr">
        <is>
          <t>XLR</t>
        </is>
      </c>
      <c r="E18" t="inlineStr">
        <is>
          <t>Oui</t>
        </is>
      </c>
      <c r="F18" t="inlineStr">
        <is>
          <t>https://www.audiophonics.fr/fr/packs-de-produits/pack-topping-amplificateur-casque-l70-dac-e70-cables-xlr-tcx1-25cm-argent-p-17690.html</t>
        </is>
      </c>
      <c r="G18" s="26" t="inlineStr">
        <is>
          <t>Sorties | 1* Sortie casque Jack 6.35mm asymétrique 1* Sortie casque Jack 4.4mm symétrique 1* Sortie casque XLR 4 pôles symétrique 1* Sortie préamp RCA stéréo asymétrique 1* Sortie préamp XLR stéréo symétrique</t>
        </is>
      </c>
      <c r="H18" t="inlineStr">
        <is>
          <t>2026-08-10</t>
        </is>
      </c>
    </row>
    <row r="19">
      <c r="A19" t="n">
        <v>8</v>
      </c>
      <c r="B19" t="inlineStr">
        <is>
          <t>iBasso</t>
        </is>
      </c>
      <c r="C19" t="inlineStr">
        <is>
          <t>DC-Elite</t>
        </is>
      </c>
      <c r="D19" t="inlineStr">
        <is>
          <t>Batterie</t>
        </is>
      </c>
      <c r="E19" t="inlineStr">
        <is>
          <t>Non</t>
        </is>
      </c>
      <c r="F19" t="inlineStr">
        <is>
          <t>https://www.audiophonics.fr/fr/amplificateurs-casque-mobiles/ibasso-dc-elite-p-18544.html</t>
        </is>
      </c>
      <c r="G19" s="26" t="inlineStr">
        <is>
          <t>Alimentation | Via connecteur USB-C</t>
        </is>
      </c>
      <c r="H19" t="inlineStr">
        <is>
          <t>2026-08-10</t>
        </is>
      </c>
    </row>
    <row r="20">
      <c r="A20" t="n">
        <v>8</v>
      </c>
      <c r="B20" t="inlineStr">
        <is>
          <t>iBasso</t>
        </is>
      </c>
      <c r="C20" t="inlineStr">
        <is>
          <t>DC-Elite</t>
        </is>
      </c>
      <c r="D20" t="inlineStr">
        <is>
          <t>Bluetooth</t>
        </is>
      </c>
      <c r="E20" t="inlineStr">
        <is>
          <t>Non</t>
        </is>
      </c>
      <c r="F20" t="inlineStr">
        <is>
          <t>https://www.audiophonics.fr/fr/amplificateurs-casque-mobiles/ibasso-dc-elite-p-18544.html</t>
        </is>
      </c>
      <c r="G20" s="26" t="inlineStr">
        <is>
          <t>Entrée | 1x USB-C</t>
        </is>
      </c>
      <c r="H20" t="inlineStr">
        <is>
          <t>2026-08-10</t>
        </is>
      </c>
    </row>
    <row r="21">
      <c r="A21" t="n">
        <v>8</v>
      </c>
      <c r="B21" t="inlineStr">
        <is>
          <t>iBasso</t>
        </is>
      </c>
      <c r="C21" t="inlineStr">
        <is>
          <t>DC-Elite</t>
        </is>
      </c>
      <c r="D21" t="inlineStr">
        <is>
          <t>3.5mm</t>
        </is>
      </c>
      <c r="E21" t="inlineStr">
        <is>
          <t>Oui</t>
        </is>
      </c>
      <c r="F21" t="inlineStr">
        <is>
          <t>https://www.audiophonics.fr/fr/amplificateurs-casque-mobiles/ibasso-dc-elite-p-18544.html</t>
        </is>
      </c>
      <c r="G21" s="26" t="inlineStr">
        <is>
          <t>Sorties | 1x Sortie casque jack symétrique 4.4mm 1x Sortie casque jack 3.5mm + sortie optique</t>
        </is>
      </c>
      <c r="H21" t="inlineStr">
        <is>
          <t>2026-08-10</t>
        </is>
      </c>
    </row>
    <row r="22">
      <c r="A22" t="n">
        <v>8</v>
      </c>
      <c r="B22" t="inlineStr">
        <is>
          <t>iBasso</t>
        </is>
      </c>
      <c r="C22" t="inlineStr">
        <is>
          <t>DC-Elite</t>
        </is>
      </c>
      <c r="D22" t="inlineStr">
        <is>
          <t>4.4mm</t>
        </is>
      </c>
      <c r="E22" t="inlineStr">
        <is>
          <t>Oui</t>
        </is>
      </c>
      <c r="F22" t="inlineStr">
        <is>
          <t>https://www.audiophonics.fr/fr/amplificateurs-casque-mobiles/ibasso-dc-elite-p-18544.html</t>
        </is>
      </c>
      <c r="G22" s="26" t="inlineStr">
        <is>
          <t>Le DC Elite se dote de 3 sorties : une sortie casque symétrique Jack 4.4mm ainsi qu'une sortie casque asymétrique Jack 3.5mm et une sortie coaxiale sur ce même connecteur Jack 3.5mm.</t>
        </is>
      </c>
      <c r="H22" t="inlineStr">
        <is>
          <t>2026-08-10</t>
        </is>
      </c>
    </row>
    <row r="23">
      <c r="A23" t="n">
        <v>8</v>
      </c>
      <c r="B23" t="inlineStr">
        <is>
          <t>iBasso</t>
        </is>
      </c>
      <c r="C23" t="inlineStr">
        <is>
          <t>DC-Elite</t>
        </is>
      </c>
      <c r="D23" t="inlineStr">
        <is>
          <t>2.5mm</t>
        </is>
      </c>
      <c r="E23" t="inlineStr">
        <is>
          <t>Non</t>
        </is>
      </c>
      <c r="F23" t="inlineStr">
        <is>
          <t>https://www.audiophonics.fr/fr/amplificateurs-casque-mobiles/ibasso-dc-elite-p-18544.html</t>
        </is>
      </c>
      <c r="G23" s="26" t="inlineStr">
        <is>
          <t>Le DC Elite se dote de 3 sorties : une sortie casque symétrique Jack 4.4mm ainsi qu'une sortie casque asymétrique Jack 3.5mm et une sortie coaxiale sur ce même connecteur Jack 3.5mm.</t>
        </is>
      </c>
      <c r="H23" t="inlineStr">
        <is>
          <t>2026-08-10</t>
        </is>
      </c>
    </row>
    <row r="24">
      <c r="A24" t="n">
        <v>8</v>
      </c>
      <c r="B24" t="inlineStr">
        <is>
          <t>iBasso</t>
        </is>
      </c>
      <c r="C24" t="inlineStr">
        <is>
          <t>DC-Elite</t>
        </is>
      </c>
      <c r="D24" t="inlineStr">
        <is>
          <t>6.35mm</t>
        </is>
      </c>
      <c r="E24" t="inlineStr">
        <is>
          <t>Non</t>
        </is>
      </c>
      <c r="F24" t="inlineStr">
        <is>
          <t>https://www.audiophonics.fr/fr/amplificateurs-casque-mobiles/ibasso-dc-elite-p-18544.html</t>
        </is>
      </c>
      <c r="G24" s="26" t="inlineStr">
        <is>
          <t>Le DC Elite se dote de 3 sorties : une sortie casque symétrique Jack 4.4mm ainsi qu'une sortie casque asymétrique Jack 3.5mm et une sortie coaxiale sur ce même connecteur Jack 3.5mm.</t>
        </is>
      </c>
      <c r="H24" t="inlineStr">
        <is>
          <t>2026-08-10</t>
        </is>
      </c>
    </row>
    <row r="25">
      <c r="A25" t="n">
        <v>8</v>
      </c>
      <c r="B25" t="inlineStr">
        <is>
          <t>iBasso</t>
        </is>
      </c>
      <c r="C25" t="inlineStr">
        <is>
          <t>DC-Elite</t>
        </is>
      </c>
      <c r="D25" t="inlineStr">
        <is>
          <t>XLR</t>
        </is>
      </c>
      <c r="E25" t="inlineStr">
        <is>
          <t>Non</t>
        </is>
      </c>
      <c r="F25" t="inlineStr">
        <is>
          <t>https://www.audiophonics.fr/fr/amplificateurs-casque-mobiles/ibasso-dc-elite-p-18544.html</t>
        </is>
      </c>
      <c r="G25" s="26" t="inlineStr">
        <is>
          <t>Le DC Elite se dote de 3 sorties : une sortie casque symétrique Jack 4.4mm ainsi qu'une sortie casque asymétrique Jack 3.5mm et une sortie coaxiale sur ce même connecteur Jack 3.5mm.</t>
        </is>
      </c>
      <c r="H25" t="inlineStr">
        <is>
          <t>2026-08-10</t>
        </is>
      </c>
    </row>
    <row r="26">
      <c r="A26" t="n">
        <v>8</v>
      </c>
      <c r="B26" t="inlineStr">
        <is>
          <t>iBasso</t>
        </is>
      </c>
      <c r="C26" t="inlineStr">
        <is>
          <t>DC-Elite</t>
        </is>
      </c>
      <c r="D26" t="inlineStr">
        <is>
          <t>DSP/PEQ</t>
        </is>
      </c>
      <c r="E26" t="inlineStr">
        <is>
          <t>Non</t>
        </is>
      </c>
      <c r="F26" t="inlineStr">
        <is>
          <t>https://www.audiophonics.fr/fr/amplificateurs-casque-mobiles/ibasso-dc-elite-p-18544.html</t>
        </is>
      </c>
      <c r="G26" s="26" t="inlineStr">
        <is>
          <t>L'application propriétaire Ibasso UAC APP a été mise à jour pour une pleine compatibilité avec le DC Elite. Elle vous donne accès à 4 niveaux de réduction de volume PCM, 2 options de filtres numériques ainsi que 20 niveaux de balance des canaux L/R.</t>
        </is>
      </c>
      <c r="H26" t="inlineStr">
        <is>
          <t>2026-08-10</t>
        </is>
      </c>
    </row>
    <row r="27">
      <c r="A27" t="n">
        <v>9</v>
      </c>
      <c r="B27" t="inlineStr">
        <is>
          <t>Quloos</t>
        </is>
      </c>
      <c r="C27" t="inlineStr">
        <is>
          <t>MUB1</t>
        </is>
      </c>
      <c r="D27" t="inlineStr">
        <is>
          <t>Batterie</t>
        </is>
      </c>
      <c r="E27" t="inlineStr">
        <is>
          <t>Oui</t>
        </is>
      </c>
      <c r="F27" t="inlineStr">
        <is>
          <t>https://moonstarreviews.net/quloos-mub1-review/</t>
        </is>
      </c>
      <c r="G27" s="26" t="inlineStr">
        <is>
          <t>The Quloos MUB1 has a big battery of 2500mAh that can last for 10 hours.</t>
        </is>
      </c>
      <c r="H27" t="inlineStr">
        <is>
          <t>2026-08-10</t>
        </is>
      </c>
    </row>
    <row r="28">
      <c r="A28" t="n">
        <v>9</v>
      </c>
      <c r="B28" t="inlineStr">
        <is>
          <t>Quloos</t>
        </is>
      </c>
      <c r="C28" t="inlineStr">
        <is>
          <t>MUB1</t>
        </is>
      </c>
      <c r="D28" t="inlineStr">
        <is>
          <t>Bluetooth</t>
        </is>
      </c>
      <c r="E28" t="inlineStr">
        <is>
          <t>Oui</t>
        </is>
      </c>
      <c r="F28" t="inlineStr">
        <is>
          <t>https://moonstarreviews.net/quloos-mub1-review/</t>
        </is>
      </c>
      <c r="G28" s="26" t="inlineStr">
        <is>
          <t>Bluetooth format | Bluetooth 5.0, LDAC, APTX, APTX-HD, ACC, SBC</t>
        </is>
      </c>
      <c r="H28" t="inlineStr">
        <is>
          <t>2026-08-10</t>
        </is>
      </c>
    </row>
    <row r="29">
      <c r="A29" t="n">
        <v>9</v>
      </c>
      <c r="B29" t="inlineStr">
        <is>
          <t>Quloos</t>
        </is>
      </c>
      <c r="C29" t="inlineStr">
        <is>
          <t>MUB1</t>
        </is>
      </c>
      <c r="D29" t="inlineStr">
        <is>
          <t>3.5mm</t>
        </is>
      </c>
      <c r="E29" t="inlineStr">
        <is>
          <t>Oui</t>
        </is>
      </c>
      <c r="F29" t="inlineStr">
        <is>
          <t>https://moonstarreviews.net/quloos-mub1-review/</t>
        </is>
      </c>
      <c r="G29" s="26" t="inlineStr">
        <is>
          <t>Output interface | 3.5 single ended &amp; 4.4 balanced headphones (can be set to Line out/Aux out), 3.5 optical or coaxial SPDIF digital output</t>
        </is>
      </c>
      <c r="H29" t="inlineStr">
        <is>
          <t>2026-08-10</t>
        </is>
      </c>
    </row>
    <row r="30">
      <c r="A30" t="n">
        <v>9</v>
      </c>
      <c r="B30" t="inlineStr">
        <is>
          <t>Quloos</t>
        </is>
      </c>
      <c r="C30" t="inlineStr">
        <is>
          <t>MUB1</t>
        </is>
      </c>
      <c r="D30" t="inlineStr">
        <is>
          <t>4.4mm</t>
        </is>
      </c>
      <c r="E30" t="inlineStr">
        <is>
          <t>Oui</t>
        </is>
      </c>
      <c r="F30" t="inlineStr">
        <is>
          <t>https://moonstarreviews.net/quloos-mub1-review/</t>
        </is>
      </c>
      <c r="G30" s="26" t="inlineStr">
        <is>
          <t>Output interface | 3.5 single ended &amp; 4.4 balanced headphones (can be set to Line out/Aux out), 3.5 optical or coaxial SPDIF digital output</t>
        </is>
      </c>
      <c r="H30" t="inlineStr">
        <is>
          <t>2026-08-10</t>
        </is>
      </c>
    </row>
    <row r="31">
      <c r="A31" t="n">
        <v>9</v>
      </c>
      <c r="B31" t="inlineStr">
        <is>
          <t>Quloos</t>
        </is>
      </c>
      <c r="C31" t="inlineStr">
        <is>
          <t>MUB1</t>
        </is>
      </c>
      <c r="D31" t="inlineStr">
        <is>
          <t>2.5mm</t>
        </is>
      </c>
      <c r="E31" t="inlineStr">
        <is>
          <t>Non</t>
        </is>
      </c>
      <c r="F31" t="inlineStr">
        <is>
          <t>https://moonstarreviews.net/quloos-mub1-review/</t>
        </is>
      </c>
      <c r="G31" s="26" t="inlineStr">
        <is>
          <t>Output interface | 3.5 single ended &amp; 4.4 balanced headphones (can be set to Line out/Aux out), 3.5 optical or coaxial SPDIF digital output</t>
        </is>
      </c>
      <c r="H31" t="inlineStr">
        <is>
          <t>2026-08-10</t>
        </is>
      </c>
    </row>
    <row r="32">
      <c r="A32" t="n">
        <v>9</v>
      </c>
      <c r="B32" t="inlineStr">
        <is>
          <t>Quloos</t>
        </is>
      </c>
      <c r="C32" t="inlineStr">
        <is>
          <t>MUB1</t>
        </is>
      </c>
      <c r="D32" t="inlineStr">
        <is>
          <t>6.35mm</t>
        </is>
      </c>
      <c r="E32" t="inlineStr">
        <is>
          <t>Non</t>
        </is>
      </c>
      <c r="F32" t="inlineStr">
        <is>
          <t>https://moonstarreviews.net/quloos-mub1-review/</t>
        </is>
      </c>
      <c r="G32" s="26" t="inlineStr">
        <is>
          <t>Output interface | 3.5 single ended &amp; 4.4 balanced headphones (can be set to Line out/Aux out), 3.5 optical or coaxial SPDIF digital output</t>
        </is>
      </c>
      <c r="H32" t="inlineStr">
        <is>
          <t>2026-08-10</t>
        </is>
      </c>
    </row>
    <row r="33">
      <c r="A33" t="n">
        <v>9</v>
      </c>
      <c r="B33" t="inlineStr">
        <is>
          <t>Quloos</t>
        </is>
      </c>
      <c r="C33" t="inlineStr">
        <is>
          <t>MUB1</t>
        </is>
      </c>
      <c r="D33" t="inlineStr">
        <is>
          <t>XLR</t>
        </is>
      </c>
      <c r="E33" t="inlineStr">
        <is>
          <t>Non</t>
        </is>
      </c>
      <c r="F33" t="inlineStr">
        <is>
          <t>https://moonstarreviews.net/quloos-mub1-review/</t>
        </is>
      </c>
      <c r="G33" s="26" t="inlineStr">
        <is>
          <t>Output interface | 3.5 single ended &amp; 4.4 balanced headphones (can be set to Line out/Aux out), 3.5 optical or coaxial SPDIF digital output</t>
        </is>
      </c>
      <c r="H33" t="inlineStr">
        <is>
          <t>2026-08-10</t>
        </is>
      </c>
    </row>
    <row r="34">
      <c r="A34" t="n">
        <v>10</v>
      </c>
      <c r="B34" t="inlineStr">
        <is>
          <t>Cayin</t>
        </is>
      </c>
      <c r="C34" t="inlineStr">
        <is>
          <t>RU7</t>
        </is>
      </c>
      <c r="D34" t="inlineStr">
        <is>
          <t>Batterie</t>
        </is>
      </c>
      <c r="E34" t="inlineStr">
        <is>
          <t>Non</t>
        </is>
      </c>
      <c r="F34" t="inlineStr">
        <is>
          <t>https://headfonics.com/cayin-ru7-review/</t>
        </is>
      </c>
      <c r="G34" s="26" t="inlineStr">
        <is>
          <t>To the rear, a single USB-C port acts as your main connection for digital audio, data, and power.</t>
        </is>
      </c>
      <c r="H34" t="inlineStr">
        <is>
          <t>2026-08-10</t>
        </is>
      </c>
    </row>
    <row r="35">
      <c r="A35" t="n">
        <v>10</v>
      </c>
      <c r="B35" t="inlineStr">
        <is>
          <t>Cayin</t>
        </is>
      </c>
      <c r="C35" t="inlineStr">
        <is>
          <t>RU7</t>
        </is>
      </c>
      <c r="D35" t="inlineStr">
        <is>
          <t>Bluetooth</t>
        </is>
      </c>
      <c r="E35" t="inlineStr">
        <is>
          <t>Non</t>
        </is>
      </c>
      <c r="F35" t="inlineStr">
        <is>
          <t>https://headfonics.com/cayin-ru7-review/</t>
        </is>
      </c>
      <c r="G35" s="26" t="inlineStr">
        <is>
          <t>Inputs and outputs are relatively simple and well laid out on the RU7. To the rear, a single USB-C port acts as your main connection for digital audio, data, and power.</t>
        </is>
      </c>
      <c r="H35" t="inlineStr">
        <is>
          <t>2026-08-10</t>
        </is>
      </c>
    </row>
    <row r="36">
      <c r="A36" t="n">
        <v>10</v>
      </c>
      <c r="B36" t="inlineStr">
        <is>
          <t>Cayin</t>
        </is>
      </c>
      <c r="C36" t="inlineStr">
        <is>
          <t>RU7</t>
        </is>
      </c>
      <c r="D36" t="inlineStr">
        <is>
          <t>3.5mm</t>
        </is>
      </c>
      <c r="E36" t="inlineStr">
        <is>
          <t>Oui</t>
        </is>
      </c>
      <c r="F36" t="inlineStr">
        <is>
          <t>https://headfonics.com/cayin-ru7-review/</t>
        </is>
      </c>
      <c r="G36" s="26" t="inlineStr">
        <is>
          <t>To the front, you get a single-ended 3.5mm port and a balanced and more powerful 4.4mm alternative.</t>
        </is>
      </c>
      <c r="H36" t="inlineStr">
        <is>
          <t>2026-08-10</t>
        </is>
      </c>
    </row>
    <row r="37">
      <c r="A37" t="n">
        <v>10</v>
      </c>
      <c r="B37" t="inlineStr">
        <is>
          <t>Cayin</t>
        </is>
      </c>
      <c r="C37" t="inlineStr">
        <is>
          <t>RU7</t>
        </is>
      </c>
      <c r="D37" t="inlineStr">
        <is>
          <t>4.4mm</t>
        </is>
      </c>
      <c r="E37" t="inlineStr">
        <is>
          <t>Oui</t>
        </is>
      </c>
      <c r="F37" t="inlineStr">
        <is>
          <t>https://headfonics.com/cayin-ru7-review/</t>
        </is>
      </c>
      <c r="G37" s="26" t="inlineStr">
        <is>
          <t>To the front, you get a single-ended 3.5mm port and a balanced and more powerful 4.4mm alternative.</t>
        </is>
      </c>
      <c r="H37" t="inlineStr">
        <is>
          <t>2026-08-10</t>
        </is>
      </c>
    </row>
    <row r="38">
      <c r="A38" t="n">
        <v>10</v>
      </c>
      <c r="B38" t="inlineStr">
        <is>
          <t>Cayin</t>
        </is>
      </c>
      <c r="C38" t="inlineStr">
        <is>
          <t>RU7</t>
        </is>
      </c>
      <c r="D38" t="inlineStr">
        <is>
          <t>2.5mm</t>
        </is>
      </c>
      <c r="E38" t="inlineStr">
        <is>
          <t>Non</t>
        </is>
      </c>
      <c r="F38" t="inlineStr">
        <is>
          <t>https://headfonics.com/cayin-ru7-review/</t>
        </is>
      </c>
      <c r="G38" s="26" t="inlineStr">
        <is>
          <t>To the front, you get a single-ended 3.5mm port and a balanced and more powerful 4.4mm alternative.</t>
        </is>
      </c>
      <c r="H38" t="inlineStr">
        <is>
          <t>2026-08-10</t>
        </is>
      </c>
    </row>
    <row r="39">
      <c r="A39" t="n">
        <v>10</v>
      </c>
      <c r="B39" t="inlineStr">
        <is>
          <t>Cayin</t>
        </is>
      </c>
      <c r="C39" t="inlineStr">
        <is>
          <t>RU7</t>
        </is>
      </c>
      <c r="D39" t="inlineStr">
        <is>
          <t>6.35mm</t>
        </is>
      </c>
      <c r="E39" t="inlineStr">
        <is>
          <t>Non</t>
        </is>
      </c>
      <c r="F39" t="inlineStr">
        <is>
          <t>https://headfonics.com/cayin-ru7-review/</t>
        </is>
      </c>
      <c r="G39" s="26" t="inlineStr">
        <is>
          <t>To the front, you get a single-ended 3.5mm port and a balanced and more powerful 4.4mm alternative.</t>
        </is>
      </c>
      <c r="H39" t="inlineStr">
        <is>
          <t>2026-08-10</t>
        </is>
      </c>
    </row>
    <row r="40">
      <c r="A40" t="n">
        <v>10</v>
      </c>
      <c r="B40" t="inlineStr">
        <is>
          <t>Cayin</t>
        </is>
      </c>
      <c r="C40" t="inlineStr">
        <is>
          <t>RU7</t>
        </is>
      </c>
      <c r="D40" t="inlineStr">
        <is>
          <t>XLR</t>
        </is>
      </c>
      <c r="E40" t="inlineStr">
        <is>
          <t>Non</t>
        </is>
      </c>
      <c r="F40" t="inlineStr">
        <is>
          <t>https://headfonics.com/cayin-ru7-review/</t>
        </is>
      </c>
      <c r="G40" s="26" t="inlineStr">
        <is>
          <t>To the front, you get a single-ended 3.5mm port and a balanced and more powerful 4.4mm alternative.</t>
        </is>
      </c>
      <c r="H40" t="inlineStr">
        <is>
          <t>2026-08-10</t>
        </is>
      </c>
    </row>
    <row r="41">
      <c r="A41" t="n">
        <v>10</v>
      </c>
      <c r="B41" t="inlineStr">
        <is>
          <t>Cayin</t>
        </is>
      </c>
      <c r="C41" t="inlineStr">
        <is>
          <t>RU7</t>
        </is>
      </c>
      <c r="D41" t="inlineStr">
        <is>
          <t>DSP/PEQ</t>
        </is>
      </c>
      <c r="E41" t="inlineStr">
        <is>
          <t>Non</t>
        </is>
      </c>
      <c r="F41" t="inlineStr">
        <is>
          <t>https://headfonics.com/cayin-ru7-review/</t>
        </is>
      </c>
      <c r="G41" s="26" t="inlineStr">
        <is>
          <t>From there you can set the gain levels, output mode, and backlight settings as well as switch the “all-to-DSD’ sample rate up or down.</t>
        </is>
      </c>
      <c r="H41" t="inlineStr">
        <is>
          <t>2026-08-10</t>
        </is>
      </c>
    </row>
    <row r="42">
      <c r="A42" t="n">
        <v>11</v>
      </c>
      <c r="B42" t="inlineStr">
        <is>
          <t>Dethonray</t>
        </is>
      </c>
      <c r="C42" t="inlineStr">
        <is>
          <t>Clarinet</t>
        </is>
      </c>
      <c r="D42" t="inlineStr">
        <is>
          <t>Batterie</t>
        </is>
      </c>
      <c r="E42" t="inlineStr">
        <is>
          <t>Oui</t>
        </is>
      </c>
      <c r="F42" t="inlineStr">
        <is>
          <t>https://www.headfonia.com/dethonray-clarinet-review/</t>
        </is>
      </c>
      <c r="G42" s="26" t="inlineStr">
        <is>
          <t>One thing that can be criticized for desktop scenarios is that the device doesn’t have a desktop mode to bypass the battery completely.</t>
        </is>
      </c>
      <c r="H42" t="inlineStr">
        <is>
          <t>2026-08-10</t>
        </is>
      </c>
    </row>
    <row r="43">
      <c r="A43" t="n">
        <v>11</v>
      </c>
      <c r="B43" t="inlineStr">
        <is>
          <t>Dethonray</t>
        </is>
      </c>
      <c r="C43" t="inlineStr">
        <is>
          <t>Clarinet</t>
        </is>
      </c>
      <c r="D43" t="inlineStr">
        <is>
          <t>Bluetooth</t>
        </is>
      </c>
      <c r="E43" t="inlineStr">
        <is>
          <t>Non</t>
        </is>
      </c>
      <c r="F43" t="inlineStr">
        <is>
          <t>https://www.headfonia.com/dethonray-clarinet-review/</t>
        </is>
      </c>
      <c r="G43" s="26" t="inlineStr">
        <is>
          <t>The Clarinet features USB, Optical, and Coaxial inputs, offering flexibility to connect with various devices, including CD players, game consoles, and more.</t>
        </is>
      </c>
      <c r="H43" t="inlineStr">
        <is>
          <t>2026-08-10</t>
        </is>
      </c>
    </row>
    <row r="44">
      <c r="A44" t="n">
        <v>11</v>
      </c>
      <c r="B44" t="inlineStr">
        <is>
          <t>Dethonray</t>
        </is>
      </c>
      <c r="C44" t="inlineStr">
        <is>
          <t>Clarinet</t>
        </is>
      </c>
      <c r="D44" t="inlineStr">
        <is>
          <t>3.5mm</t>
        </is>
      </c>
      <c r="E44" t="inlineStr">
        <is>
          <t>Oui</t>
        </is>
      </c>
      <c r="F44" t="inlineStr">
        <is>
          <t>https://www.headfonia.com/dethonray-clarinet-review/</t>
        </is>
      </c>
      <c r="G44" s="26" t="inlineStr">
        <is>
          <t>The front panel has 3.5mm and 4.4mm outputs, coax/opt outputs, an LED light, and a volume knob. On the opposite side, you have two USB Type-C ports and the gain switch.</t>
        </is>
      </c>
      <c r="H44" t="inlineStr">
        <is>
          <t>2026-08-10</t>
        </is>
      </c>
    </row>
    <row r="45">
      <c r="A45" t="n">
        <v>11</v>
      </c>
      <c r="B45" t="inlineStr">
        <is>
          <t>Dethonray</t>
        </is>
      </c>
      <c r="C45" t="inlineStr">
        <is>
          <t>Clarinet</t>
        </is>
      </c>
      <c r="D45" t="inlineStr">
        <is>
          <t>4.4mm</t>
        </is>
      </c>
      <c r="E45" t="inlineStr">
        <is>
          <t>Oui</t>
        </is>
      </c>
      <c r="F45" t="inlineStr">
        <is>
          <t>https://www.headfonia.com/dethonray-clarinet-review/</t>
        </is>
      </c>
      <c r="G45" s="26" t="inlineStr">
        <is>
          <t>The front panel has 3.5mm and 4.4mm outputs, coax/opt outputs, an LED light, and a volume knob. On the opposite side, you have two USB Type-C ports and the gain switch.</t>
        </is>
      </c>
      <c r="H45" t="inlineStr">
        <is>
          <t>2026-08-10</t>
        </is>
      </c>
    </row>
    <row r="46">
      <c r="A46" t="n">
        <v>11</v>
      </c>
      <c r="B46" t="inlineStr">
        <is>
          <t>Dethonray</t>
        </is>
      </c>
      <c r="C46" t="inlineStr">
        <is>
          <t>Clarinet</t>
        </is>
      </c>
      <c r="D46" t="inlineStr">
        <is>
          <t>2.5mm</t>
        </is>
      </c>
      <c r="E46" t="inlineStr">
        <is>
          <t>Non</t>
        </is>
      </c>
      <c r="F46" t="inlineStr">
        <is>
          <t>https://www.headfonia.com/dethonray-clarinet-review/</t>
        </is>
      </c>
      <c r="G46" s="26" t="inlineStr">
        <is>
          <t>The front panel has 3.5mm and 4.4mm outputs, coax/opt outputs, an LED light, and a volume knob. On the opposite side, you have two USB Type-C ports and the gain switch.</t>
        </is>
      </c>
      <c r="H46" t="inlineStr">
        <is>
          <t>2026-08-10</t>
        </is>
      </c>
    </row>
    <row r="47">
      <c r="A47" t="n">
        <v>11</v>
      </c>
      <c r="B47" t="inlineStr">
        <is>
          <t>Dethonray</t>
        </is>
      </c>
      <c r="C47" t="inlineStr">
        <is>
          <t>Clarinet</t>
        </is>
      </c>
      <c r="D47" t="inlineStr">
        <is>
          <t>6.35mm</t>
        </is>
      </c>
      <c r="E47" t="inlineStr">
        <is>
          <t>Non</t>
        </is>
      </c>
      <c r="F47" t="inlineStr">
        <is>
          <t>https://www.headfonia.com/dethonray-clarinet-review/</t>
        </is>
      </c>
      <c r="G47" s="26" t="inlineStr">
        <is>
          <t>The front panel has 3.5mm and 4.4mm outputs, coax/opt outputs, an LED light, and a volume knob. On the opposite side, you have two USB Type-C ports and the gain switch.</t>
        </is>
      </c>
      <c r="H47" t="inlineStr">
        <is>
          <t>2026-08-10</t>
        </is>
      </c>
    </row>
    <row r="48">
      <c r="A48" t="n">
        <v>11</v>
      </c>
      <c r="B48" t="inlineStr">
        <is>
          <t>Dethonray</t>
        </is>
      </c>
      <c r="C48" t="inlineStr">
        <is>
          <t>Clarinet</t>
        </is>
      </c>
      <c r="D48" t="inlineStr">
        <is>
          <t>XLR</t>
        </is>
      </c>
      <c r="E48" t="inlineStr">
        <is>
          <t>Non</t>
        </is>
      </c>
      <c r="F48" t="inlineStr">
        <is>
          <t>https://www.headfonia.com/dethonray-clarinet-review/</t>
        </is>
      </c>
      <c r="G48" s="26" t="inlineStr">
        <is>
          <t>The front panel has 3.5mm and 4.4mm outputs, coax/opt outputs, an LED light, and a volume knob. On the opposite side, you have two USB Type-C ports and the gain switch.</t>
        </is>
      </c>
      <c r="H48" t="inlineStr">
        <is>
          <t>2026-08-10</t>
        </is>
      </c>
    </row>
    <row r="49">
      <c r="A49" t="n">
        <v>12</v>
      </c>
      <c r="B49" t="inlineStr">
        <is>
          <t>Moondrop</t>
        </is>
      </c>
      <c r="C49" t="inlineStr">
        <is>
          <t>Moonriver 3</t>
        </is>
      </c>
      <c r="D49" t="inlineStr">
        <is>
          <t>Batterie</t>
        </is>
      </c>
      <c r="E49" t="inlineStr">
        <is>
          <t>Non</t>
        </is>
      </c>
      <c r="F49" t="inlineStr">
        <is>
          <t>https://www.audiophonics.fr/fr/dac-portables/moondrop-moonriver-3-p-21677.html</t>
        </is>
      </c>
      <c r="G49" s="26" t="inlineStr">
        <is>
          <t>Côté connectique il dispose d'une entrée audio USB-C, d'un port USB-C dédidié à l'alimentation ainsi que de deux sorties casque : sortie jack 3.5mm asymétrique et sortie jack 4.4mm symétrique.</t>
        </is>
      </c>
      <c r="H49" t="inlineStr">
        <is>
          <t>2026-08-10</t>
        </is>
      </c>
    </row>
    <row r="50">
      <c r="A50" t="n">
        <v>12</v>
      </c>
      <c r="B50" t="inlineStr">
        <is>
          <t>Moondrop</t>
        </is>
      </c>
      <c r="C50" t="inlineStr">
        <is>
          <t>Moonriver 3</t>
        </is>
      </c>
      <c r="D50" t="inlineStr">
        <is>
          <t>Bluetooth</t>
        </is>
      </c>
      <c r="E50" t="inlineStr">
        <is>
          <t>Non</t>
        </is>
      </c>
      <c r="F50" t="inlineStr">
        <is>
          <t>https://www.audiophonics.fr/fr/dac-portables/moondrop-moonriver-3-p-21677.html</t>
        </is>
      </c>
      <c r="G50" s="26" t="inlineStr">
        <is>
          <t>Entrée | 1x USB-C</t>
        </is>
      </c>
      <c r="H50" t="inlineStr">
        <is>
          <t>2026-08-10</t>
        </is>
      </c>
    </row>
    <row r="51">
      <c r="A51" t="n">
        <v>12</v>
      </c>
      <c r="B51" t="inlineStr">
        <is>
          <t>Moondrop</t>
        </is>
      </c>
      <c r="C51" t="inlineStr">
        <is>
          <t>Moonriver 3</t>
        </is>
      </c>
      <c r="D51" t="inlineStr">
        <is>
          <t>3.5mm</t>
        </is>
      </c>
      <c r="E51" t="inlineStr">
        <is>
          <t>Oui</t>
        </is>
      </c>
      <c r="F51" t="inlineStr">
        <is>
          <t>https://www.audiophonics.fr/fr/dac-portables/moondrop-moonriver-3-p-21677.html</t>
        </is>
      </c>
      <c r="G51" s="26" t="inlineStr">
        <is>
          <t>Sorties | 1x Jack 3.5mm asymétrique 1x Jack 4.4mm symétrique</t>
        </is>
      </c>
      <c r="H51" t="inlineStr">
        <is>
          <t>2026-08-10</t>
        </is>
      </c>
    </row>
    <row r="52">
      <c r="A52" t="n">
        <v>12</v>
      </c>
      <c r="B52" t="inlineStr">
        <is>
          <t>Moondrop</t>
        </is>
      </c>
      <c r="C52" t="inlineStr">
        <is>
          <t>Moonriver 3</t>
        </is>
      </c>
      <c r="D52" t="inlineStr">
        <is>
          <t>4.4mm</t>
        </is>
      </c>
      <c r="E52" t="inlineStr">
        <is>
          <t>Oui</t>
        </is>
      </c>
      <c r="F52" t="inlineStr">
        <is>
          <t>https://www.audiophonics.fr/fr/dac-portables/moondrop-moonriver-3-p-21677.html</t>
        </is>
      </c>
      <c r="G52" s="26" t="inlineStr">
        <is>
          <t>Sorties | 1x Jack 3.5mm asymétrique 1x Jack 4.4mm symétrique</t>
        </is>
      </c>
      <c r="H52" t="inlineStr">
        <is>
          <t>2026-08-10</t>
        </is>
      </c>
    </row>
    <row r="53">
      <c r="A53" t="n">
        <v>12</v>
      </c>
      <c r="B53" t="inlineStr">
        <is>
          <t>Moondrop</t>
        </is>
      </c>
      <c r="C53" t="inlineStr">
        <is>
          <t>Moonriver 3</t>
        </is>
      </c>
      <c r="D53" t="inlineStr">
        <is>
          <t>2.5mm</t>
        </is>
      </c>
      <c r="E53" t="inlineStr">
        <is>
          <t>Non</t>
        </is>
      </c>
      <c r="F53" t="inlineStr">
        <is>
          <t>https://www.audiophonics.fr/fr/dac-portables/moondrop-moonriver-3-p-21677.html</t>
        </is>
      </c>
      <c r="G53" s="26" t="inlineStr">
        <is>
          <t>Sorties | 1x Jack 3.5mm asymétrique 1x Jack 4.4mm symétrique</t>
        </is>
      </c>
      <c r="H53" t="inlineStr">
        <is>
          <t>2026-08-10</t>
        </is>
      </c>
    </row>
    <row r="54">
      <c r="A54" t="n">
        <v>12</v>
      </c>
      <c r="B54" t="inlineStr">
        <is>
          <t>Moondrop</t>
        </is>
      </c>
      <c r="C54" t="inlineStr">
        <is>
          <t>Moonriver 3</t>
        </is>
      </c>
      <c r="D54" t="inlineStr">
        <is>
          <t>6.35mm</t>
        </is>
      </c>
      <c r="E54" t="inlineStr">
        <is>
          <t>Non</t>
        </is>
      </c>
      <c r="F54" t="inlineStr">
        <is>
          <t>https://www.audiophonics.fr/fr/dac-portables/moondrop-moonriver-3-p-21677.html</t>
        </is>
      </c>
      <c r="G54" s="26" t="inlineStr">
        <is>
          <t>Sorties | 1x Jack 3.5mm asymétrique 1x Jack 4.4mm symétrique</t>
        </is>
      </c>
      <c r="H54" t="inlineStr">
        <is>
          <t>2026-08-10</t>
        </is>
      </c>
    </row>
    <row r="55">
      <c r="A55" t="n">
        <v>12</v>
      </c>
      <c r="B55" t="inlineStr">
        <is>
          <t>Moondrop</t>
        </is>
      </c>
      <c r="C55" t="inlineStr">
        <is>
          <t>Moonriver 3</t>
        </is>
      </c>
      <c r="D55" t="inlineStr">
        <is>
          <t>XLR</t>
        </is>
      </c>
      <c r="E55" t="inlineStr">
        <is>
          <t>Non</t>
        </is>
      </c>
      <c r="F55" t="inlineStr">
        <is>
          <t>https://www.audiophonics.fr/fr/dac-portables/moondrop-moonriver-3-p-21677.html</t>
        </is>
      </c>
      <c r="G55" s="26" t="inlineStr">
        <is>
          <t>Sorties | 1x Jack 3.5mm asymétrique 1x Jack 4.4mm symétrique</t>
        </is>
      </c>
      <c r="H55" t="inlineStr">
        <is>
          <t>2026-08-10</t>
        </is>
      </c>
    </row>
    <row r="56">
      <c r="A56" t="n">
        <v>12</v>
      </c>
      <c r="B56" t="inlineStr">
        <is>
          <t>Moondrop</t>
        </is>
      </c>
      <c r="C56" t="inlineStr">
        <is>
          <t>Moonriver 3</t>
        </is>
      </c>
      <c r="D56" t="inlineStr">
        <is>
          <t>DSP/PEQ</t>
        </is>
      </c>
      <c r="E56" t="inlineStr">
        <is>
          <t>Oui</t>
        </is>
      </c>
      <c r="F56" t="inlineStr">
        <is>
          <t>https://www.audiophonics.fr/fr/dac-portables/moondrop-moonriver-3-p-21677.html</t>
        </is>
      </c>
      <c r="G56" s="26" t="inlineStr">
        <is>
          <t>L'application permet d'accéder à de nombreuses fonctionnalités : égaliseur paramétrique (PEQ), réglage fréquence / gain / Q factor et bibliothèque communautaire de profils audio.</t>
        </is>
      </c>
      <c r="H56" t="inlineStr">
        <is>
          <t>2026-08-10</t>
        </is>
      </c>
    </row>
    <row r="57">
      <c r="A57" t="n">
        <v>13</v>
      </c>
      <c r="B57" t="inlineStr">
        <is>
          <t>ONIX</t>
        </is>
      </c>
      <c r="C57" t="inlineStr">
        <is>
          <t>Beta XI2</t>
        </is>
      </c>
      <c r="D57" t="inlineStr">
        <is>
          <t>Batterie</t>
        </is>
      </c>
      <c r="E57" t="inlineStr">
        <is>
          <t>Non</t>
        </is>
      </c>
      <c r="F57" t="inlineStr">
        <is>
          <t>https://www.ecoustics.com/reviews/onix-beta-xi2/</t>
        </is>
      </c>
      <c r="G57" s="26" t="inlineStr">
        <is>
          <t>The opposite side is reserved for a single USB-C port handling both power and data.</t>
        </is>
      </c>
      <c r="H57" t="inlineStr">
        <is>
          <t>2026-08-10</t>
        </is>
      </c>
    </row>
    <row r="58">
      <c r="A58" t="n">
        <v>13</v>
      </c>
      <c r="B58" t="inlineStr">
        <is>
          <t>ONIX</t>
        </is>
      </c>
      <c r="C58" t="inlineStr">
        <is>
          <t>Beta XI2</t>
        </is>
      </c>
      <c r="D58" t="inlineStr">
        <is>
          <t>Bluetooth</t>
        </is>
      </c>
      <c r="E58" t="inlineStr">
        <is>
          <t>Non</t>
        </is>
      </c>
      <c r="F58" t="inlineStr">
        <is>
          <t>https://www.ecoustics.com/reviews/onix-beta-xi2/</t>
        </is>
      </c>
      <c r="G58" s="26" t="inlineStr">
        <is>
          <t>Connectivity is deliberately simple. One side houses the headphone outputs, consisting of a 3.5 mm single-ended jack and a 4.4 mm balanced Pentaconn output. The opposite side is reserved for a single USB-C port handling both power and data.</t>
        </is>
      </c>
      <c r="H58" t="inlineStr">
        <is>
          <t>2026-08-10</t>
        </is>
      </c>
    </row>
    <row r="59">
      <c r="A59" t="n">
        <v>13</v>
      </c>
      <c r="B59" t="inlineStr">
        <is>
          <t>ONIX</t>
        </is>
      </c>
      <c r="C59" t="inlineStr">
        <is>
          <t>Beta XI2</t>
        </is>
      </c>
      <c r="D59" t="inlineStr">
        <is>
          <t>3.5mm</t>
        </is>
      </c>
      <c r="E59" t="inlineStr">
        <is>
          <t>Oui</t>
        </is>
      </c>
      <c r="F59" t="inlineStr">
        <is>
          <t>https://www.audiophonics.fr/fr/dac-portables/shanling-onix-beta-xi2-p-21159.html</t>
        </is>
      </c>
      <c r="G59" s="26" t="inlineStr">
        <is>
          <t>Sorties | 1x Sortie casque jack 4.4mm symétrique 1x Sortie casque jack 3.5mm asymétrique</t>
        </is>
      </c>
      <c r="H59" t="inlineStr">
        <is>
          <t>2026-08-10</t>
        </is>
      </c>
    </row>
    <row r="60">
      <c r="A60" t="n">
        <v>13</v>
      </c>
      <c r="B60" t="inlineStr">
        <is>
          <t>ONIX</t>
        </is>
      </c>
      <c r="C60" t="inlineStr">
        <is>
          <t>Beta XI2</t>
        </is>
      </c>
      <c r="D60" t="inlineStr">
        <is>
          <t>4.4mm</t>
        </is>
      </c>
      <c r="E60" t="inlineStr">
        <is>
          <t>Oui</t>
        </is>
      </c>
      <c r="F60" t="inlineStr">
        <is>
          <t>https://www.audiophonics.fr/fr/dac-portables/shanling-onix-beta-xi2-p-21159.html</t>
        </is>
      </c>
      <c r="G60" s="26" t="inlineStr">
        <is>
          <t>Sorties | 1x Sortie casque jack 4.4mm symétrique 1x Sortie casque jack 3.5mm asymétrique</t>
        </is>
      </c>
      <c r="H60" t="inlineStr">
        <is>
          <t>2026-08-10</t>
        </is>
      </c>
    </row>
    <row r="61">
      <c r="A61" t="n">
        <v>13</v>
      </c>
      <c r="B61" t="inlineStr">
        <is>
          <t>ONIX</t>
        </is>
      </c>
      <c r="C61" t="inlineStr">
        <is>
          <t>Beta XI2</t>
        </is>
      </c>
      <c r="D61" t="inlineStr">
        <is>
          <t>2.5mm</t>
        </is>
      </c>
      <c r="E61" t="inlineStr">
        <is>
          <t>Non</t>
        </is>
      </c>
      <c r="F61" t="inlineStr">
        <is>
          <t>https://www.ecoustics.com/reviews/onix-beta-xi2/</t>
        </is>
      </c>
      <c r="G61" s="26" t="inlineStr">
        <is>
          <t>One side houses the headphone outputs, consisting of a 3.5 mm single-ended jack and a 4.4 mm balanced Pentaconn output.</t>
        </is>
      </c>
      <c r="H61" t="inlineStr">
        <is>
          <t>2026-08-10</t>
        </is>
      </c>
    </row>
    <row r="62">
      <c r="A62" t="n">
        <v>13</v>
      </c>
      <c r="B62" t="inlineStr">
        <is>
          <t>ONIX</t>
        </is>
      </c>
      <c r="C62" t="inlineStr">
        <is>
          <t>Beta XI2</t>
        </is>
      </c>
      <c r="D62" t="inlineStr">
        <is>
          <t>6.35mm</t>
        </is>
      </c>
      <c r="E62" t="inlineStr">
        <is>
          <t>Non</t>
        </is>
      </c>
      <c r="F62" t="inlineStr">
        <is>
          <t>https://www.ecoustics.com/reviews/onix-beta-xi2/</t>
        </is>
      </c>
      <c r="G62" s="26" t="inlineStr">
        <is>
          <t>One side houses the headphone outputs, consisting of a 3.5 mm single-ended jack and a 4.4 mm balanced Pentaconn output.</t>
        </is>
      </c>
      <c r="H62" t="inlineStr">
        <is>
          <t>2026-08-10</t>
        </is>
      </c>
    </row>
    <row r="63">
      <c r="A63" t="n">
        <v>13</v>
      </c>
      <c r="B63" t="inlineStr">
        <is>
          <t>ONIX</t>
        </is>
      </c>
      <c r="C63" t="inlineStr">
        <is>
          <t>Beta XI2</t>
        </is>
      </c>
      <c r="D63" t="inlineStr">
        <is>
          <t>XLR</t>
        </is>
      </c>
      <c r="E63" t="inlineStr">
        <is>
          <t>Non</t>
        </is>
      </c>
      <c r="F63" t="inlineStr">
        <is>
          <t>https://www.ecoustics.com/reviews/onix-beta-xi2/</t>
        </is>
      </c>
      <c r="G63" s="26" t="inlineStr">
        <is>
          <t>One side houses the headphone outputs, consisting of a 3.5 mm single-ended jack and a 4.4 mm balanced Pentaconn output.</t>
        </is>
      </c>
      <c r="H63" t="inlineStr">
        <is>
          <t>2026-08-10</t>
        </is>
      </c>
    </row>
    <row r="64">
      <c r="A64" t="n">
        <v>13</v>
      </c>
      <c r="B64" t="inlineStr">
        <is>
          <t>ONIX</t>
        </is>
      </c>
      <c r="C64" t="inlineStr">
        <is>
          <t>Beta XI2</t>
        </is>
      </c>
      <c r="D64" t="inlineStr">
        <is>
          <t>DSP/PEQ</t>
        </is>
      </c>
      <c r="E64" t="inlineStr">
        <is>
          <t>Non</t>
        </is>
      </c>
      <c r="F64" t="inlineStr">
        <is>
          <t>https://www.ecoustics.com/reviews/onix-beta-xi2/</t>
        </is>
      </c>
      <c r="G64" s="26" t="inlineStr">
        <is>
          <t>No in-built EQ on the unit or the accompanying app</t>
        </is>
      </c>
      <c r="H64" t="inlineStr">
        <is>
          <t>2026-08-10</t>
        </is>
      </c>
    </row>
    <row r="65">
      <c r="A65" t="n">
        <v>14</v>
      </c>
      <c r="B65" t="inlineStr">
        <is>
          <t>MUSE HiFi</t>
        </is>
      </c>
      <c r="C65" t="inlineStr">
        <is>
          <t>M6 Double</t>
        </is>
      </c>
      <c r="D65" t="inlineStr">
        <is>
          <t>Batterie</t>
        </is>
      </c>
      <c r="E65" t="inlineStr">
        <is>
          <t>Oui</t>
        </is>
      </c>
      <c r="F65" t="inlineStr">
        <is>
          <t>https://www.audiophonics.fr/fr/dac-portables/musehifi-m6-p-21634.html</t>
        </is>
      </c>
      <c r="G65" s="26" t="inlineStr">
        <is>
          <t>Batterie | 4500mAh</t>
        </is>
      </c>
      <c r="H65" t="inlineStr">
        <is>
          <t>2026-08-10</t>
        </is>
      </c>
    </row>
    <row r="66">
      <c r="A66" t="n">
        <v>14</v>
      </c>
      <c r="B66" t="inlineStr">
        <is>
          <t>MUSE HiFi</t>
        </is>
      </c>
      <c r="C66" t="inlineStr">
        <is>
          <t>M6 Double</t>
        </is>
      </c>
      <c r="D66" t="inlineStr">
        <is>
          <t>Bluetooth</t>
        </is>
      </c>
      <c r="E66" t="inlineStr">
        <is>
          <t>Oui</t>
        </is>
      </c>
      <c r="F66" t="inlineStr">
        <is>
          <t>https://www.audiophonics.fr/fr/dac-portables/musehifi-m6-p-21634.html</t>
        </is>
      </c>
      <c r="G66" s="26" t="inlineStr">
        <is>
          <t>Entrées | 1x USB-C (Data) 1x USB-C (Alimentation) 1x Bluetooth 5.2</t>
        </is>
      </c>
      <c r="H66" t="inlineStr">
        <is>
          <t>2026-08-10</t>
        </is>
      </c>
    </row>
    <row r="67">
      <c r="A67" t="n">
        <v>14</v>
      </c>
      <c r="B67" t="inlineStr">
        <is>
          <t>MUSE HiFi</t>
        </is>
      </c>
      <c r="C67" t="inlineStr">
        <is>
          <t>M6 Double</t>
        </is>
      </c>
      <c r="D67" t="inlineStr">
        <is>
          <t>3.5mm</t>
        </is>
      </c>
      <c r="E67" t="inlineStr">
        <is>
          <t>Oui</t>
        </is>
      </c>
      <c r="F67" t="inlineStr">
        <is>
          <t>https://headfonics.com/muse-hifi-m6-double-review/</t>
        </is>
      </c>
      <c r="G67" s="26" t="inlineStr">
        <is>
          <t>All inputs and outputs are neatly located at the bottom. From left to right are the 3.5mm output jack, 4.4mm output jack, USB-C data/audio port, and the USB-C charging port.</t>
        </is>
      </c>
      <c r="H67" t="inlineStr">
        <is>
          <t>2026-08-10</t>
        </is>
      </c>
    </row>
    <row r="68">
      <c r="A68" t="n">
        <v>14</v>
      </c>
      <c r="B68" t="inlineStr">
        <is>
          <t>MUSE HiFi</t>
        </is>
      </c>
      <c r="C68" t="inlineStr">
        <is>
          <t>M6 Double</t>
        </is>
      </c>
      <c r="D68" t="inlineStr">
        <is>
          <t>4.4mm</t>
        </is>
      </c>
      <c r="E68" t="inlineStr">
        <is>
          <t>Oui</t>
        </is>
      </c>
      <c r="F68" t="inlineStr">
        <is>
          <t>https://headfonics.com/muse-hifi-m6-double-review/</t>
        </is>
      </c>
      <c r="G68" s="26" t="inlineStr">
        <is>
          <t>All inputs and outputs are neatly located at the bottom. From left to right are the 3.5mm output jack, 4.4mm output jack, USB-C data/audio port, and the USB-C charging port.</t>
        </is>
      </c>
      <c r="H68" t="inlineStr">
        <is>
          <t>2026-08-10</t>
        </is>
      </c>
    </row>
    <row r="69">
      <c r="A69" t="n">
        <v>14</v>
      </c>
      <c r="B69" t="inlineStr">
        <is>
          <t>MUSE HiFi</t>
        </is>
      </c>
      <c r="C69" t="inlineStr">
        <is>
          <t>M6 Double</t>
        </is>
      </c>
      <c r="D69" t="inlineStr">
        <is>
          <t>2.5mm</t>
        </is>
      </c>
      <c r="E69" t="inlineStr">
        <is>
          <t>Non</t>
        </is>
      </c>
      <c r="F69" t="inlineStr">
        <is>
          <t>https://headfonics.com/muse-hifi-m6-double-review/</t>
        </is>
      </c>
      <c r="G69" s="26" t="inlineStr">
        <is>
          <t>All inputs and outputs are neatly located at the bottom. From left to right are the 3.5mm output jack, 4.4mm output jack, USB-C data/audio port, and the USB-C charging port.</t>
        </is>
      </c>
      <c r="H69" t="inlineStr">
        <is>
          <t>2026-08-10</t>
        </is>
      </c>
    </row>
    <row r="70">
      <c r="A70" t="n">
        <v>14</v>
      </c>
      <c r="B70" t="inlineStr">
        <is>
          <t>MUSE HiFi</t>
        </is>
      </c>
      <c r="C70" t="inlineStr">
        <is>
          <t>M6 Double</t>
        </is>
      </c>
      <c r="D70" t="inlineStr">
        <is>
          <t>6.35mm</t>
        </is>
      </c>
      <c r="E70" t="inlineStr">
        <is>
          <t>Non</t>
        </is>
      </c>
      <c r="F70" t="inlineStr">
        <is>
          <t>https://www.audiophonics.fr/fr/dac-portables/musehifi-m6-p-21634.html</t>
        </is>
      </c>
      <c r="G70" s="26" t="inlineStr">
        <is>
          <t>Sorties | 1x Sortie casque Jack 3.5mm asymétrique 1x Sortie casque Jack 4.4mm symétrique</t>
        </is>
      </c>
      <c r="H70" t="inlineStr">
        <is>
          <t>2026-08-10</t>
        </is>
      </c>
    </row>
    <row r="71">
      <c r="A71" t="n">
        <v>14</v>
      </c>
      <c r="B71" t="inlineStr">
        <is>
          <t>MUSE HiFi</t>
        </is>
      </c>
      <c r="C71" t="inlineStr">
        <is>
          <t>M6 Double</t>
        </is>
      </c>
      <c r="D71" t="inlineStr">
        <is>
          <t>XLR</t>
        </is>
      </c>
      <c r="E71" t="inlineStr">
        <is>
          <t>Non</t>
        </is>
      </c>
      <c r="F71" t="inlineStr">
        <is>
          <t>https://www.audiophonics.fr/fr/dac-portables/musehifi-m6-p-21634.html</t>
        </is>
      </c>
      <c r="G71" s="26" t="inlineStr">
        <is>
          <t>Sorties | 1x Sortie casque Jack 3.5mm asymétrique 1x Sortie casque Jack 4.4mm symétrique</t>
        </is>
      </c>
      <c r="H71" t="inlineStr">
        <is>
          <t>2026-08-10</t>
        </is>
      </c>
    </row>
    <row r="72">
      <c r="A72" t="n">
        <v>14</v>
      </c>
      <c r="B72" t="inlineStr">
        <is>
          <t>MUSE HiFi</t>
        </is>
      </c>
      <c r="C72" t="inlineStr">
        <is>
          <t>M6 Double</t>
        </is>
      </c>
      <c r="D72" t="inlineStr">
        <is>
          <t>DSP/PEQ</t>
        </is>
      </c>
      <c r="E72" t="inlineStr">
        <is>
          <t>Non</t>
        </is>
      </c>
      <c r="F72" t="inlineStr">
        <is>
          <t>https://headfonics.com/muse-hifi-m6-double-review/</t>
        </is>
      </c>
      <c r="G72" s="26" t="inlineStr">
        <is>
          <t>The display shows the input mode, gain, filter, battery level, amplification mode, and shutdown timer, all of which can be controlled and adjusted using the buttons on the right side of the M6 Double.</t>
        </is>
      </c>
      <c r="H72" t="inlineStr">
        <is>
          <t>2026-08-10</t>
        </is>
      </c>
    </row>
    <row r="73">
      <c r="A73" t="n">
        <v>15</v>
      </c>
      <c r="B73" t="inlineStr">
        <is>
          <t>Questyle</t>
        </is>
      </c>
      <c r="C73" t="inlineStr">
        <is>
          <t>M15i</t>
        </is>
      </c>
      <c r="D73" t="inlineStr">
        <is>
          <t>Bluetooth</t>
        </is>
      </c>
      <c r="E73" t="inlineStr">
        <is>
          <t>Non</t>
        </is>
      </c>
      <c r="F73" t="inlineStr">
        <is>
          <t>https://www.audiophonics.fr/fr/dac-portables/questyle-m15i-p-19563.html</t>
        </is>
      </c>
      <c r="G73" s="26" t="inlineStr">
        <is>
          <t>Entrée | USB-C</t>
        </is>
      </c>
      <c r="H73" t="inlineStr">
        <is>
          <t>2026-08-10</t>
        </is>
      </c>
    </row>
    <row r="74">
      <c r="A74" t="n">
        <v>15</v>
      </c>
      <c r="B74" t="inlineStr">
        <is>
          <t>Questyle</t>
        </is>
      </c>
      <c r="C74" t="inlineStr">
        <is>
          <t>M15i</t>
        </is>
      </c>
      <c r="D74" t="inlineStr">
        <is>
          <t>3.5mm</t>
        </is>
      </c>
      <c r="E74" t="inlineStr">
        <is>
          <t>Oui</t>
        </is>
      </c>
      <c r="F74" t="inlineStr">
        <is>
          <t>https://www.audiophonics.fr/fr/dac-portables/questyle-m15i-p-19563.html</t>
        </is>
      </c>
      <c r="G74" s="26" t="inlineStr">
        <is>
          <t>Sortie | 1x Sortie casque jack 3.5mm 1x Sortie casque jack 4.4mm symétrique</t>
        </is>
      </c>
      <c r="H74" t="inlineStr">
        <is>
          <t>2026-08-10</t>
        </is>
      </c>
    </row>
    <row r="75">
      <c r="A75" t="n">
        <v>15</v>
      </c>
      <c r="B75" t="inlineStr">
        <is>
          <t>Questyle</t>
        </is>
      </c>
      <c r="C75" t="inlineStr">
        <is>
          <t>M15i</t>
        </is>
      </c>
      <c r="D75" t="inlineStr">
        <is>
          <t>4.4mm</t>
        </is>
      </c>
      <c r="E75" t="inlineStr">
        <is>
          <t>Oui</t>
        </is>
      </c>
      <c r="F75" t="inlineStr">
        <is>
          <t>https://www.audiophonics.fr/fr/dac-portables/questyle-m15i-p-19563.html</t>
        </is>
      </c>
      <c r="G75" s="26" t="inlineStr">
        <is>
          <t>Sortie | 1x Sortie casque jack 3.5mm 1x Sortie casque jack 4.4mm symétrique</t>
        </is>
      </c>
      <c r="H75" t="inlineStr">
        <is>
          <t>2026-08-10</t>
        </is>
      </c>
    </row>
    <row r="76">
      <c r="A76" t="n">
        <v>15</v>
      </c>
      <c r="B76" t="inlineStr">
        <is>
          <t>Questyle</t>
        </is>
      </c>
      <c r="C76" t="inlineStr">
        <is>
          <t>M15i</t>
        </is>
      </c>
      <c r="D76" t="inlineStr">
        <is>
          <t>2.5mm</t>
        </is>
      </c>
      <c r="E76" t="inlineStr">
        <is>
          <t>Non</t>
        </is>
      </c>
      <c r="F76" t="inlineStr">
        <is>
          <t>https://www.audiodiscourse.com/2024/06/questyle-m15i-portable-dacamp-review.html</t>
        </is>
      </c>
      <c r="G76" s="26" t="inlineStr">
        <is>
          <t>The M15i is a dual-output dongle with 4.4mm balanced and 3.5mm unbalanced jacks.</t>
        </is>
      </c>
      <c r="H76" t="inlineStr">
        <is>
          <t>2026-08-10</t>
        </is>
      </c>
    </row>
    <row r="77">
      <c r="A77" t="n">
        <v>15</v>
      </c>
      <c r="B77" t="inlineStr">
        <is>
          <t>Questyle</t>
        </is>
      </c>
      <c r="C77" t="inlineStr">
        <is>
          <t>M15i</t>
        </is>
      </c>
      <c r="D77" t="inlineStr">
        <is>
          <t>6.35mm</t>
        </is>
      </c>
      <c r="E77" t="inlineStr">
        <is>
          <t>Non</t>
        </is>
      </c>
      <c r="F77" t="inlineStr">
        <is>
          <t>https://www.audiodiscourse.com/2024/06/questyle-m15i-portable-dacamp-review.html</t>
        </is>
      </c>
      <c r="G77" s="26" t="inlineStr">
        <is>
          <t>The M15i is a dual-output dongle with 4.4mm balanced and 3.5mm unbalanced jacks.</t>
        </is>
      </c>
      <c r="H77" t="inlineStr">
        <is>
          <t>2026-08-10</t>
        </is>
      </c>
    </row>
    <row r="78">
      <c r="A78" t="n">
        <v>15</v>
      </c>
      <c r="B78" t="inlineStr">
        <is>
          <t>Questyle</t>
        </is>
      </c>
      <c r="C78" t="inlineStr">
        <is>
          <t>M15i</t>
        </is>
      </c>
      <c r="D78" t="inlineStr">
        <is>
          <t>XLR</t>
        </is>
      </c>
      <c r="E78" t="inlineStr">
        <is>
          <t>Non</t>
        </is>
      </c>
      <c r="F78" t="inlineStr">
        <is>
          <t>https://www.audiodiscourse.com/2024/06/questyle-m15i-portable-dacamp-review.html</t>
        </is>
      </c>
      <c r="G78" s="26" t="inlineStr">
        <is>
          <t>The M15i is a dual-output dongle with 4.4mm balanced and 3.5mm unbalanced jacks.</t>
        </is>
      </c>
      <c r="H78" t="inlineStr">
        <is>
          <t>2026-08-10</t>
        </is>
      </c>
    </row>
    <row r="79">
      <c r="A79" t="n">
        <v>16</v>
      </c>
      <c r="B79" t="inlineStr">
        <is>
          <t>Shanling</t>
        </is>
      </c>
      <c r="C79" t="inlineStr">
        <is>
          <t>UA7</t>
        </is>
      </c>
      <c r="D79" t="inlineStr">
        <is>
          <t>Batterie</t>
        </is>
      </c>
      <c r="E79" t="inlineStr">
        <is>
          <t>Non</t>
        </is>
      </c>
      <c r="F79" t="inlineStr">
        <is>
          <t>https://www.audiophonics.fr/fr/dac-portables/shanling-ua7-noir-p-21498.html</t>
        </is>
      </c>
      <c r="G79" s="26" t="inlineStr">
        <is>
          <t>Alimentation | Via USB-C</t>
        </is>
      </c>
      <c r="H79" t="inlineStr">
        <is>
          <t>2026-08-10</t>
        </is>
      </c>
    </row>
    <row r="80">
      <c r="A80" t="n">
        <v>16</v>
      </c>
      <c r="B80" t="inlineStr">
        <is>
          <t>Shanling</t>
        </is>
      </c>
      <c r="C80" t="inlineStr">
        <is>
          <t>UA7</t>
        </is>
      </c>
      <c r="D80" t="inlineStr">
        <is>
          <t>Bluetooth</t>
        </is>
      </c>
      <c r="E80" t="inlineStr">
        <is>
          <t>Non</t>
        </is>
      </c>
      <c r="F80" t="inlineStr">
        <is>
          <t>https://www.audiophonics.fr/fr/dac-portables/shanling-ua7-noir-p-21498.html</t>
        </is>
      </c>
      <c r="G80" s="26" t="inlineStr">
        <is>
          <t>Entrée | USB-C</t>
        </is>
      </c>
      <c r="H80" t="inlineStr">
        <is>
          <t>2026-08-10</t>
        </is>
      </c>
    </row>
    <row r="81">
      <c r="A81" t="n">
        <v>16</v>
      </c>
      <c r="B81" t="inlineStr">
        <is>
          <t>Shanling</t>
        </is>
      </c>
      <c r="C81" t="inlineStr">
        <is>
          <t>UA7</t>
        </is>
      </c>
      <c r="D81" t="inlineStr">
        <is>
          <t>3.5mm</t>
        </is>
      </c>
      <c r="E81" t="inlineStr">
        <is>
          <t>Oui</t>
        </is>
      </c>
      <c r="F81" t="inlineStr">
        <is>
          <t>https://www.audiophonics.fr/fr/dac-portables/shanling-ua7-noir-p-21498.html</t>
        </is>
      </c>
      <c r="G81" s="26" t="inlineStr">
        <is>
          <t>Sorties | 1x Jack 3.5mm asymétrique 1x Jack 4.4mm symétrique</t>
        </is>
      </c>
      <c r="H81" t="inlineStr">
        <is>
          <t>2026-08-10</t>
        </is>
      </c>
    </row>
    <row r="82">
      <c r="A82" t="n">
        <v>16</v>
      </c>
      <c r="B82" t="inlineStr">
        <is>
          <t>Shanling</t>
        </is>
      </c>
      <c r="C82" t="inlineStr">
        <is>
          <t>UA7</t>
        </is>
      </c>
      <c r="D82" t="inlineStr">
        <is>
          <t>4.4mm</t>
        </is>
      </c>
      <c r="E82" t="inlineStr">
        <is>
          <t>Oui</t>
        </is>
      </c>
      <c r="F82" t="inlineStr">
        <is>
          <t>https://www.audiophonics.fr/fr/dac-portables/shanling-ua7-noir-p-21498.html</t>
        </is>
      </c>
      <c r="G82" s="26" t="inlineStr">
        <is>
          <t>Sorties | 1x Jack 3.5mm asymétrique 1x Jack 4.4mm symétrique</t>
        </is>
      </c>
      <c r="H82" t="inlineStr">
        <is>
          <t>2026-08-10</t>
        </is>
      </c>
    </row>
    <row r="83">
      <c r="A83" t="n">
        <v>16</v>
      </c>
      <c r="B83" t="inlineStr">
        <is>
          <t>Shanling</t>
        </is>
      </c>
      <c r="C83" t="inlineStr">
        <is>
          <t>UA7</t>
        </is>
      </c>
      <c r="D83" t="inlineStr">
        <is>
          <t>2.5mm</t>
        </is>
      </c>
      <c r="E83" t="inlineStr">
        <is>
          <t>Non</t>
        </is>
      </c>
      <c r="F83" t="inlineStr">
        <is>
          <t>https://www.audiophonics.fr/fr/dac-portables/shanling-ua7-noir-p-21498.html</t>
        </is>
      </c>
      <c r="G83" s="26" t="inlineStr">
        <is>
          <t>Sorties | 1x Jack 3.5mm asymétrique 1x Jack 4.4mm symétrique</t>
        </is>
      </c>
      <c r="H83" t="inlineStr">
        <is>
          <t>2026-08-10</t>
        </is>
      </c>
    </row>
    <row r="84">
      <c r="A84" t="n">
        <v>16</v>
      </c>
      <c r="B84" t="inlineStr">
        <is>
          <t>Shanling</t>
        </is>
      </c>
      <c r="C84" t="inlineStr">
        <is>
          <t>UA7</t>
        </is>
      </c>
      <c r="D84" t="inlineStr">
        <is>
          <t>6.35mm</t>
        </is>
      </c>
      <c r="E84" t="inlineStr">
        <is>
          <t>Non</t>
        </is>
      </c>
      <c r="F84" t="inlineStr">
        <is>
          <t>https://www.audiophonics.fr/fr/dac-portables/shanling-ua7-noir-p-21498.html</t>
        </is>
      </c>
      <c r="G84" s="26" t="inlineStr">
        <is>
          <t>Sorties | 1x Jack 3.5mm asymétrique 1x Jack 4.4mm symétrique</t>
        </is>
      </c>
      <c r="H84" t="inlineStr">
        <is>
          <t>2026-08-10</t>
        </is>
      </c>
    </row>
    <row r="85">
      <c r="A85" t="n">
        <v>16</v>
      </c>
      <c r="B85" t="inlineStr">
        <is>
          <t>Shanling</t>
        </is>
      </c>
      <c r="C85" t="inlineStr">
        <is>
          <t>UA7</t>
        </is>
      </c>
      <c r="D85" t="inlineStr">
        <is>
          <t>XLR</t>
        </is>
      </c>
      <c r="E85" t="inlineStr">
        <is>
          <t>Non</t>
        </is>
      </c>
      <c r="F85" t="inlineStr">
        <is>
          <t>https://www.audiophonics.fr/fr/dac-portables/shanling-ua7-noir-p-21498.html</t>
        </is>
      </c>
      <c r="G85" s="26" t="inlineStr">
        <is>
          <t>Sorties | 1x Jack 3.5mm asymétrique 1x Jack 4.4mm symétrique</t>
        </is>
      </c>
      <c r="H85" t="inlineStr">
        <is>
          <t>2026-08-10</t>
        </is>
      </c>
    </row>
    <row r="86">
      <c r="A86" t="n">
        <v>17</v>
      </c>
      <c r="B86" t="inlineStr">
        <is>
          <t>iBasso</t>
        </is>
      </c>
      <c r="C86" t="inlineStr">
        <is>
          <t>DC07PRO</t>
        </is>
      </c>
      <c r="D86" t="inlineStr">
        <is>
          <t>Batterie</t>
        </is>
      </c>
      <c r="E86" t="inlineStr">
        <is>
          <t>Non</t>
        </is>
      </c>
      <c r="F86" t="inlineStr">
        <is>
          <t>https://moonstarreviews.net/ibasso-dc07-pro-review/</t>
        </is>
      </c>
      <c r="G86" s="26" t="inlineStr">
        <is>
          <t>iPhones have a limit on the current they can provide to external devices. If a device draws too much power, it can trigger the iPhone’s power protection and cause a shutdown. With a power consumption of only 80mA, the DC07Pro seems unlikely to run into this issue with iPhones.</t>
        </is>
      </c>
      <c r="H86" t="inlineStr">
        <is>
          <t>2026-08-10</t>
        </is>
      </c>
    </row>
    <row r="87">
      <c r="A87" t="n">
        <v>17</v>
      </c>
      <c r="B87" t="inlineStr">
        <is>
          <t>iBasso</t>
        </is>
      </c>
      <c r="C87" t="inlineStr">
        <is>
          <t>DC07PRO</t>
        </is>
      </c>
      <c r="D87" t="inlineStr">
        <is>
          <t>Bluetooth</t>
        </is>
      </c>
      <c r="E87" t="inlineStr">
        <is>
          <t>Non</t>
        </is>
      </c>
      <c r="F87" t="inlineStr">
        <is>
          <t>https://www.audiophonics.fr/fr/dac-portables/ibasso-dc07pro-noir-p-19619.html</t>
        </is>
      </c>
      <c r="G87" s="26" t="inlineStr">
        <is>
          <t>Entrée | 1x USB-C</t>
        </is>
      </c>
      <c r="H87" t="inlineStr">
        <is>
          <t>2026-08-10</t>
        </is>
      </c>
    </row>
    <row r="88">
      <c r="A88" t="n">
        <v>17</v>
      </c>
      <c r="B88" t="inlineStr">
        <is>
          <t>iBasso</t>
        </is>
      </c>
      <c r="C88" t="inlineStr">
        <is>
          <t>DC07PRO</t>
        </is>
      </c>
      <c r="D88" t="inlineStr">
        <is>
          <t>3.5mm</t>
        </is>
      </c>
      <c r="E88" t="inlineStr">
        <is>
          <t>Oui</t>
        </is>
      </c>
      <c r="F88" t="inlineStr">
        <is>
          <t>https://moonstarreviews.net/ibasso-dc07-pro-review/</t>
        </is>
      </c>
      <c r="G88" s="26" t="inlineStr">
        <is>
          <t>The bottom of the unit houses both the 3.5mm single-ended and 4.4mm balanced headphone outputs.</t>
        </is>
      </c>
      <c r="H88" t="inlineStr">
        <is>
          <t>2026-08-10</t>
        </is>
      </c>
    </row>
    <row r="89">
      <c r="A89" t="n">
        <v>17</v>
      </c>
      <c r="B89" t="inlineStr">
        <is>
          <t>iBasso</t>
        </is>
      </c>
      <c r="C89" t="inlineStr">
        <is>
          <t>DC07PRO</t>
        </is>
      </c>
      <c r="D89" t="inlineStr">
        <is>
          <t>4.4mm</t>
        </is>
      </c>
      <c r="E89" t="inlineStr">
        <is>
          <t>Oui</t>
        </is>
      </c>
      <c r="F89" t="inlineStr">
        <is>
          <t>https://www.audiophonics.fr/fr/dac-portables/ibasso-dc07pro-noir-p-19619.html</t>
        </is>
      </c>
      <c r="G89" s="26" t="inlineStr">
        <is>
          <t>Sorties | 1x Jack 3.5mm asymétrique 1x Jack 4.4mm symétrique</t>
        </is>
      </c>
      <c r="H89" t="inlineStr">
        <is>
          <t>2026-08-10</t>
        </is>
      </c>
    </row>
    <row r="90">
      <c r="A90" t="n">
        <v>17</v>
      </c>
      <c r="B90" t="inlineStr">
        <is>
          <t>iBasso</t>
        </is>
      </c>
      <c r="C90" t="inlineStr">
        <is>
          <t>DC07PRO</t>
        </is>
      </c>
      <c r="D90" t="inlineStr">
        <is>
          <t>2.5mm</t>
        </is>
      </c>
      <c r="E90" t="inlineStr">
        <is>
          <t>Non</t>
        </is>
      </c>
      <c r="F90" t="inlineStr">
        <is>
          <t>https://www.audiophonics.fr/fr/dac-portables/ibasso-dc07pro-noir-p-19619.html</t>
        </is>
      </c>
      <c r="G90" s="26" t="inlineStr">
        <is>
          <t>Sorties | 1x Jack 3.5mm asymétrique 1x Jack 4.4mm symétrique</t>
        </is>
      </c>
      <c r="H90" t="inlineStr">
        <is>
          <t>2026-08-10</t>
        </is>
      </c>
    </row>
    <row r="91">
      <c r="A91" t="n">
        <v>17</v>
      </c>
      <c r="B91" t="inlineStr">
        <is>
          <t>iBasso</t>
        </is>
      </c>
      <c r="C91" t="inlineStr">
        <is>
          <t>DC07PRO</t>
        </is>
      </c>
      <c r="D91" t="inlineStr">
        <is>
          <t>6.35mm</t>
        </is>
      </c>
      <c r="E91" t="inlineStr">
        <is>
          <t>Non</t>
        </is>
      </c>
      <c r="F91" t="inlineStr">
        <is>
          <t>https://www.audiophonics.fr/fr/dac-portables/ibasso-dc07pro-noir-p-19619.html</t>
        </is>
      </c>
      <c r="G91" s="26" t="inlineStr">
        <is>
          <t>Sorties | 1x Jack 3.5mm asymétrique 1x Jack 4.4mm symétrique</t>
        </is>
      </c>
      <c r="H91" t="inlineStr">
        <is>
          <t>2026-08-10</t>
        </is>
      </c>
    </row>
    <row r="92">
      <c r="A92" t="n">
        <v>17</v>
      </c>
      <c r="B92" t="inlineStr">
        <is>
          <t>iBasso</t>
        </is>
      </c>
      <c r="C92" t="inlineStr">
        <is>
          <t>DC07PRO</t>
        </is>
      </c>
      <c r="D92" t="inlineStr">
        <is>
          <t>XLR</t>
        </is>
      </c>
      <c r="E92" t="inlineStr">
        <is>
          <t>Non</t>
        </is>
      </c>
      <c r="F92" t="inlineStr">
        <is>
          <t>https://www.audiophonics.fr/fr/dac-portables/ibasso-dc07pro-noir-p-19619.html</t>
        </is>
      </c>
      <c r="G92" s="26" t="inlineStr">
        <is>
          <t>Sorties | 1x Jack 3.5mm asymétrique 1x Jack 4.4mm symétrique</t>
        </is>
      </c>
      <c r="H92" t="inlineStr">
        <is>
          <t>2026-08-10</t>
        </is>
      </c>
    </row>
    <row r="93">
      <c r="A93" t="n">
        <v>18</v>
      </c>
      <c r="B93" t="inlineStr">
        <is>
          <t>Shanling</t>
        </is>
      </c>
      <c r="C93" t="inlineStr">
        <is>
          <t>UA6 II</t>
        </is>
      </c>
      <c r="D93" t="inlineStr">
        <is>
          <t>Bluetooth</t>
        </is>
      </c>
      <c r="E93" t="inlineStr">
        <is>
          <t>Non</t>
        </is>
      </c>
      <c r="F93" t="inlineStr">
        <is>
          <t>https://www.audiophonics.fr/fr/dac-portables/shanling-ua6-ii-p-22362.html</t>
        </is>
      </c>
      <c r="G93" s="26" t="inlineStr">
        <is>
          <t>Entrées | 1x USB-C</t>
        </is>
      </c>
      <c r="H93" t="inlineStr">
        <is>
          <t>2026-08-10</t>
        </is>
      </c>
    </row>
    <row r="94">
      <c r="A94" t="n">
        <v>18</v>
      </c>
      <c r="B94" t="inlineStr">
        <is>
          <t>Shanling</t>
        </is>
      </c>
      <c r="C94" t="inlineStr">
        <is>
          <t>UA6 II</t>
        </is>
      </c>
      <c r="D94" t="inlineStr">
        <is>
          <t>3.5mm</t>
        </is>
      </c>
      <c r="E94" t="inlineStr">
        <is>
          <t>Oui</t>
        </is>
      </c>
      <c r="F94" t="inlineStr">
        <is>
          <t>https://www.audiophonics.fr/fr/dac-portables/shanling-ua6-ii-p-22362.html</t>
        </is>
      </c>
      <c r="G94" s="26" t="inlineStr">
        <is>
          <t>Sorties | 1x Jack 3.5mm asymétrique 1x Jack 4.4mm symétrique</t>
        </is>
      </c>
      <c r="H94" t="inlineStr">
        <is>
          <t>2026-08-10</t>
        </is>
      </c>
    </row>
    <row r="95">
      <c r="A95" t="n">
        <v>18</v>
      </c>
      <c r="B95" t="inlineStr">
        <is>
          <t>Shanling</t>
        </is>
      </c>
      <c r="C95" t="inlineStr">
        <is>
          <t>UA6 II</t>
        </is>
      </c>
      <c r="D95" t="inlineStr">
        <is>
          <t>4.4mm</t>
        </is>
      </c>
      <c r="E95" t="inlineStr">
        <is>
          <t>Oui</t>
        </is>
      </c>
      <c r="F95" t="inlineStr">
        <is>
          <t>https://www.audiophonics.fr/fr/dac-portables/shanling-ua6-ii-p-22362.html</t>
        </is>
      </c>
      <c r="G95" s="26" t="inlineStr">
        <is>
          <t>Sorties | 1x Jack 3.5mm asymétrique 1x Jack 4.4mm symétrique</t>
        </is>
      </c>
      <c r="H95" t="inlineStr">
        <is>
          <t>2026-08-10</t>
        </is>
      </c>
    </row>
    <row r="96">
      <c r="A96" t="n">
        <v>18</v>
      </c>
      <c r="B96" t="inlineStr">
        <is>
          <t>Shanling</t>
        </is>
      </c>
      <c r="C96" t="inlineStr">
        <is>
          <t>UA6 II</t>
        </is>
      </c>
      <c r="D96" t="inlineStr">
        <is>
          <t>2.5mm</t>
        </is>
      </c>
      <c r="E96" t="inlineStr">
        <is>
          <t>Non</t>
        </is>
      </c>
      <c r="F96" t="inlineStr">
        <is>
          <t>https://www.audiophonics.fr/fr/dac-portables/shanling-ua6-ii-p-22362.html</t>
        </is>
      </c>
      <c r="G96" s="26" t="inlineStr">
        <is>
          <t>Sorties | 1x Jack 3.5mm asymétrique 1x Jack 4.4mm symétrique</t>
        </is>
      </c>
      <c r="H96" t="inlineStr">
        <is>
          <t>2026-08-10</t>
        </is>
      </c>
    </row>
    <row r="97">
      <c r="A97" t="n">
        <v>18</v>
      </c>
      <c r="B97" t="inlineStr">
        <is>
          <t>Shanling</t>
        </is>
      </c>
      <c r="C97" t="inlineStr">
        <is>
          <t>UA6 II</t>
        </is>
      </c>
      <c r="D97" t="inlineStr">
        <is>
          <t>6.35mm</t>
        </is>
      </c>
      <c r="E97" t="inlineStr">
        <is>
          <t>Non</t>
        </is>
      </c>
      <c r="F97" t="inlineStr">
        <is>
          <t>https://www.audiophonics.fr/fr/dac-portables/shanling-ua6-ii-p-22362.html</t>
        </is>
      </c>
      <c r="G97" s="26" t="inlineStr">
        <is>
          <t>Sorties | 1x Jack 3.5mm asymétrique 1x Jack 4.4mm symétrique</t>
        </is>
      </c>
      <c r="H97" t="inlineStr">
        <is>
          <t>2026-08-10</t>
        </is>
      </c>
    </row>
    <row r="98">
      <c r="A98" t="n">
        <v>18</v>
      </c>
      <c r="B98" t="inlineStr">
        <is>
          <t>Shanling</t>
        </is>
      </c>
      <c r="C98" t="inlineStr">
        <is>
          <t>UA6 II</t>
        </is>
      </c>
      <c r="D98" t="inlineStr">
        <is>
          <t>XLR</t>
        </is>
      </c>
      <c r="E98" t="inlineStr">
        <is>
          <t>Non</t>
        </is>
      </c>
      <c r="F98" t="inlineStr">
        <is>
          <t>https://www.audiophonics.fr/fr/dac-portables/shanling-ua6-ii-p-22362.html</t>
        </is>
      </c>
      <c r="G98" s="26" t="inlineStr">
        <is>
          <t>Sorties | 1x Jack 3.5mm asymétrique 1x Jack 4.4mm symétrique</t>
        </is>
      </c>
      <c r="H98" t="inlineStr">
        <is>
          <t>2026-08-10</t>
        </is>
      </c>
    </row>
    <row r="99">
      <c r="A99" t="n">
        <v>19</v>
      </c>
      <c r="B99" t="inlineStr">
        <is>
          <t>ONIX</t>
        </is>
      </c>
      <c r="C99" t="inlineStr">
        <is>
          <t>Alpha XI1</t>
        </is>
      </c>
      <c r="D99" t="inlineStr">
        <is>
          <t>Batterie</t>
        </is>
      </c>
      <c r="E99" t="inlineStr">
        <is>
          <t>Non</t>
        </is>
      </c>
      <c r="F99" t="inlineStr">
        <is>
          <t>https://headfonics.com/onix-alpha-xi1-review/</t>
        </is>
      </c>
      <c r="G99" s="26" t="inlineStr">
        <is>
          <t>With a single dynamic driver IEM, I was getting around 10 minutes of playback time with the volume control at half point for every 1% battery drain from my phone.</t>
        </is>
      </c>
      <c r="H99" t="inlineStr">
        <is>
          <t>2026-08-10</t>
        </is>
      </c>
    </row>
    <row r="100">
      <c r="A100" t="n">
        <v>19</v>
      </c>
      <c r="B100" t="inlineStr">
        <is>
          <t>ONIX</t>
        </is>
      </c>
      <c r="C100" t="inlineStr">
        <is>
          <t>Alpha XI1</t>
        </is>
      </c>
      <c r="D100" t="inlineStr">
        <is>
          <t>Bluetooth</t>
        </is>
      </c>
      <c r="E100" t="inlineStr">
        <is>
          <t>Non</t>
        </is>
      </c>
      <c r="F100" t="inlineStr">
        <is>
          <t>https://headfonics.com/onix-alpha-xi1-review/</t>
        </is>
      </c>
      <c r="G100" s="26" t="inlineStr">
        <is>
          <t>The I/O consists of a USB-C input and two headphone outputs.</t>
        </is>
      </c>
      <c r="H100" t="inlineStr">
        <is>
          <t>2026-08-10</t>
        </is>
      </c>
    </row>
    <row r="101">
      <c r="A101" t="n">
        <v>19</v>
      </c>
      <c r="B101" t="inlineStr">
        <is>
          <t>ONIX</t>
        </is>
      </c>
      <c r="C101" t="inlineStr">
        <is>
          <t>Alpha XI1</t>
        </is>
      </c>
      <c r="D101" t="inlineStr">
        <is>
          <t>3.5mm</t>
        </is>
      </c>
      <c r="E101" t="inlineStr">
        <is>
          <t>Oui</t>
        </is>
      </c>
      <c r="F101" t="inlineStr">
        <is>
          <t>https://headfonics.com/onix-alpha-xi1-review/</t>
        </is>
      </c>
      <c r="G101" s="26" t="inlineStr">
        <is>
          <t>The usual suspects are aboard, a 4.4mm balanced tap and a 3.5mm single-ended output are both on one end of the unit and the other end contains the countersunk USB-C input port</t>
        </is>
      </c>
      <c r="H101" t="inlineStr">
        <is>
          <t>2026-08-10</t>
        </is>
      </c>
    </row>
    <row r="102">
      <c r="A102" t="n">
        <v>19</v>
      </c>
      <c r="B102" t="inlineStr">
        <is>
          <t>ONIX</t>
        </is>
      </c>
      <c r="C102" t="inlineStr">
        <is>
          <t>Alpha XI1</t>
        </is>
      </c>
      <c r="D102" t="inlineStr">
        <is>
          <t>4.4mm</t>
        </is>
      </c>
      <c r="E102" t="inlineStr">
        <is>
          <t>Oui</t>
        </is>
      </c>
      <c r="F102" t="inlineStr">
        <is>
          <t>https://www.audiophonics.fr/fr/dac-portables/shanling-onix-alpha-xi1-p-19347.html</t>
        </is>
      </c>
      <c r="G102" s="26" t="inlineStr">
        <is>
          <t>Sortie | 1x Jack 3.5mm asymétrique 1x Jack 4.4mm symétrique</t>
        </is>
      </c>
      <c r="H102" t="inlineStr">
        <is>
          <t>2026-08-10</t>
        </is>
      </c>
    </row>
    <row r="103">
      <c r="A103" t="n">
        <v>19</v>
      </c>
      <c r="B103" t="inlineStr">
        <is>
          <t>ONIX</t>
        </is>
      </c>
      <c r="C103" t="inlineStr">
        <is>
          <t>Alpha XI1</t>
        </is>
      </c>
      <c r="D103" t="inlineStr">
        <is>
          <t>2.5mm</t>
        </is>
      </c>
      <c r="E103" t="inlineStr">
        <is>
          <t>Non</t>
        </is>
      </c>
      <c r="F103" t="inlineStr">
        <is>
          <t>https://headfonics.com/onix-alpha-xi1-review/</t>
        </is>
      </c>
      <c r="G103" s="26" t="inlineStr">
        <is>
          <t>The I/O consists of a USB-C input and two headphone outputs.</t>
        </is>
      </c>
      <c r="H103" t="inlineStr">
        <is>
          <t>2026-08-10</t>
        </is>
      </c>
    </row>
    <row r="104">
      <c r="A104" t="n">
        <v>19</v>
      </c>
      <c r="B104" t="inlineStr">
        <is>
          <t>ONIX</t>
        </is>
      </c>
      <c r="C104" t="inlineStr">
        <is>
          <t>Alpha XI1</t>
        </is>
      </c>
      <c r="D104" t="inlineStr">
        <is>
          <t>6.35mm</t>
        </is>
      </c>
      <c r="E104" t="inlineStr">
        <is>
          <t>Non</t>
        </is>
      </c>
      <c r="F104" t="inlineStr">
        <is>
          <t>https://headfonics.com/onix-alpha-xi1-review/</t>
        </is>
      </c>
      <c r="G104" s="26" t="inlineStr">
        <is>
          <t>The I/O consists of a USB-C input and two headphone outputs.</t>
        </is>
      </c>
      <c r="H104" t="inlineStr">
        <is>
          <t>2026-08-10</t>
        </is>
      </c>
    </row>
    <row r="105">
      <c r="A105" t="n">
        <v>19</v>
      </c>
      <c r="B105" t="inlineStr">
        <is>
          <t>ONIX</t>
        </is>
      </c>
      <c r="C105" t="inlineStr">
        <is>
          <t>Alpha XI1</t>
        </is>
      </c>
      <c r="D105" t="inlineStr">
        <is>
          <t>XLR</t>
        </is>
      </c>
      <c r="E105" t="inlineStr">
        <is>
          <t>Non</t>
        </is>
      </c>
      <c r="F105" t="inlineStr">
        <is>
          <t>https://headfonics.com/onix-alpha-xi1-review/</t>
        </is>
      </c>
      <c r="G105" s="26" t="inlineStr">
        <is>
          <t>The I/O consists of a USB-C input and two headphone outputs.</t>
        </is>
      </c>
      <c r="H105" t="inlineStr">
        <is>
          <t>2026-08-10</t>
        </is>
      </c>
    </row>
    <row r="106">
      <c r="A106" t="n">
        <v>20</v>
      </c>
      <c r="B106" t="inlineStr">
        <is>
          <t>xDuoo</t>
        </is>
      </c>
      <c r="C106" t="inlineStr">
        <is>
          <t>XD05 BAL 2</t>
        </is>
      </c>
      <c r="D106" t="inlineStr">
        <is>
          <t>Batterie</t>
        </is>
      </c>
      <c r="E106" t="inlineStr">
        <is>
          <t>Oui</t>
        </is>
      </c>
      <c r="F106" t="inlineStr">
        <is>
          <t>https://headfonics.com/xduoo-xd05-bal-2-review/</t>
        </is>
      </c>
      <c r="G106" s="26" t="inlineStr">
        <is>
          <t>With a large 5000mAh battery, the XD05 BAL 2 has nearly 3x the battery life of the CEntrance HiFi-M8 V2 in side-by-side comparisons.</t>
        </is>
      </c>
      <c r="H106" t="inlineStr">
        <is>
          <t>2026-08-10</t>
        </is>
      </c>
    </row>
    <row r="107">
      <c r="A107" t="n">
        <v>20</v>
      </c>
      <c r="B107" t="inlineStr">
        <is>
          <t>xDuoo</t>
        </is>
      </c>
      <c r="C107" t="inlineStr">
        <is>
          <t>XD05 BAL 2</t>
        </is>
      </c>
      <c r="D107" t="inlineStr">
        <is>
          <t>Bluetooth</t>
        </is>
      </c>
      <c r="E107" t="inlineStr">
        <is>
          <t>Oui</t>
        </is>
      </c>
      <c r="F107" t="inlineStr">
        <is>
          <t>https://headfonics.com/xduoo-xd05-bal-2-review/</t>
        </is>
      </c>
      <c r="G107" s="26" t="inlineStr">
        <is>
          <t>The xDuoo XD05 BAL 2 can handle Bluetooth 5.1 as well as being able to receive both LDAC and aptX-LL codecs.</t>
        </is>
      </c>
      <c r="H107" t="inlineStr">
        <is>
          <t>2026-08-10</t>
        </is>
      </c>
    </row>
    <row r="108">
      <c r="A108" t="n">
        <v>20</v>
      </c>
      <c r="B108" t="inlineStr">
        <is>
          <t>xDuoo</t>
        </is>
      </c>
      <c r="C108" t="inlineStr">
        <is>
          <t>XD05 BAL 2</t>
        </is>
      </c>
      <c r="D108" t="inlineStr">
        <is>
          <t>3.5mm</t>
        </is>
      </c>
      <c r="E108" t="inlineStr">
        <is>
          <t>Non</t>
        </is>
      </c>
      <c r="F108" t="inlineStr">
        <is>
          <t>https://headfonics.com/xduoo-xd05-bal-2-review/</t>
        </is>
      </c>
      <c r="G108" s="26" t="inlineStr">
        <is>
          <t>On the front side is a standard ¼ output, as well as a 4.4mm balanced, the power switch, the gain mode selector, and the heavenly bass switch, along with a small and retro 80’s looking “LCD” screen</t>
        </is>
      </c>
      <c r="H108" t="inlineStr">
        <is>
          <t>2026-08-10</t>
        </is>
      </c>
    </row>
    <row r="109">
      <c r="A109" t="n">
        <v>20</v>
      </c>
      <c r="B109" t="inlineStr">
        <is>
          <t>xDuoo</t>
        </is>
      </c>
      <c r="C109" t="inlineStr">
        <is>
          <t>XD05 BAL 2</t>
        </is>
      </c>
      <c r="D109" t="inlineStr">
        <is>
          <t>4.4mm</t>
        </is>
      </c>
      <c r="E109" t="inlineStr">
        <is>
          <t>Oui</t>
        </is>
      </c>
      <c r="F109" t="inlineStr">
        <is>
          <t>https://headfonics.com/xduoo-xd05-bal-2-review/</t>
        </is>
      </c>
      <c r="G109" s="26" t="inlineStr">
        <is>
          <t>On the front side is a standard ¼ output, as well as a 4.4mm balanced, the power switch, the gain mode selector, and the heavenly bass switch</t>
        </is>
      </c>
      <c r="H109" t="inlineStr">
        <is>
          <t>2026-08-10</t>
        </is>
      </c>
    </row>
    <row r="110">
      <c r="A110" t="n">
        <v>20</v>
      </c>
      <c r="B110" t="inlineStr">
        <is>
          <t>xDuoo</t>
        </is>
      </c>
      <c r="C110" t="inlineStr">
        <is>
          <t>XD05 BAL 2</t>
        </is>
      </c>
      <c r="D110" t="inlineStr">
        <is>
          <t>2.5mm</t>
        </is>
      </c>
      <c r="E110" t="inlineStr">
        <is>
          <t>Non</t>
        </is>
      </c>
      <c r="F110" t="inlineStr">
        <is>
          <t>https://headfonics.com/xduoo-xd05-bal-2-review/</t>
        </is>
      </c>
      <c r="G110" s="26" t="inlineStr">
        <is>
          <t>On the front side is a standard ¼ output, as well as a 4.4mm balanced, the power switch, the gain mode selector, and the heavenly bass switch</t>
        </is>
      </c>
      <c r="H110" t="inlineStr">
        <is>
          <t>2026-08-10</t>
        </is>
      </c>
    </row>
    <row r="111">
      <c r="A111" t="n">
        <v>20</v>
      </c>
      <c r="B111" t="inlineStr">
        <is>
          <t>xDuoo</t>
        </is>
      </c>
      <c r="C111" t="inlineStr">
        <is>
          <t>XD05 BAL 2</t>
        </is>
      </c>
      <c r="D111" t="inlineStr">
        <is>
          <t>6.35mm</t>
        </is>
      </c>
      <c r="E111" t="inlineStr">
        <is>
          <t>Oui</t>
        </is>
      </c>
      <c r="F111" t="inlineStr">
        <is>
          <t>https://headfonics.com/xduoo-xd05-bal-2-review/</t>
        </is>
      </c>
      <c r="G111" s="26" t="inlineStr">
        <is>
          <t>On the front side is a standard ¼ output, as well as a 4.4mm balanced, the power switch, the gain mode selector, and the heavenly bass switch</t>
        </is>
      </c>
      <c r="H111" t="inlineStr">
        <is>
          <t>2026-08-10</t>
        </is>
      </c>
    </row>
    <row r="112">
      <c r="A112" t="n">
        <v>20</v>
      </c>
      <c r="B112" t="inlineStr">
        <is>
          <t>xDuoo</t>
        </is>
      </c>
      <c r="C112" t="inlineStr">
        <is>
          <t>XD05 BAL 2</t>
        </is>
      </c>
      <c r="D112" t="inlineStr">
        <is>
          <t>XLR</t>
        </is>
      </c>
      <c r="E112" t="inlineStr">
        <is>
          <t>Non</t>
        </is>
      </c>
      <c r="F112" t="inlineStr">
        <is>
          <t>https://headfonics.com/xduoo-xd05-bal-2-review/</t>
        </is>
      </c>
      <c r="G112" s="26" t="inlineStr">
        <is>
          <t>On the front side is a standard ¼ output, as well as a 4.4mm balanced, the power switch, the gain mode selector, and the heavenly bass switch</t>
        </is>
      </c>
      <c r="H112" t="inlineStr">
        <is>
          <t>2026-08-10</t>
        </is>
      </c>
    </row>
    <row r="113">
      <c r="A113" t="n">
        <v>21</v>
      </c>
      <c r="B113" t="inlineStr">
        <is>
          <t>Dethonray</t>
        </is>
      </c>
      <c r="C113" t="inlineStr">
        <is>
          <t>Pegasus SG1</t>
        </is>
      </c>
      <c r="D113" t="inlineStr">
        <is>
          <t>Batterie</t>
        </is>
      </c>
      <c r="E113" t="inlineStr">
        <is>
          <t>Oui</t>
        </is>
      </c>
      <c r="F113" t="inlineStr">
        <is>
          <t>https://www.dethonray.com/products/dac/pegasus-sg1/</t>
        </is>
      </c>
      <c r="G113" s="26" t="inlineStr">
        <is>
          <t>2000 mAH ... Battery Life: 3.5：8 hours 4.4：6 hours</t>
        </is>
      </c>
      <c r="H113" t="inlineStr">
        <is>
          <t>2026-08-10</t>
        </is>
      </c>
    </row>
    <row r="114">
      <c r="A114" t="n">
        <v>21</v>
      </c>
      <c r="B114" t="inlineStr">
        <is>
          <t>Dethonray</t>
        </is>
      </c>
      <c r="C114" t="inlineStr">
        <is>
          <t>Pegasus SG1</t>
        </is>
      </c>
      <c r="D114" t="inlineStr">
        <is>
          <t>Bluetooth</t>
        </is>
      </c>
      <c r="E114" t="inlineStr">
        <is>
          <t>Oui</t>
        </is>
      </c>
      <c r="F114" t="inlineStr">
        <is>
          <t>https://www.dethonray.com/products/dac/pegasus-sg1/</t>
        </is>
      </c>
      <c r="G114" s="26" t="inlineStr">
        <is>
          <t>Bluetooth audio transmission format support: SBC，MP3，AAC，APT-X , APTX-L，APTX-LL，APTX-HD，LDAC等</t>
        </is>
      </c>
      <c r="H114" t="inlineStr">
        <is>
          <t>2026-08-10</t>
        </is>
      </c>
    </row>
    <row r="115">
      <c r="A115" t="n">
        <v>21</v>
      </c>
      <c r="B115" t="inlineStr">
        <is>
          <t>Dethonray</t>
        </is>
      </c>
      <c r="C115" t="inlineStr">
        <is>
          <t>Pegasus SG1</t>
        </is>
      </c>
      <c r="D115" t="inlineStr">
        <is>
          <t>3.5mm</t>
        </is>
      </c>
      <c r="E115" t="inlineStr">
        <is>
          <t>Oui</t>
        </is>
      </c>
      <c r="F115" t="inlineStr">
        <is>
          <t>https://www.dethonray.com/products/dac/pegasus-sg1/</t>
        </is>
      </c>
      <c r="G115" s="26" t="inlineStr">
        <is>
          <t>3.5 Single End/4.4 Balance</t>
        </is>
      </c>
      <c r="H115" t="inlineStr">
        <is>
          <t>2026-08-10</t>
        </is>
      </c>
    </row>
    <row r="116">
      <c r="A116" t="n">
        <v>21</v>
      </c>
      <c r="B116" t="inlineStr">
        <is>
          <t>Dethonray</t>
        </is>
      </c>
      <c r="C116" t="inlineStr">
        <is>
          <t>Pegasus SG1</t>
        </is>
      </c>
      <c r="D116" t="inlineStr">
        <is>
          <t>4.4mm</t>
        </is>
      </c>
      <c r="E116" t="inlineStr">
        <is>
          <t>Oui</t>
        </is>
      </c>
      <c r="F116" t="inlineStr">
        <is>
          <t>https://www.dethonray.com/products/dac/pegasus-sg1/</t>
        </is>
      </c>
      <c r="G116" s="26" t="inlineStr">
        <is>
          <t>3.5 Single End/4.4 Balance</t>
        </is>
      </c>
      <c r="H116" t="inlineStr">
        <is>
          <t>2026-08-10</t>
        </is>
      </c>
    </row>
    <row r="117">
      <c r="A117" t="n">
        <v>21</v>
      </c>
      <c r="B117" t="inlineStr">
        <is>
          <t>Dethonray</t>
        </is>
      </c>
      <c r="C117" t="inlineStr">
        <is>
          <t>Pegasus SG1</t>
        </is>
      </c>
      <c r="D117" t="inlineStr">
        <is>
          <t>2.5mm</t>
        </is>
      </c>
      <c r="E117" t="inlineStr">
        <is>
          <t>Non</t>
        </is>
      </c>
      <c r="F117" t="inlineStr">
        <is>
          <t>https://www.dethonray.com/products/dac/pegasus-sg1/</t>
        </is>
      </c>
      <c r="G117" s="26" t="inlineStr">
        <is>
          <t>3.5 Single End/4.4 Balance</t>
        </is>
      </c>
      <c r="H117" t="inlineStr">
        <is>
          <t>2026-08-10</t>
        </is>
      </c>
    </row>
    <row r="118">
      <c r="A118" t="n">
        <v>21</v>
      </c>
      <c r="B118" t="inlineStr">
        <is>
          <t>Dethonray</t>
        </is>
      </c>
      <c r="C118" t="inlineStr">
        <is>
          <t>Pegasus SG1</t>
        </is>
      </c>
      <c r="D118" t="inlineStr">
        <is>
          <t>6.35mm</t>
        </is>
      </c>
      <c r="E118" t="inlineStr">
        <is>
          <t>Non</t>
        </is>
      </c>
      <c r="F118" t="inlineStr">
        <is>
          <t>https://www.dethonray.com/products/dac/pegasus-sg1/</t>
        </is>
      </c>
      <c r="G118" s="26" t="inlineStr">
        <is>
          <t>3.5 Single End/4.4 Balance</t>
        </is>
      </c>
      <c r="H118" t="inlineStr">
        <is>
          <t>2026-08-10</t>
        </is>
      </c>
    </row>
    <row r="119">
      <c r="A119" t="n">
        <v>21</v>
      </c>
      <c r="B119" t="inlineStr">
        <is>
          <t>Dethonray</t>
        </is>
      </c>
      <c r="C119" t="inlineStr">
        <is>
          <t>Pegasus SG1</t>
        </is>
      </c>
      <c r="D119" t="inlineStr">
        <is>
          <t>XLR</t>
        </is>
      </c>
      <c r="E119" t="inlineStr">
        <is>
          <t>Non</t>
        </is>
      </c>
      <c r="F119" t="inlineStr">
        <is>
          <t>https://www.dethonray.com/products/dac/pegasus-sg1/</t>
        </is>
      </c>
      <c r="G119" s="26" t="inlineStr">
        <is>
          <t>3.5 Single End/4.4 Balance</t>
        </is>
      </c>
      <c r="H119" t="inlineStr">
        <is>
          <t>2026-08-10</t>
        </is>
      </c>
    </row>
    <row r="120">
      <c r="A120" t="n">
        <v>22</v>
      </c>
      <c r="B120" t="inlineStr">
        <is>
          <t>Shanling</t>
        </is>
      </c>
      <c r="C120" t="inlineStr">
        <is>
          <t>H5 MQA</t>
        </is>
      </c>
      <c r="D120" t="inlineStr">
        <is>
          <t>Batterie</t>
        </is>
      </c>
      <c r="E120" t="inlineStr">
        <is>
          <t>Oui</t>
        </is>
      </c>
      <c r="F120" t="inlineStr">
        <is>
          <t>https://en.shanling.com/article-IntroH5.html</t>
        </is>
      </c>
      <c r="G120" s="26" t="inlineStr">
        <is>
          <t>Lithium battery 3500MAH/3.8V</t>
        </is>
      </c>
      <c r="H120" t="inlineStr">
        <is>
          <t>2026-08-10</t>
        </is>
      </c>
    </row>
    <row r="121">
      <c r="A121" t="n">
        <v>22</v>
      </c>
      <c r="B121" t="inlineStr">
        <is>
          <t>Shanling</t>
        </is>
      </c>
      <c r="C121" t="inlineStr">
        <is>
          <t>H5 MQA</t>
        </is>
      </c>
      <c r="D121" t="inlineStr">
        <is>
          <t>Bluetooth</t>
        </is>
      </c>
      <c r="E121" t="inlineStr">
        <is>
          <t>Oui</t>
        </is>
      </c>
      <c r="F121" t="inlineStr">
        <is>
          <t>https://en.shanling.com/article-IntroH5.html</t>
        </is>
      </c>
      <c r="G121" s="26" t="inlineStr">
        <is>
          <t>Bluetooth 5.0 Receiver / Bluetooth Codec Support: LDAC / AAC / SBC</t>
        </is>
      </c>
      <c r="H121" t="inlineStr">
        <is>
          <t>2026-08-10</t>
        </is>
      </c>
    </row>
    <row r="122">
      <c r="A122" t="n">
        <v>22</v>
      </c>
      <c r="B122" t="inlineStr">
        <is>
          <t>Shanling</t>
        </is>
      </c>
      <c r="C122" t="inlineStr">
        <is>
          <t>H5 MQA</t>
        </is>
      </c>
      <c r="D122" t="inlineStr">
        <is>
          <t>3.5mm</t>
        </is>
      </c>
      <c r="E122" t="inlineStr">
        <is>
          <t>Oui</t>
        </is>
      </c>
      <c r="F122" t="inlineStr">
        <is>
          <t>https://en.shanling.com/article-IntroH5.html</t>
        </is>
      </c>
      <c r="G122" s="26" t="inlineStr">
        <is>
          <t>3.5mm, 4.4mm and RCA output</t>
        </is>
      </c>
      <c r="H122" t="inlineStr">
        <is>
          <t>2026-08-10</t>
        </is>
      </c>
    </row>
    <row r="123">
      <c r="A123" t="n">
        <v>22</v>
      </c>
      <c r="B123" t="inlineStr">
        <is>
          <t>Shanling</t>
        </is>
      </c>
      <c r="C123" t="inlineStr">
        <is>
          <t>H5 MQA</t>
        </is>
      </c>
      <c r="D123" t="inlineStr">
        <is>
          <t>4.4mm</t>
        </is>
      </c>
      <c r="E123" t="inlineStr">
        <is>
          <t>Oui</t>
        </is>
      </c>
      <c r="F123" t="inlineStr">
        <is>
          <t>https://en.shanling.com/article-IntroH5.html</t>
        </is>
      </c>
      <c r="G123" s="26" t="inlineStr">
        <is>
          <t>3.5mm, 4.4mm and RCA output</t>
        </is>
      </c>
      <c r="H123" t="inlineStr">
        <is>
          <t>2026-08-10</t>
        </is>
      </c>
    </row>
    <row r="124">
      <c r="A124" t="n">
        <v>22</v>
      </c>
      <c r="B124" t="inlineStr">
        <is>
          <t>Shanling</t>
        </is>
      </c>
      <c r="C124" t="inlineStr">
        <is>
          <t>H5 MQA</t>
        </is>
      </c>
      <c r="D124" t="inlineStr">
        <is>
          <t>2.5mm</t>
        </is>
      </c>
      <c r="E124" t="inlineStr">
        <is>
          <t>Non</t>
        </is>
      </c>
      <c r="F124" t="inlineStr">
        <is>
          <t>https://en.shanling.com/article-IntroH5.html</t>
        </is>
      </c>
      <c r="G124" s="26" t="inlineStr">
        <is>
          <t>3.5mm, 4.4mm and RCA output</t>
        </is>
      </c>
      <c r="H124" t="inlineStr">
        <is>
          <t>2026-08-10</t>
        </is>
      </c>
    </row>
    <row r="125">
      <c r="A125" t="n">
        <v>22</v>
      </c>
      <c r="B125" t="inlineStr">
        <is>
          <t>Shanling</t>
        </is>
      </c>
      <c r="C125" t="inlineStr">
        <is>
          <t>H5 MQA</t>
        </is>
      </c>
      <c r="D125" t="inlineStr">
        <is>
          <t>6.35mm</t>
        </is>
      </c>
      <c r="E125" t="inlineStr">
        <is>
          <t>Non</t>
        </is>
      </c>
      <c r="F125" t="inlineStr">
        <is>
          <t>https://en.shanling.com/article-IntroH5.html</t>
        </is>
      </c>
      <c r="G125" s="26" t="inlineStr">
        <is>
          <t>3.5mm, 4.4mm and RCA output</t>
        </is>
      </c>
      <c r="H125" t="inlineStr">
        <is>
          <t>2026-08-10</t>
        </is>
      </c>
    </row>
    <row r="126">
      <c r="A126" t="n">
        <v>22</v>
      </c>
      <c r="B126" t="inlineStr">
        <is>
          <t>Shanling</t>
        </is>
      </c>
      <c r="C126" t="inlineStr">
        <is>
          <t>H5 MQA</t>
        </is>
      </c>
      <c r="D126" t="inlineStr">
        <is>
          <t>XLR</t>
        </is>
      </c>
      <c r="E126" t="inlineStr">
        <is>
          <t>Non</t>
        </is>
      </c>
      <c r="F126" t="inlineStr">
        <is>
          <t>https://en.shanling.com/article-IntroH5.html</t>
        </is>
      </c>
      <c r="G126" s="26" t="inlineStr">
        <is>
          <t>3.5mm, 4.4mm and RCA output</t>
        </is>
      </c>
      <c r="H126" t="inlineStr">
        <is>
          <t>2026-08-10</t>
        </is>
      </c>
    </row>
    <row r="127">
      <c r="A127" t="n">
        <v>23</v>
      </c>
      <c r="B127" t="inlineStr">
        <is>
          <t>xDuoo</t>
        </is>
      </c>
      <c r="C127" t="inlineStr">
        <is>
          <t>POKE II</t>
        </is>
      </c>
      <c r="D127" t="inlineStr">
        <is>
          <t>Batterie</t>
        </is>
      </c>
      <c r="E127" t="inlineStr">
        <is>
          <t>Oui</t>
        </is>
      </c>
      <c r="F127" t="inlineStr">
        <is>
          <t>https://hifigo.com/products/xduoo-poke-ii-portable-dac-amplifier</t>
        </is>
      </c>
      <c r="G127" s="26" t="inlineStr">
        <is>
          <t>4000mAh ... USB In ≥8H/ BT In ≥12H</t>
        </is>
      </c>
      <c r="H127" t="inlineStr">
        <is>
          <t>2026-08-10</t>
        </is>
      </c>
    </row>
    <row r="128">
      <c r="A128" t="n">
        <v>23</v>
      </c>
      <c r="B128" t="inlineStr">
        <is>
          <t>xDuoo</t>
        </is>
      </c>
      <c r="C128" t="inlineStr">
        <is>
          <t>POKE II</t>
        </is>
      </c>
      <c r="D128" t="inlineStr">
        <is>
          <t>Bluetooth</t>
        </is>
      </c>
      <c r="E128" t="inlineStr">
        <is>
          <t>Oui</t>
        </is>
      </c>
      <c r="F128" t="inlineStr">
        <is>
          <t>https://hifigo.com/products/xduoo-poke-ii-portable-dac-amplifier</t>
        </is>
      </c>
      <c r="G128" s="26" t="inlineStr">
        <is>
          <t>Bluetooth version: 5.0 ... SBC, AAC, aptX, APTX LL, APTX HD, LDAC</t>
        </is>
      </c>
      <c r="H128" t="inlineStr">
        <is>
          <t>2026-08-10</t>
        </is>
      </c>
    </row>
    <row r="129">
      <c r="A129" t="n">
        <v>23</v>
      </c>
      <c r="B129" t="inlineStr">
        <is>
          <t>xDuoo</t>
        </is>
      </c>
      <c r="C129" t="inlineStr">
        <is>
          <t>POKE II</t>
        </is>
      </c>
      <c r="D129" t="inlineStr">
        <is>
          <t>3.5mm</t>
        </is>
      </c>
      <c r="E129" t="inlineStr">
        <is>
          <t>Oui</t>
        </is>
      </c>
      <c r="F129" t="inlineStr">
        <is>
          <t>https://hifigo.com/products/xduoo-poke-ii-portable-dac-amplifier</t>
        </is>
      </c>
      <c r="G129" s="26" t="inlineStr">
        <is>
          <t>3.5mm Single-ended</t>
        </is>
      </c>
      <c r="H129" t="inlineStr">
        <is>
          <t>2026-08-10</t>
        </is>
      </c>
    </row>
    <row r="130">
      <c r="A130" t="n">
        <v>23</v>
      </c>
      <c r="B130" t="inlineStr">
        <is>
          <t>xDuoo</t>
        </is>
      </c>
      <c r="C130" t="inlineStr">
        <is>
          <t>POKE II</t>
        </is>
      </c>
      <c r="D130" t="inlineStr">
        <is>
          <t>4.4mm</t>
        </is>
      </c>
      <c r="E130" t="inlineStr">
        <is>
          <t>Oui</t>
        </is>
      </c>
      <c r="F130" t="inlineStr">
        <is>
          <t>https://hifigo.com/products/xduoo-poke-ii-portable-dac-amplifier</t>
        </is>
      </c>
      <c r="G130" s="26" t="inlineStr">
        <is>
          <t>4.4mm balanced</t>
        </is>
      </c>
      <c r="H130" t="inlineStr">
        <is>
          <t>2026-08-10</t>
        </is>
      </c>
    </row>
    <row r="131">
      <c r="A131" t="n">
        <v>24</v>
      </c>
      <c r="B131" t="inlineStr">
        <is>
          <t>FiiO</t>
        </is>
      </c>
      <c r="C131" t="inlineStr">
        <is>
          <t>BTR17</t>
        </is>
      </c>
      <c r="D131" t="inlineStr">
        <is>
          <t>Batterie</t>
        </is>
      </c>
      <c r="E131" t="inlineStr">
        <is>
          <t>Oui</t>
        </is>
      </c>
      <c r="F131" t="inlineStr">
        <is>
          <t>https://www.fiio.com/btr17</t>
        </is>
      </c>
      <c r="G131" s="26" t="inlineStr">
        <is>
          <t>About 8 hours (LDAC) ... Charging time: ≤2H</t>
        </is>
      </c>
      <c r="H131" t="inlineStr">
        <is>
          <t>2026-08-10</t>
        </is>
      </c>
    </row>
    <row r="132">
      <c r="A132" t="n">
        <v>24</v>
      </c>
      <c r="B132" t="inlineStr">
        <is>
          <t>FiiO</t>
        </is>
      </c>
      <c r="C132" t="inlineStr">
        <is>
          <t>BTR17</t>
        </is>
      </c>
      <c r="D132" t="inlineStr">
        <is>
          <t>Bluetooth</t>
        </is>
      </c>
      <c r="E132" t="inlineStr">
        <is>
          <t>Oui</t>
        </is>
      </c>
      <c r="F132" t="inlineStr">
        <is>
          <t>https://www.fiio.com/btr17</t>
        </is>
      </c>
      <c r="G132" s="26" t="inlineStr">
        <is>
          <t>AAC/SBC/aptX/aptX Adaptive/aptX Lossless /aptX HD/LDAC</t>
        </is>
      </c>
      <c r="H132" t="inlineStr">
        <is>
          <t>2026-08-10</t>
        </is>
      </c>
    </row>
    <row r="133">
      <c r="A133" t="n">
        <v>24</v>
      </c>
      <c r="B133" t="inlineStr">
        <is>
          <t>FiiO</t>
        </is>
      </c>
      <c r="C133" t="inlineStr">
        <is>
          <t>BTR17</t>
        </is>
      </c>
      <c r="D133" t="inlineStr">
        <is>
          <t>3.5mm</t>
        </is>
      </c>
      <c r="E133" t="inlineStr">
        <is>
          <t>Oui</t>
        </is>
      </c>
      <c r="F133" t="inlineStr">
        <is>
          <t>https://www.fiio.com/btr17</t>
        </is>
      </c>
      <c r="G133" s="26" t="inlineStr">
        <is>
          <t>Single-ended 3.5mm + balanced 4.4mm</t>
        </is>
      </c>
      <c r="H133" t="inlineStr">
        <is>
          <t>2026-08-10</t>
        </is>
      </c>
    </row>
    <row r="134">
      <c r="A134" t="n">
        <v>24</v>
      </c>
      <c r="B134" t="inlineStr">
        <is>
          <t>FiiO</t>
        </is>
      </c>
      <c r="C134" t="inlineStr">
        <is>
          <t>BTR17</t>
        </is>
      </c>
      <c r="D134" t="inlineStr">
        <is>
          <t>4.4mm</t>
        </is>
      </c>
      <c r="E134" t="inlineStr">
        <is>
          <t>Oui</t>
        </is>
      </c>
      <c r="F134" t="inlineStr">
        <is>
          <t>https://www.fiio.com/btr17</t>
        </is>
      </c>
      <c r="G134" s="26" t="inlineStr">
        <is>
          <t>Single-ended 3.5mm + balanced 4.4mm</t>
        </is>
      </c>
      <c r="H134" t="inlineStr">
        <is>
          <t>2026-08-10</t>
        </is>
      </c>
    </row>
    <row r="135">
      <c r="A135" t="n">
        <v>24</v>
      </c>
      <c r="B135" t="inlineStr">
        <is>
          <t>FiiO</t>
        </is>
      </c>
      <c r="C135" t="inlineStr">
        <is>
          <t>BTR17</t>
        </is>
      </c>
      <c r="D135" t="inlineStr">
        <is>
          <t>2.5mm</t>
        </is>
      </c>
      <c r="E135" t="inlineStr">
        <is>
          <t>Non</t>
        </is>
      </c>
      <c r="F135" t="inlineStr">
        <is>
          <t>https://www.fiio.com/btr17</t>
        </is>
      </c>
      <c r="G135" s="26" t="inlineStr">
        <is>
          <t>Single-ended 3.5mm + balanced 4.4mm</t>
        </is>
      </c>
      <c r="H135" t="inlineStr">
        <is>
          <t>2026-08-10</t>
        </is>
      </c>
    </row>
    <row r="136">
      <c r="A136" t="n">
        <v>24</v>
      </c>
      <c r="B136" t="inlineStr">
        <is>
          <t>FiiO</t>
        </is>
      </c>
      <c r="C136" t="inlineStr">
        <is>
          <t>BTR17</t>
        </is>
      </c>
      <c r="D136" t="inlineStr">
        <is>
          <t>6.35mm</t>
        </is>
      </c>
      <c r="E136" t="inlineStr">
        <is>
          <t>Non</t>
        </is>
      </c>
      <c r="F136" t="inlineStr">
        <is>
          <t>https://www.fiio.com/btr17</t>
        </is>
      </c>
      <c r="G136" s="26" t="inlineStr">
        <is>
          <t>Single-ended 3.5mm + balanced 4.4mm</t>
        </is>
      </c>
      <c r="H136" t="inlineStr">
        <is>
          <t>2026-08-10</t>
        </is>
      </c>
    </row>
    <row r="137">
      <c r="A137" t="n">
        <v>24</v>
      </c>
      <c r="B137" t="inlineStr">
        <is>
          <t>FiiO</t>
        </is>
      </c>
      <c r="C137" t="inlineStr">
        <is>
          <t>BTR17</t>
        </is>
      </c>
      <c r="D137" t="inlineStr">
        <is>
          <t>XLR</t>
        </is>
      </c>
      <c r="E137" t="inlineStr">
        <is>
          <t>Non</t>
        </is>
      </c>
      <c r="F137" t="inlineStr">
        <is>
          <t>https://www.fiio.com/btr17</t>
        </is>
      </c>
      <c r="G137" s="26" t="inlineStr">
        <is>
          <t>Single-ended 3.5mm + balanced 4.4mm</t>
        </is>
      </c>
      <c r="H137" t="inlineStr">
        <is>
          <t>2026-08-10</t>
        </is>
      </c>
    </row>
    <row r="138">
      <c r="A138" t="n">
        <v>24</v>
      </c>
      <c r="B138" t="inlineStr">
        <is>
          <t>FiiO</t>
        </is>
      </c>
      <c r="C138" t="inlineStr">
        <is>
          <t>BTR17</t>
        </is>
      </c>
      <c r="D138" t="inlineStr">
        <is>
          <t>DSP/PEQ</t>
        </is>
      </c>
      <c r="E138" t="inlineStr">
        <is>
          <t>Oui</t>
        </is>
      </c>
      <c r="F138" t="inlineStr">
        <is>
          <t>https://www.fiio.com/btr17</t>
        </is>
      </c>
      <c r="G138" s="26" t="inlineStr">
        <is>
          <t>10-band high-precision lossless PEQ</t>
        </is>
      </c>
      <c r="H138" t="inlineStr">
        <is>
          <t>2026-08-10</t>
        </is>
      </c>
    </row>
    <row r="139">
      <c r="A139" t="n">
        <v>25</v>
      </c>
      <c r="B139" t="inlineStr">
        <is>
          <t>FiiO</t>
        </is>
      </c>
      <c r="C139" t="inlineStr">
        <is>
          <t>QX13</t>
        </is>
      </c>
      <c r="D139" t="inlineStr">
        <is>
          <t>Batterie</t>
        </is>
      </c>
      <c r="E139" t="inlineStr">
        <is>
          <t>Non</t>
        </is>
      </c>
      <c r="F139" t="inlineStr">
        <is>
          <t>https://headfonics.com/fiio-qx13-review/2/</t>
        </is>
      </c>
      <c r="G139" s="26" t="inlineStr">
        <is>
          <t>Two significant features that the UP6 has over the QX13 are Bluetooth capability and a hybrid battery system.</t>
        </is>
      </c>
      <c r="H139" t="inlineStr">
        <is>
          <t>2026-08-10</t>
        </is>
      </c>
    </row>
    <row r="140">
      <c r="A140" t="n">
        <v>25</v>
      </c>
      <c r="B140" t="inlineStr">
        <is>
          <t>FiiO</t>
        </is>
      </c>
      <c r="C140" t="inlineStr">
        <is>
          <t>QX13</t>
        </is>
      </c>
      <c r="D140" t="inlineStr">
        <is>
          <t>Bluetooth</t>
        </is>
      </c>
      <c r="E140" t="inlineStr">
        <is>
          <t>Non</t>
        </is>
      </c>
      <c r="F140" t="inlineStr">
        <is>
          <t>https://headfonics.com/fiio-qx13-review/2/</t>
        </is>
      </c>
      <c r="G140" s="26" t="inlineStr">
        <is>
          <t>And, unfortunately, the QX13 doesn’t have Bluetooth, focusing instead on producing a quality output from the headphone jacks.</t>
        </is>
      </c>
      <c r="H140" t="inlineStr">
        <is>
          <t>2026-08-10</t>
        </is>
      </c>
    </row>
    <row r="141">
      <c r="A141" t="n">
        <v>25</v>
      </c>
      <c r="B141" t="inlineStr">
        <is>
          <t>FiiO</t>
        </is>
      </c>
      <c r="C141" t="inlineStr">
        <is>
          <t>QX13</t>
        </is>
      </c>
      <c r="D141" t="inlineStr">
        <is>
          <t>3.5mm</t>
        </is>
      </c>
      <c r="E141" t="inlineStr">
        <is>
          <t>Oui</t>
        </is>
      </c>
      <c r="F141" t="inlineStr">
        <is>
          <t>https://headfonics.com/fiio-qx13-review/2/</t>
        </is>
      </c>
      <c r="G141" s="26" t="inlineStr">
        <is>
          <t>Headphone output: SE3.5mm / 4.4mm balanced</t>
        </is>
      </c>
      <c r="H141" t="inlineStr">
        <is>
          <t>2026-08-10</t>
        </is>
      </c>
    </row>
    <row r="142">
      <c r="A142" t="n">
        <v>25</v>
      </c>
      <c r="B142" t="inlineStr">
        <is>
          <t>FiiO</t>
        </is>
      </c>
      <c r="C142" t="inlineStr">
        <is>
          <t>QX13</t>
        </is>
      </c>
      <c r="D142" t="inlineStr">
        <is>
          <t>4.4mm</t>
        </is>
      </c>
      <c r="E142" t="inlineStr">
        <is>
          <t>Oui</t>
        </is>
      </c>
      <c r="F142" t="inlineStr">
        <is>
          <t>https://headfonics.com/fiio-qx13-review/2/</t>
        </is>
      </c>
      <c r="G142" s="26" t="inlineStr">
        <is>
          <t>Headphone output: SE3.5mm / 4.4mm balanced</t>
        </is>
      </c>
      <c r="H142" t="inlineStr">
        <is>
          <t>2026-08-10</t>
        </is>
      </c>
    </row>
    <row r="143">
      <c r="A143" t="n">
        <v>25</v>
      </c>
      <c r="B143" t="inlineStr">
        <is>
          <t>FiiO</t>
        </is>
      </c>
      <c r="C143" t="inlineStr">
        <is>
          <t>QX13</t>
        </is>
      </c>
      <c r="D143" t="inlineStr">
        <is>
          <t>2.5mm</t>
        </is>
      </c>
      <c r="E143" t="inlineStr">
        <is>
          <t>Non</t>
        </is>
      </c>
      <c r="F143" t="inlineStr">
        <is>
          <t>https://headfonics.com/fiio-qx13-review/2/</t>
        </is>
      </c>
      <c r="G143" s="26" t="inlineStr">
        <is>
          <t>Headphone output: SE3.5mm / 4.4mm balanced</t>
        </is>
      </c>
      <c r="H143" t="inlineStr">
        <is>
          <t>2026-08-10</t>
        </is>
      </c>
    </row>
    <row r="144">
      <c r="A144" t="n">
        <v>25</v>
      </c>
      <c r="B144" t="inlineStr">
        <is>
          <t>FiiO</t>
        </is>
      </c>
      <c r="C144" t="inlineStr">
        <is>
          <t>QX13</t>
        </is>
      </c>
      <c r="D144" t="inlineStr">
        <is>
          <t>6.35mm</t>
        </is>
      </c>
      <c r="E144" t="inlineStr">
        <is>
          <t>Non</t>
        </is>
      </c>
      <c r="F144" t="inlineStr">
        <is>
          <t>https://headfonics.com/fiio-qx13-review/2/</t>
        </is>
      </c>
      <c r="G144" s="26" t="inlineStr">
        <is>
          <t>Headphone output: SE3.5mm / 4.4mm balanced</t>
        </is>
      </c>
      <c r="H144" t="inlineStr">
        <is>
          <t>2026-08-10</t>
        </is>
      </c>
    </row>
    <row r="145">
      <c r="A145" t="n">
        <v>25</v>
      </c>
      <c r="B145" t="inlineStr">
        <is>
          <t>FiiO</t>
        </is>
      </c>
      <c r="C145" t="inlineStr">
        <is>
          <t>QX13</t>
        </is>
      </c>
      <c r="D145" t="inlineStr">
        <is>
          <t>XLR</t>
        </is>
      </c>
      <c r="E145" t="inlineStr">
        <is>
          <t>Non</t>
        </is>
      </c>
      <c r="F145" t="inlineStr">
        <is>
          <t>https://headfonics.com/fiio-qx13-review/2/</t>
        </is>
      </c>
      <c r="G145" s="26" t="inlineStr">
        <is>
          <t>Headphone output: SE3.5mm / 4.4mm balanced</t>
        </is>
      </c>
      <c r="H145" t="inlineStr">
        <is>
          <t>2026-08-10</t>
        </is>
      </c>
    </row>
    <row r="146">
      <c r="A146" t="n">
        <v>25</v>
      </c>
      <c r="B146" t="inlineStr">
        <is>
          <t>FiiO</t>
        </is>
      </c>
      <c r="C146" t="inlineStr">
        <is>
          <t>QX13</t>
        </is>
      </c>
      <c r="D146" t="inlineStr">
        <is>
          <t>DSP/PEQ</t>
        </is>
      </c>
      <c r="E146" t="inlineStr">
        <is>
          <t>Oui</t>
        </is>
      </c>
      <c r="F146" t="inlineStr">
        <is>
          <t>https://www.fiio.com/qx13</t>
        </is>
      </c>
      <c r="G146" s="26" t="inlineStr">
        <is>
          <t>10-band high-precision PEQ</t>
        </is>
      </c>
      <c r="H146" t="inlineStr">
        <is>
          <t>2026-08-10</t>
        </is>
      </c>
    </row>
    <row r="147">
      <c r="A147" t="n">
        <v>26</v>
      </c>
      <c r="B147" t="inlineStr">
        <is>
          <t>SMSL</t>
        </is>
      </c>
      <c r="C147" t="inlineStr">
        <is>
          <t>DS20</t>
        </is>
      </c>
      <c r="D147" t="inlineStr">
        <is>
          <t>Batterie</t>
        </is>
      </c>
      <c r="E147" t="inlineStr">
        <is>
          <t>Oui</t>
        </is>
      </c>
      <c r="F147" t="inlineStr">
        <is>
          <t>https://www.audiophonics.fr/en/mobile-hp-amplifiers/smsl-ds20-p-20764.html</t>
        </is>
      </c>
      <c r="G147" s="26" t="inlineStr">
        <is>
          <t>6000mAh (22.2Wh)</t>
        </is>
      </c>
      <c r="H147" t="inlineStr">
        <is>
          <t>2026-08-10</t>
        </is>
      </c>
    </row>
    <row r="148">
      <c r="A148" t="n">
        <v>26</v>
      </c>
      <c r="B148" t="inlineStr">
        <is>
          <t>SMSL</t>
        </is>
      </c>
      <c r="C148" t="inlineStr">
        <is>
          <t>DS20</t>
        </is>
      </c>
      <c r="D148" t="inlineStr">
        <is>
          <t>3.5mm</t>
        </is>
      </c>
      <c r="E148" t="inlineStr">
        <is>
          <t>Oui</t>
        </is>
      </c>
      <c r="F148" t="inlineStr">
        <is>
          <t>https://www.audiophonics.fr/en/mobile-hp-amplifiers/smsl-ds20-p-20764.html</t>
        </is>
      </c>
      <c r="G148" s="26" t="inlineStr">
        <is>
          <t>1x Single-ended 3.5mm jack headphone output</t>
        </is>
      </c>
      <c r="H148" t="inlineStr">
        <is>
          <t>2026-08-10</t>
        </is>
      </c>
    </row>
    <row r="149">
      <c r="A149" t="n">
        <v>26</v>
      </c>
      <c r="B149" t="inlineStr">
        <is>
          <t>SMSL</t>
        </is>
      </c>
      <c r="C149" t="inlineStr">
        <is>
          <t>DS20</t>
        </is>
      </c>
      <c r="D149" t="inlineStr">
        <is>
          <t>4.4mm</t>
        </is>
      </c>
      <c r="E149" t="inlineStr">
        <is>
          <t>Oui</t>
        </is>
      </c>
      <c r="F149" t="inlineStr">
        <is>
          <t>https://www.audiophonics.fr/en/mobile-hp-amplifiers/smsl-ds20-p-20764.html</t>
        </is>
      </c>
      <c r="G149" s="26" t="inlineStr">
        <is>
          <t>1x Balanced 4.4mm jack headphone output</t>
        </is>
      </c>
      <c r="H149" t="inlineStr">
        <is>
          <t>2026-08-10</t>
        </is>
      </c>
    </row>
    <row r="150">
      <c r="A150" t="n">
        <v>26</v>
      </c>
      <c r="B150" t="inlineStr">
        <is>
          <t>SMSL</t>
        </is>
      </c>
      <c r="C150" t="inlineStr">
        <is>
          <t>DS20</t>
        </is>
      </c>
      <c r="D150" t="inlineStr">
        <is>
          <t>2.5mm</t>
        </is>
      </c>
      <c r="E150" t="inlineStr">
        <is>
          <t>Non</t>
        </is>
      </c>
      <c r="F150" t="inlineStr">
        <is>
          <t>https://www.audiophonics.fr/en/mobile-hp-amplifiers/smsl-ds20-p-20764.html</t>
        </is>
      </c>
      <c r="G150" s="26" t="inlineStr">
        <is>
          <t>1x Single-ended 3.5mm jack headphone output / 1x Balanced 4.4mm jack headphone output</t>
        </is>
      </c>
      <c r="H150" t="inlineStr">
        <is>
          <t>2026-08-10</t>
        </is>
      </c>
    </row>
    <row r="151">
      <c r="A151" t="n">
        <v>26</v>
      </c>
      <c r="B151" t="inlineStr">
        <is>
          <t>SMSL</t>
        </is>
      </c>
      <c r="C151" t="inlineStr">
        <is>
          <t>DS20</t>
        </is>
      </c>
      <c r="D151" t="inlineStr">
        <is>
          <t>6.35mm</t>
        </is>
      </c>
      <c r="E151" t="inlineStr">
        <is>
          <t>Non</t>
        </is>
      </c>
      <c r="F151" t="inlineStr">
        <is>
          <t>https://www.audiophonics.fr/en/mobile-hp-amplifiers/smsl-ds20-p-20764.html</t>
        </is>
      </c>
      <c r="G151" s="26" t="inlineStr">
        <is>
          <t>1x Single-ended 3.5mm jack headphone output / 1x Balanced 4.4mm jack headphone output</t>
        </is>
      </c>
      <c r="H151" t="inlineStr">
        <is>
          <t>2026-08-10</t>
        </is>
      </c>
    </row>
    <row r="152">
      <c r="A152" t="n">
        <v>26</v>
      </c>
      <c r="B152" t="inlineStr">
        <is>
          <t>SMSL</t>
        </is>
      </c>
      <c r="C152" t="inlineStr">
        <is>
          <t>DS20</t>
        </is>
      </c>
      <c r="D152" t="inlineStr">
        <is>
          <t>XLR</t>
        </is>
      </c>
      <c r="E152" t="inlineStr">
        <is>
          <t>Non</t>
        </is>
      </c>
      <c r="F152" t="inlineStr">
        <is>
          <t>https://www.audiophonics.fr/en/mobile-hp-amplifiers/smsl-ds20-p-20764.html</t>
        </is>
      </c>
      <c r="G152" s="26" t="inlineStr">
        <is>
          <t>1x Single-ended 3.5mm jack headphone output / 1x Balanced 4.4mm jack headphone output</t>
        </is>
      </c>
      <c r="H152" t="inlineStr">
        <is>
          <t>2026-08-10</t>
        </is>
      </c>
    </row>
    <row r="153">
      <c r="A153" t="n">
        <v>27</v>
      </c>
      <c r="B153" t="inlineStr">
        <is>
          <t>MUSE HiFi</t>
        </is>
      </c>
      <c r="C153" t="inlineStr">
        <is>
          <t>M5 Ultra</t>
        </is>
      </c>
      <c r="D153" t="inlineStr">
        <is>
          <t>Batterie</t>
        </is>
      </c>
      <c r="E153" t="inlineStr">
        <is>
          <t>Oui</t>
        </is>
      </c>
      <c r="F153" t="inlineStr">
        <is>
          <t>https://headfonics.com/muse-hifi-m5-ultra-review/2/</t>
        </is>
      </c>
      <c r="G153" s="26" t="inlineStr">
        <is>
          <t>Battery Capacity: 3000mAh with QC4.0+PD fast charging support</t>
        </is>
      </c>
      <c r="H153" t="inlineStr">
        <is>
          <t>2026-08-10</t>
        </is>
      </c>
    </row>
    <row r="154">
      <c r="A154" t="n">
        <v>27</v>
      </c>
      <c r="B154" t="inlineStr">
        <is>
          <t>MUSE HiFi</t>
        </is>
      </c>
      <c r="C154" t="inlineStr">
        <is>
          <t>M5 Ultra</t>
        </is>
      </c>
      <c r="D154" t="inlineStr">
        <is>
          <t>Bluetooth</t>
        </is>
      </c>
      <c r="E154" t="inlineStr">
        <is>
          <t>Oui</t>
        </is>
      </c>
      <c r="F154" t="inlineStr">
        <is>
          <t>https://headfonics.com/muse-hifi-m5-ultra-review/2/</t>
        </is>
      </c>
      <c r="G154" s="26" t="inlineStr">
        <is>
          <t>Bluetooth Chip: Qualcomm QCC5125 with support for LDAC, AptX Adaptive, etc.</t>
        </is>
      </c>
      <c r="H154" t="inlineStr">
        <is>
          <t>2026-08-10</t>
        </is>
      </c>
    </row>
    <row r="155">
      <c r="A155" t="n">
        <v>27</v>
      </c>
      <c r="B155" t="inlineStr">
        <is>
          <t>MUSE HiFi</t>
        </is>
      </c>
      <c r="C155" t="inlineStr">
        <is>
          <t>M5 Ultra</t>
        </is>
      </c>
      <c r="D155" t="inlineStr">
        <is>
          <t>3.5mm</t>
        </is>
      </c>
      <c r="E155" t="inlineStr">
        <is>
          <t>Oui</t>
        </is>
      </c>
      <c r="F155" t="inlineStr">
        <is>
          <t>https://headfonics.com/muse-hifi-m5-ultra-review/2/</t>
        </is>
      </c>
      <c r="G155" s="26" t="inlineStr">
        <is>
          <t>Output Ports: 3.5mm single-ended, 4.4mm balanced</t>
        </is>
      </c>
      <c r="H155" t="inlineStr">
        <is>
          <t>2026-08-10</t>
        </is>
      </c>
    </row>
    <row r="156">
      <c r="A156" t="n">
        <v>27</v>
      </c>
      <c r="B156" t="inlineStr">
        <is>
          <t>MUSE HiFi</t>
        </is>
      </c>
      <c r="C156" t="inlineStr">
        <is>
          <t>M5 Ultra</t>
        </is>
      </c>
      <c r="D156" t="inlineStr">
        <is>
          <t>4.4mm</t>
        </is>
      </c>
      <c r="E156" t="inlineStr">
        <is>
          <t>Oui</t>
        </is>
      </c>
      <c r="F156" t="inlineStr">
        <is>
          <t>https://headfonics.com/muse-hifi-m5-ultra-review/2/</t>
        </is>
      </c>
      <c r="G156" s="26" t="inlineStr">
        <is>
          <t>Output Ports: 3.5mm single-ended, 4.4mm balanced</t>
        </is>
      </c>
      <c r="H156" t="inlineStr">
        <is>
          <t>2026-08-10</t>
        </is>
      </c>
    </row>
    <row r="157">
      <c r="A157" t="n">
        <v>27</v>
      </c>
      <c r="B157" t="inlineStr">
        <is>
          <t>MUSE HiFi</t>
        </is>
      </c>
      <c r="C157" t="inlineStr">
        <is>
          <t>M5 Ultra</t>
        </is>
      </c>
      <c r="D157" t="inlineStr">
        <is>
          <t>2.5mm</t>
        </is>
      </c>
      <c r="E157" t="inlineStr">
        <is>
          <t>Non</t>
        </is>
      </c>
      <c r="F157" t="inlineStr">
        <is>
          <t>https://headfonics.com/muse-hifi-m5-ultra-review/2/</t>
        </is>
      </c>
      <c r="G157" s="26" t="inlineStr">
        <is>
          <t>Dual-Headphone Outputs(3.5mm + 4.4 mm).</t>
        </is>
      </c>
      <c r="H157" t="inlineStr">
        <is>
          <t>2026-08-10</t>
        </is>
      </c>
    </row>
    <row r="158">
      <c r="A158" t="n">
        <v>27</v>
      </c>
      <c r="B158" t="inlineStr">
        <is>
          <t>MUSE HiFi</t>
        </is>
      </c>
      <c r="C158" t="inlineStr">
        <is>
          <t>M5 Ultra</t>
        </is>
      </c>
      <c r="D158" t="inlineStr">
        <is>
          <t>6.35mm</t>
        </is>
      </c>
      <c r="E158" t="inlineStr">
        <is>
          <t>Non</t>
        </is>
      </c>
      <c r="F158" t="inlineStr">
        <is>
          <t>https://headfonics.com/muse-hifi-m5-ultra-review/2/</t>
        </is>
      </c>
      <c r="G158" s="26" t="inlineStr">
        <is>
          <t>Dual-Headphone Outputs(3.5mm + 4.4 mm).</t>
        </is>
      </c>
      <c r="H158" t="inlineStr">
        <is>
          <t>2026-08-10</t>
        </is>
      </c>
    </row>
    <row r="159">
      <c r="A159" t="n">
        <v>27</v>
      </c>
      <c r="B159" t="inlineStr">
        <is>
          <t>MUSE HiFi</t>
        </is>
      </c>
      <c r="C159" t="inlineStr">
        <is>
          <t>M5 Ultra</t>
        </is>
      </c>
      <c r="D159" t="inlineStr">
        <is>
          <t>XLR</t>
        </is>
      </c>
      <c r="E159" t="inlineStr">
        <is>
          <t>Non</t>
        </is>
      </c>
      <c r="F159" t="inlineStr">
        <is>
          <t>https://headfonics.com/muse-hifi-m5-ultra-review/2/</t>
        </is>
      </c>
      <c r="G159" s="26" t="inlineStr">
        <is>
          <t>Dual-Headphone Outputs(3.5mm + 4.4 mm).</t>
        </is>
      </c>
      <c r="H159" t="inlineStr">
        <is>
          <t>2026-08-10</t>
        </is>
      </c>
    </row>
    <row r="160">
      <c r="A160" t="n">
        <v>28</v>
      </c>
      <c r="B160" t="inlineStr">
        <is>
          <t>Topping</t>
        </is>
      </c>
      <c r="C160" t="inlineStr">
        <is>
          <t>G5</t>
        </is>
      </c>
      <c r="D160" t="inlineStr">
        <is>
          <t>Batterie</t>
        </is>
      </c>
      <c r="E160" t="inlineStr">
        <is>
          <t>Oui</t>
        </is>
      </c>
      <c r="F160" t="inlineStr">
        <is>
          <t>https://moonstarreviews.net/topping-g5-portable-dac-amplifier-review/</t>
        </is>
      </c>
      <c r="G160" s="26" t="inlineStr">
        <is>
          <t>a built-in 4000mAh battery</t>
        </is>
      </c>
      <c r="H160" t="inlineStr">
        <is>
          <t>2026-08-10</t>
        </is>
      </c>
    </row>
    <row r="161">
      <c r="A161" t="n">
        <v>28</v>
      </c>
      <c r="B161" t="inlineStr">
        <is>
          <t>Topping</t>
        </is>
      </c>
      <c r="C161" t="inlineStr">
        <is>
          <t>G5</t>
        </is>
      </c>
      <c r="D161" t="inlineStr">
        <is>
          <t>Bluetooth</t>
        </is>
      </c>
      <c r="E161" t="inlineStr">
        <is>
          <t>Oui</t>
        </is>
      </c>
      <c r="F161" t="inlineStr">
        <is>
          <t>https://moonstarreviews.net/topping-g5-portable-dac-amplifier-review/</t>
        </is>
      </c>
      <c r="G161" s="26" t="inlineStr">
        <is>
          <t>Inputs : USB, Bluetooth, AUX (Line-In)</t>
        </is>
      </c>
      <c r="H161" t="inlineStr">
        <is>
          <t>2026-08-10</t>
        </is>
      </c>
    </row>
    <row r="162">
      <c r="A162" t="n">
        <v>28</v>
      </c>
      <c r="B162" t="inlineStr">
        <is>
          <t>Topping</t>
        </is>
      </c>
      <c r="C162" t="inlineStr">
        <is>
          <t>G5</t>
        </is>
      </c>
      <c r="D162" t="inlineStr">
        <is>
          <t>3.5mm</t>
        </is>
      </c>
      <c r="E162" t="inlineStr">
        <is>
          <t>Oui</t>
        </is>
      </c>
      <c r="F162" t="inlineStr">
        <is>
          <t>https://moonstarreviews.net/topping-g5-portable-dac-amplifier-review/</t>
        </is>
      </c>
      <c r="G162" s="26" t="inlineStr">
        <is>
          <t>Output Ports : 3.5mm Single Ended, 4.4mm Balanced, Line-Out</t>
        </is>
      </c>
      <c r="H162" t="inlineStr">
        <is>
          <t>2026-08-10</t>
        </is>
      </c>
    </row>
    <row r="163">
      <c r="A163" t="n">
        <v>28</v>
      </c>
      <c r="B163" t="inlineStr">
        <is>
          <t>Topping</t>
        </is>
      </c>
      <c r="C163" t="inlineStr">
        <is>
          <t>G5</t>
        </is>
      </c>
      <c r="D163" t="inlineStr">
        <is>
          <t>4.4mm</t>
        </is>
      </c>
      <c r="E163" t="inlineStr">
        <is>
          <t>Oui</t>
        </is>
      </c>
      <c r="F163" t="inlineStr">
        <is>
          <t>https://moonstarreviews.net/topping-g5-portable-dac-amplifier-review/</t>
        </is>
      </c>
      <c r="G163" s="26" t="inlineStr">
        <is>
          <t>Output Ports : 3.5mm Single Ended, 4.4mm Balanced, Line-Out</t>
        </is>
      </c>
      <c r="H163" t="inlineStr">
        <is>
          <t>2026-08-10</t>
        </is>
      </c>
    </row>
    <row r="164">
      <c r="A164" t="n">
        <v>28</v>
      </c>
      <c r="B164" t="inlineStr">
        <is>
          <t>Topping</t>
        </is>
      </c>
      <c r="C164" t="inlineStr">
        <is>
          <t>G5</t>
        </is>
      </c>
      <c r="D164" t="inlineStr">
        <is>
          <t>2.5mm</t>
        </is>
      </c>
      <c r="E164" t="inlineStr">
        <is>
          <t>Non</t>
        </is>
      </c>
      <c r="F164" t="inlineStr">
        <is>
          <t>https://moonstarreviews.net/topping-g5-portable-dac-amplifier-review/</t>
        </is>
      </c>
      <c r="G164" s="26" t="inlineStr">
        <is>
          <t>Output Ports : 3.5mm Single Ended, 4.4mm Balanced, Line-Out</t>
        </is>
      </c>
      <c r="H164" t="inlineStr">
        <is>
          <t>2026-08-10</t>
        </is>
      </c>
    </row>
    <row r="165">
      <c r="A165" t="n">
        <v>28</v>
      </c>
      <c r="B165" t="inlineStr">
        <is>
          <t>Topping</t>
        </is>
      </c>
      <c r="C165" t="inlineStr">
        <is>
          <t>G5</t>
        </is>
      </c>
      <c r="D165" t="inlineStr">
        <is>
          <t>6.35mm</t>
        </is>
      </c>
      <c r="E165" t="inlineStr">
        <is>
          <t>Non</t>
        </is>
      </c>
      <c r="F165" t="inlineStr">
        <is>
          <t>https://moonstarreviews.net/topping-g5-portable-dac-amplifier-review/</t>
        </is>
      </c>
      <c r="G165" s="26" t="inlineStr">
        <is>
          <t>Output Ports : 3.5mm Single Ended, 4.4mm Balanced, Line-Out</t>
        </is>
      </c>
      <c r="H165" t="inlineStr">
        <is>
          <t>2026-08-10</t>
        </is>
      </c>
    </row>
    <row r="166">
      <c r="A166" t="n">
        <v>28</v>
      </c>
      <c r="B166" t="inlineStr">
        <is>
          <t>Topping</t>
        </is>
      </c>
      <c r="C166" t="inlineStr">
        <is>
          <t>G5</t>
        </is>
      </c>
      <c r="D166" t="inlineStr">
        <is>
          <t>XLR</t>
        </is>
      </c>
      <c r="E166" t="inlineStr">
        <is>
          <t>Non</t>
        </is>
      </c>
      <c r="F166" t="inlineStr">
        <is>
          <t>https://moonstarreviews.net/topping-g5-portable-dac-amplifier-review/</t>
        </is>
      </c>
      <c r="G166" s="26" t="inlineStr">
        <is>
          <t>Output Ports : 3.5mm Single Ended, 4.4mm Balanced, Line-Out</t>
        </is>
      </c>
      <c r="H166" t="inlineStr">
        <is>
          <t>2026-08-10</t>
        </is>
      </c>
    </row>
    <row r="167">
      <c r="A167" t="n">
        <v>29</v>
      </c>
      <c r="B167" t="inlineStr">
        <is>
          <t>Shanling</t>
        </is>
      </c>
      <c r="C167" t="inlineStr">
        <is>
          <t>UA6</t>
        </is>
      </c>
      <c r="D167" t="inlineStr">
        <is>
          <t>Batterie</t>
        </is>
      </c>
      <c r="E167" t="inlineStr">
        <is>
          <t>Oui</t>
        </is>
      </c>
      <c r="F167" t="inlineStr">
        <is>
          <t>https://headfonics.com/shanling-ua6-review/2/</t>
        </is>
      </c>
      <c r="G167" s="26" t="inlineStr">
        <is>
          <t>Battery capacity: 220mAh</t>
        </is>
      </c>
      <c r="H167" t="inlineStr">
        <is>
          <t>2026-08-10</t>
        </is>
      </c>
    </row>
    <row r="168">
      <c r="A168" t="n">
        <v>29</v>
      </c>
      <c r="B168" t="inlineStr">
        <is>
          <t>Shanling</t>
        </is>
      </c>
      <c r="C168" t="inlineStr">
        <is>
          <t>UA6</t>
        </is>
      </c>
      <c r="D168" t="inlineStr">
        <is>
          <t>3.5mm</t>
        </is>
      </c>
      <c r="E168" t="inlineStr">
        <is>
          <t>Oui</t>
        </is>
      </c>
      <c r="F168" t="inlineStr">
        <is>
          <t>https://headfonics.com/shanling-ua6-review/2/</t>
        </is>
      </c>
      <c r="G168" s="26" t="inlineStr">
        <is>
          <t>Output power 3.5mm single-ended</t>
        </is>
      </c>
      <c r="H168" t="inlineStr">
        <is>
          <t>2026-08-10</t>
        </is>
      </c>
    </row>
    <row r="169">
      <c r="A169" t="n">
        <v>29</v>
      </c>
      <c r="B169" t="inlineStr">
        <is>
          <t>Shanling</t>
        </is>
      </c>
      <c r="C169" t="inlineStr">
        <is>
          <t>UA6</t>
        </is>
      </c>
      <c r="D169" t="inlineStr">
        <is>
          <t>4.4mm</t>
        </is>
      </c>
      <c r="E169" t="inlineStr">
        <is>
          <t>Oui</t>
        </is>
      </c>
      <c r="F169" t="inlineStr">
        <is>
          <t>https://headfonics.com/shanling-ua6-review/2/</t>
        </is>
      </c>
      <c r="G169" s="26" t="inlineStr">
        <is>
          <t>Output power 4.4mm Balanced</t>
        </is>
      </c>
      <c r="H169" t="inlineStr">
        <is>
          <t>2026-08-10</t>
        </is>
      </c>
    </row>
    <row r="170">
      <c r="A170" t="n">
        <v>30</v>
      </c>
      <c r="B170" t="inlineStr">
        <is>
          <t>Questyle</t>
        </is>
      </c>
      <c r="C170" t="inlineStr">
        <is>
          <t>M15C</t>
        </is>
      </c>
      <c r="D170" t="inlineStr">
        <is>
          <t>3.5mm</t>
        </is>
      </c>
      <c r="E170" t="inlineStr">
        <is>
          <t>Oui</t>
        </is>
      </c>
      <c r="F170" t="inlineStr">
        <is>
          <t>https://bloomaudio.com/products/questyle-m15c</t>
        </is>
      </c>
      <c r="G170" s="26" t="inlineStr">
        <is>
          <t>The M15C, supports 3.5mm single-ended and 4.4mm fully balanced output modes.</t>
        </is>
      </c>
      <c r="H170" t="inlineStr">
        <is>
          <t>2026-08-10</t>
        </is>
      </c>
    </row>
    <row r="171">
      <c r="A171" t="n">
        <v>30</v>
      </c>
      <c r="B171" t="inlineStr">
        <is>
          <t>Questyle</t>
        </is>
      </c>
      <c r="C171" t="inlineStr">
        <is>
          <t>M15C</t>
        </is>
      </c>
      <c r="D171" t="inlineStr">
        <is>
          <t>4.4mm</t>
        </is>
      </c>
      <c r="E171" t="inlineStr">
        <is>
          <t>Oui</t>
        </is>
      </c>
      <c r="F171" t="inlineStr">
        <is>
          <t>https://bloomaudio.com/products/questyle-m15c</t>
        </is>
      </c>
      <c r="G171" s="26" t="inlineStr">
        <is>
          <t>The M15C, supports 3.5mm single-ended and 4.4mm fully balanced output modes.</t>
        </is>
      </c>
      <c r="H171" t="inlineStr">
        <is>
          <t>2026-08-10</t>
        </is>
      </c>
    </row>
    <row r="172">
      <c r="A172" t="n">
        <v>30</v>
      </c>
      <c r="B172" t="inlineStr">
        <is>
          <t>Questyle</t>
        </is>
      </c>
      <c r="C172" t="inlineStr">
        <is>
          <t>M15C</t>
        </is>
      </c>
      <c r="D172" t="inlineStr">
        <is>
          <t>DSP/PEQ</t>
        </is>
      </c>
      <c r="E172" t="inlineStr">
        <is>
          <t>Non</t>
        </is>
      </c>
      <c r="F172" t="inlineStr">
        <is>
          <t>https://www.pocnetwork.net/product-reviews/questyle-m15c-portable-headphone-amp/</t>
        </is>
      </c>
      <c r="G172" s="26" t="inlineStr">
        <is>
          <t>there is only one setting for the user to adjust, which is switching between standard and high for the gain</t>
        </is>
      </c>
      <c r="H172" t="inlineStr">
        <is>
          <t>2026-08-10</t>
        </is>
      </c>
    </row>
    <row r="173">
      <c r="A173" t="n">
        <v>31</v>
      </c>
      <c r="B173" t="inlineStr">
        <is>
          <t>iBasso</t>
        </is>
      </c>
      <c r="C173" t="inlineStr">
        <is>
          <t>DC-Tonfa</t>
        </is>
      </c>
      <c r="D173" t="inlineStr">
        <is>
          <t>3.5mm</t>
        </is>
      </c>
      <c r="E173" t="inlineStr">
        <is>
          <t>Oui</t>
        </is>
      </c>
      <c r="F173" t="inlineStr">
        <is>
          <t>https://hifigo.com/products/ibasso-dc-tonfa</t>
        </is>
      </c>
      <c r="G173" s="26" t="inlineStr">
        <is>
          <t>4.4mm Balanced and 3.5mm Single-Ended Headphone Outputs.</t>
        </is>
      </c>
      <c r="H173" t="inlineStr">
        <is>
          <t>2026-08-10</t>
        </is>
      </c>
    </row>
    <row r="174">
      <c r="A174" t="n">
        <v>31</v>
      </c>
      <c r="B174" t="inlineStr">
        <is>
          <t>iBasso</t>
        </is>
      </c>
      <c r="C174" t="inlineStr">
        <is>
          <t>DC-Tonfa</t>
        </is>
      </c>
      <c r="D174" t="inlineStr">
        <is>
          <t>4.4mm</t>
        </is>
      </c>
      <c r="E174" t="inlineStr">
        <is>
          <t>Oui</t>
        </is>
      </c>
      <c r="F174" t="inlineStr">
        <is>
          <t>https://hifigo.com/products/ibasso-dc-tonfa</t>
        </is>
      </c>
      <c r="G174" s="26" t="inlineStr">
        <is>
          <t>4.4mm Balanced and 3.5mm Single-Ended Headphone Outputs.</t>
        </is>
      </c>
      <c r="H174" t="inlineStr">
        <is>
          <t>2026-08-10</t>
        </is>
      </c>
    </row>
    <row r="175">
      <c r="A175" t="n">
        <v>31</v>
      </c>
      <c r="B175" t="inlineStr">
        <is>
          <t>iBasso</t>
        </is>
      </c>
      <c r="C175" t="inlineStr">
        <is>
          <t>DC-Tonfa</t>
        </is>
      </c>
      <c r="D175" t="inlineStr">
        <is>
          <t>2.5mm</t>
        </is>
      </c>
      <c r="E175" t="inlineStr">
        <is>
          <t>Non</t>
        </is>
      </c>
      <c r="F175" t="inlineStr">
        <is>
          <t>https://hifigo.com/products/ibasso-dc-tonfa</t>
        </is>
      </c>
      <c r="G175" s="26" t="inlineStr">
        <is>
          <t>4.4mm Balanced and 3.5mm Single-Ended Headphone Outputs.</t>
        </is>
      </c>
      <c r="H175" t="inlineStr">
        <is>
          <t>2026-08-10</t>
        </is>
      </c>
    </row>
    <row r="176">
      <c r="A176" t="n">
        <v>31</v>
      </c>
      <c r="B176" t="inlineStr">
        <is>
          <t>iBasso</t>
        </is>
      </c>
      <c r="C176" t="inlineStr">
        <is>
          <t>DC-Tonfa</t>
        </is>
      </c>
      <c r="D176" t="inlineStr">
        <is>
          <t>6.35mm</t>
        </is>
      </c>
      <c r="E176" t="inlineStr">
        <is>
          <t>Non</t>
        </is>
      </c>
      <c r="F176" t="inlineStr">
        <is>
          <t>https://hifigo.com/products/ibasso-dc-tonfa</t>
        </is>
      </c>
      <c r="G176" s="26" t="inlineStr">
        <is>
          <t>4.4mm Balanced and 3.5mm Single-Ended Headphone Outputs.</t>
        </is>
      </c>
      <c r="H176" t="inlineStr">
        <is>
          <t>2026-08-10</t>
        </is>
      </c>
    </row>
    <row r="177">
      <c r="A177" t="n">
        <v>31</v>
      </c>
      <c r="B177" t="inlineStr">
        <is>
          <t>iBasso</t>
        </is>
      </c>
      <c r="C177" t="inlineStr">
        <is>
          <t>DC-Tonfa</t>
        </is>
      </c>
      <c r="D177" t="inlineStr">
        <is>
          <t>XLR</t>
        </is>
      </c>
      <c r="E177" t="inlineStr">
        <is>
          <t>Non</t>
        </is>
      </c>
      <c r="F177" t="inlineStr">
        <is>
          <t>https://hifigo.com/products/ibasso-dc-tonfa</t>
        </is>
      </c>
      <c r="G177" s="26" t="inlineStr">
        <is>
          <t>4.4mm Balanced and 3.5mm Single-Ended Headphone Outputs.</t>
        </is>
      </c>
      <c r="H177" t="inlineStr">
        <is>
          <t>2026-08-10</t>
        </is>
      </c>
    </row>
    <row r="178">
      <c r="A178" t="n">
        <v>32</v>
      </c>
      <c r="B178" t="inlineStr">
        <is>
          <t>Questyle</t>
        </is>
      </c>
      <c r="C178" t="inlineStr">
        <is>
          <t>M18i Max</t>
        </is>
      </c>
      <c r="D178" t="inlineStr">
        <is>
          <t>Batterie</t>
        </is>
      </c>
      <c r="E178" t="inlineStr">
        <is>
          <t>Oui</t>
        </is>
      </c>
      <c r="F178" t="inlineStr">
        <is>
          <t>https://headfonics.com/questyle-m18i-max-review/2/</t>
        </is>
      </c>
      <c r="G178" s="26" t="inlineStr">
        <is>
          <t>Battery: 180mAh ... Battery life: up to 10 hours on Bluetooth, 8 hours on USB DAC</t>
        </is>
      </c>
      <c r="H178" t="inlineStr">
        <is>
          <t>2026-08-10</t>
        </is>
      </c>
    </row>
    <row r="179">
      <c r="A179" t="n">
        <v>32</v>
      </c>
      <c r="B179" t="inlineStr">
        <is>
          <t>Questyle</t>
        </is>
      </c>
      <c r="C179" t="inlineStr">
        <is>
          <t>M18i Max</t>
        </is>
      </c>
      <c r="D179" t="inlineStr">
        <is>
          <t>Bluetooth</t>
        </is>
      </c>
      <c r="E179" t="inlineStr">
        <is>
          <t>Oui</t>
        </is>
      </c>
      <c r="F179" t="inlineStr">
        <is>
          <t>https://headfonics.com/questyle-m18i-max-review/2/</t>
        </is>
      </c>
      <c r="G179" s="26" t="inlineStr">
        <is>
          <t>Bluetooth: 5.4 ... Wireless codecs: SBC, aptX, aptX HD, aptX adaptive, LDAC, LE audio, Snapdragon Sound</t>
        </is>
      </c>
      <c r="H179" t="inlineStr">
        <is>
          <t>2026-08-10</t>
        </is>
      </c>
    </row>
    <row r="180">
      <c r="A180" t="n">
        <v>32</v>
      </c>
      <c r="B180" t="inlineStr">
        <is>
          <t>Questyle</t>
        </is>
      </c>
      <c r="C180" t="inlineStr">
        <is>
          <t>M18i Max</t>
        </is>
      </c>
      <c r="D180" t="inlineStr">
        <is>
          <t>3.5mm</t>
        </is>
      </c>
      <c r="E180" t="inlineStr">
        <is>
          <t>Oui</t>
        </is>
      </c>
      <c r="F180" t="inlineStr">
        <is>
          <t>https://headfonics.com/questyle-m18i-max-review/2/</t>
        </is>
      </c>
      <c r="G180" s="26" t="inlineStr">
        <is>
          <t>Outputs: 3.5mm single-ended, 4.4mm balanced</t>
        </is>
      </c>
      <c r="H180" t="inlineStr">
        <is>
          <t>2026-08-10</t>
        </is>
      </c>
    </row>
    <row r="181">
      <c r="A181" t="n">
        <v>32</v>
      </c>
      <c r="B181" t="inlineStr">
        <is>
          <t>Questyle</t>
        </is>
      </c>
      <c r="C181" t="inlineStr">
        <is>
          <t>M18i Max</t>
        </is>
      </c>
      <c r="D181" t="inlineStr">
        <is>
          <t>4.4mm</t>
        </is>
      </c>
      <c r="E181" t="inlineStr">
        <is>
          <t>Oui</t>
        </is>
      </c>
      <c r="F181" t="inlineStr">
        <is>
          <t>https://headfonics.com/questyle-m18i-max-review/2/</t>
        </is>
      </c>
      <c r="G181" s="26" t="inlineStr">
        <is>
          <t>Outputs: 3.5mm single-ended, 4.4mm balanced</t>
        </is>
      </c>
      <c r="H181" t="inlineStr">
        <is>
          <t>2026-08-10</t>
        </is>
      </c>
    </row>
    <row r="182">
      <c r="A182" t="n">
        <v>32</v>
      </c>
      <c r="B182" t="inlineStr">
        <is>
          <t>Questyle</t>
        </is>
      </c>
      <c r="C182" t="inlineStr">
        <is>
          <t>M18i Max</t>
        </is>
      </c>
      <c r="D182" t="inlineStr">
        <is>
          <t>2.5mm</t>
        </is>
      </c>
      <c r="E182" t="inlineStr">
        <is>
          <t>Non</t>
        </is>
      </c>
      <c r="F182" t="inlineStr">
        <is>
          <t>https://headfonics.com/questyle-m18i-max-review/2/</t>
        </is>
      </c>
      <c r="G182" s="26" t="inlineStr">
        <is>
          <t>Outputs: 3.5mm single-ended, 4.4mm balanced</t>
        </is>
      </c>
      <c r="H182" t="inlineStr">
        <is>
          <t>2026-08-10</t>
        </is>
      </c>
    </row>
    <row r="183">
      <c r="A183" t="n">
        <v>32</v>
      </c>
      <c r="B183" t="inlineStr">
        <is>
          <t>Questyle</t>
        </is>
      </c>
      <c r="C183" t="inlineStr">
        <is>
          <t>M18i Max</t>
        </is>
      </c>
      <c r="D183" t="inlineStr">
        <is>
          <t>6.35mm</t>
        </is>
      </c>
      <c r="E183" t="inlineStr">
        <is>
          <t>Non</t>
        </is>
      </c>
      <c r="F183" t="inlineStr">
        <is>
          <t>https://headfonics.com/questyle-m18i-max-review/2/</t>
        </is>
      </c>
      <c r="G183" s="26" t="inlineStr">
        <is>
          <t>Outputs: 3.5mm single-ended, 4.4mm balanced</t>
        </is>
      </c>
      <c r="H183" t="inlineStr">
        <is>
          <t>2026-08-10</t>
        </is>
      </c>
    </row>
    <row r="184">
      <c r="A184" t="n">
        <v>32</v>
      </c>
      <c r="B184" t="inlineStr">
        <is>
          <t>Questyle</t>
        </is>
      </c>
      <c r="C184" t="inlineStr">
        <is>
          <t>M18i Max</t>
        </is>
      </c>
      <c r="D184" t="inlineStr">
        <is>
          <t>XLR</t>
        </is>
      </c>
      <c r="E184" t="inlineStr">
        <is>
          <t>Non</t>
        </is>
      </c>
      <c r="F184" t="inlineStr">
        <is>
          <t>https://headfonics.com/questyle-m18i-max-review/2/</t>
        </is>
      </c>
      <c r="G184" s="26" t="inlineStr">
        <is>
          <t>Outputs: 3.5mm single-ended, 4.4mm balanced</t>
        </is>
      </c>
      <c r="H184" t="inlineStr">
        <is>
          <t>2026-08-10</t>
        </is>
      </c>
    </row>
    <row r="185">
      <c r="A185" t="n">
        <v>33</v>
      </c>
      <c r="B185" t="inlineStr">
        <is>
          <t>AFUL</t>
        </is>
      </c>
      <c r="C185" t="inlineStr">
        <is>
          <t>ICEBORNE</t>
        </is>
      </c>
      <c r="D185" t="inlineStr">
        <is>
          <t>3.5mm</t>
        </is>
      </c>
      <c r="E185" t="inlineStr">
        <is>
          <t>Oui</t>
        </is>
      </c>
      <c r="F185" t="inlineStr">
        <is>
          <t>https://headfonics.com/aful-iceborne-review/2/</t>
        </is>
      </c>
      <c r="G185" s="26" t="inlineStr">
        <is>
          <t>Headphone Ports: 3.5mm Single-ended + 4.4mm Balanced</t>
        </is>
      </c>
      <c r="H185" t="inlineStr">
        <is>
          <t>2026-08-10</t>
        </is>
      </c>
    </row>
    <row r="186">
      <c r="A186" t="n">
        <v>33</v>
      </c>
      <c r="B186" t="inlineStr">
        <is>
          <t>AFUL</t>
        </is>
      </c>
      <c r="C186" t="inlineStr">
        <is>
          <t>ICEBORNE</t>
        </is>
      </c>
      <c r="D186" t="inlineStr">
        <is>
          <t>4.4mm</t>
        </is>
      </c>
      <c r="E186" t="inlineStr">
        <is>
          <t>Oui</t>
        </is>
      </c>
      <c r="F186" t="inlineStr">
        <is>
          <t>https://headfonics.com/aful-iceborne-review/2/</t>
        </is>
      </c>
      <c r="G186" s="26" t="inlineStr">
        <is>
          <t>Headphone Ports: 3.5mm Single-ended + 4.4mm Balanced</t>
        </is>
      </c>
      <c r="H186" t="inlineStr">
        <is>
          <t>2026-08-10</t>
        </is>
      </c>
    </row>
    <row r="187">
      <c r="A187" t="n">
        <v>33</v>
      </c>
      <c r="B187" t="inlineStr">
        <is>
          <t>AFUL</t>
        </is>
      </c>
      <c r="C187" t="inlineStr">
        <is>
          <t>ICEBORNE</t>
        </is>
      </c>
      <c r="D187" t="inlineStr">
        <is>
          <t>2.5mm</t>
        </is>
      </c>
      <c r="E187" t="inlineStr">
        <is>
          <t>Non</t>
        </is>
      </c>
      <c r="F187" t="inlineStr">
        <is>
          <t>https://headfonics.com/aful-iceborne-review/2/</t>
        </is>
      </c>
      <c r="G187" s="26" t="inlineStr">
        <is>
          <t>Headphone Ports: 3.5mm Single-ended + 4.4mm Balanced</t>
        </is>
      </c>
      <c r="H187" t="inlineStr">
        <is>
          <t>2026-08-10</t>
        </is>
      </c>
    </row>
    <row r="188">
      <c r="A188" t="n">
        <v>33</v>
      </c>
      <c r="B188" t="inlineStr">
        <is>
          <t>AFUL</t>
        </is>
      </c>
      <c r="C188" t="inlineStr">
        <is>
          <t>ICEBORNE</t>
        </is>
      </c>
      <c r="D188" t="inlineStr">
        <is>
          <t>6.35mm</t>
        </is>
      </c>
      <c r="E188" t="inlineStr">
        <is>
          <t>Non</t>
        </is>
      </c>
      <c r="F188" t="inlineStr">
        <is>
          <t>https://headfonics.com/aful-iceborne-review/2/</t>
        </is>
      </c>
      <c r="G188" s="26" t="inlineStr">
        <is>
          <t>Headphone Ports: 3.5mm Single-ended + 4.4mm Balanced</t>
        </is>
      </c>
      <c r="H188" t="inlineStr">
        <is>
          <t>2026-08-10</t>
        </is>
      </c>
    </row>
    <row r="189">
      <c r="A189" t="n">
        <v>33</v>
      </c>
      <c r="B189" t="inlineStr">
        <is>
          <t>AFUL</t>
        </is>
      </c>
      <c r="C189" t="inlineStr">
        <is>
          <t>ICEBORNE</t>
        </is>
      </c>
      <c r="D189" t="inlineStr">
        <is>
          <t>XLR</t>
        </is>
      </c>
      <c r="E189" t="inlineStr">
        <is>
          <t>Non</t>
        </is>
      </c>
      <c r="F189" t="inlineStr">
        <is>
          <t>https://headfonics.com/aful-iceborne-review/2/</t>
        </is>
      </c>
      <c r="G189" s="26" t="inlineStr">
        <is>
          <t>Headphone Ports: 3.5mm Single-ended + 4.4mm Balanced</t>
        </is>
      </c>
      <c r="H189" t="inlineStr">
        <is>
          <t>2026-08-10</t>
        </is>
      </c>
    </row>
    <row r="190">
      <c r="A190" t="n">
        <v>34</v>
      </c>
      <c r="B190" t="inlineStr">
        <is>
          <t>Fosi Audio</t>
        </is>
      </c>
      <c r="C190" t="inlineStr">
        <is>
          <t>MD3</t>
        </is>
      </c>
      <c r="D190" t="inlineStr">
        <is>
          <t>Bluetooth</t>
        </is>
      </c>
      <c r="E190" t="inlineStr">
        <is>
          <t>Non</t>
        </is>
      </c>
      <c r="F190" t="inlineStr">
        <is>
          <t>https://headfonics.com/fosi-audio-md3-review/</t>
        </is>
      </c>
      <c r="G190" s="26" t="inlineStr">
        <is>
          <t>What’s missing, which honestly, I don’t miss at all as I don’t use it in a DAC amplifier in this form factor, is the Bluetooth connectivity.</t>
        </is>
      </c>
      <c r="H190" t="inlineStr">
        <is>
          <t>2026-08-10</t>
        </is>
      </c>
    </row>
    <row r="191">
      <c r="A191" t="n">
        <v>34</v>
      </c>
      <c r="B191" t="inlineStr">
        <is>
          <t>Fosi Audio</t>
        </is>
      </c>
      <c r="C191" t="inlineStr">
        <is>
          <t>MD3</t>
        </is>
      </c>
      <c r="D191" t="inlineStr">
        <is>
          <t>3.5mm</t>
        </is>
      </c>
      <c r="E191" t="inlineStr">
        <is>
          <t>Oui</t>
        </is>
      </c>
      <c r="F191" t="inlineStr">
        <is>
          <t>https://fosiaudio.com/products/fosi-audio-md3-magdac-portable-dac-headphone-amplifier-with-rear-display</t>
        </is>
      </c>
      <c r="G191" s="26" t="inlineStr">
        <is>
          <t>3.5mm Single-Ended, 4.4mm Balanced</t>
        </is>
      </c>
      <c r="H191" t="inlineStr">
        <is>
          <t>2026-08-10</t>
        </is>
      </c>
    </row>
    <row r="192">
      <c r="A192" t="n">
        <v>34</v>
      </c>
      <c r="B192" t="inlineStr">
        <is>
          <t>Fosi Audio</t>
        </is>
      </c>
      <c r="C192" t="inlineStr">
        <is>
          <t>MD3</t>
        </is>
      </c>
      <c r="D192" t="inlineStr">
        <is>
          <t>4.4mm</t>
        </is>
      </c>
      <c r="E192" t="inlineStr">
        <is>
          <t>Oui</t>
        </is>
      </c>
      <c r="F192" t="inlineStr">
        <is>
          <t>https://fosiaudio.com/products/fosi-audio-md3-magdac-portable-dac-headphone-amplifier-with-rear-display</t>
        </is>
      </c>
      <c r="G192" s="26" t="inlineStr">
        <is>
          <t>3.5mm Single-Ended, 4.4mm Balanced</t>
        </is>
      </c>
      <c r="H192" t="inlineStr">
        <is>
          <t>2026-08-10</t>
        </is>
      </c>
    </row>
    <row r="193">
      <c r="A193" t="n">
        <v>34</v>
      </c>
      <c r="B193" t="inlineStr">
        <is>
          <t>Fosi Audio</t>
        </is>
      </c>
      <c r="C193" t="inlineStr">
        <is>
          <t>MD3</t>
        </is>
      </c>
      <c r="D193" t="inlineStr">
        <is>
          <t>2.5mm</t>
        </is>
      </c>
      <c r="E193" t="inlineStr">
        <is>
          <t>Non</t>
        </is>
      </c>
      <c r="F193" t="inlineStr">
        <is>
          <t>https://fosiaudio.com/products/fosi-audio-md3-magdac-portable-dac-headphone-amplifier-with-rear-display</t>
        </is>
      </c>
      <c r="G193" s="26" t="inlineStr">
        <is>
          <t>3.5mm Single-Ended, 4.4mm Balanced</t>
        </is>
      </c>
      <c r="H193" t="inlineStr">
        <is>
          <t>2026-08-10</t>
        </is>
      </c>
    </row>
    <row r="194">
      <c r="A194" t="n">
        <v>34</v>
      </c>
      <c r="B194" t="inlineStr">
        <is>
          <t>Fosi Audio</t>
        </is>
      </c>
      <c r="C194" t="inlineStr">
        <is>
          <t>MD3</t>
        </is>
      </c>
      <c r="D194" t="inlineStr">
        <is>
          <t>6.35mm</t>
        </is>
      </c>
      <c r="E194" t="inlineStr">
        <is>
          <t>Non</t>
        </is>
      </c>
      <c r="F194" t="inlineStr">
        <is>
          <t>https://fosiaudio.com/products/fosi-audio-md3-magdac-portable-dac-headphone-amplifier-with-rear-display</t>
        </is>
      </c>
      <c r="G194" s="26" t="inlineStr">
        <is>
          <t>3.5mm Single-Ended, 4.4mm Balanced</t>
        </is>
      </c>
      <c r="H194" t="inlineStr">
        <is>
          <t>2026-08-10</t>
        </is>
      </c>
    </row>
    <row r="195">
      <c r="A195" t="n">
        <v>34</v>
      </c>
      <c r="B195" t="inlineStr">
        <is>
          <t>Fosi Audio</t>
        </is>
      </c>
      <c r="C195" t="inlineStr">
        <is>
          <t>MD3</t>
        </is>
      </c>
      <c r="D195" t="inlineStr">
        <is>
          <t>XLR</t>
        </is>
      </c>
      <c r="E195" t="inlineStr">
        <is>
          <t>Non</t>
        </is>
      </c>
      <c r="F195" t="inlineStr">
        <is>
          <t>https://fosiaudio.com/products/fosi-audio-md3-magdac-portable-dac-headphone-amplifier-with-rear-display</t>
        </is>
      </c>
      <c r="G195" s="26" t="inlineStr">
        <is>
          <t>3.5mm Single-Ended, 4.4mm Balanced</t>
        </is>
      </c>
      <c r="H195" t="inlineStr">
        <is>
          <t>2026-08-10</t>
        </is>
      </c>
    </row>
    <row r="196">
      <c r="A196" t="n">
        <v>35</v>
      </c>
      <c r="B196" t="inlineStr">
        <is>
          <t>iFi audio</t>
        </is>
      </c>
      <c r="C196" t="inlineStr">
        <is>
          <t>GO link 2</t>
        </is>
      </c>
      <c r="D196" t="inlineStr">
        <is>
          <t>Batterie</t>
        </is>
      </c>
      <c r="E196" t="inlineStr">
        <is>
          <t>Non</t>
        </is>
      </c>
      <c r="F196" t="inlineStr">
        <is>
          <t>https://www.ecoustics.com/products/ifi-go-link-2/</t>
        </is>
      </c>
      <c r="G196" s="26" t="inlineStr">
        <is>
          <t>a fully wired USB-C dongle DAC with no internal battery and no Bluetooth functionality</t>
        </is>
      </c>
      <c r="H196" t="inlineStr">
        <is>
          <t>2026-08-10</t>
        </is>
      </c>
    </row>
    <row r="197">
      <c r="A197" t="n">
        <v>35</v>
      </c>
      <c r="B197" t="inlineStr">
        <is>
          <t>iFi audio</t>
        </is>
      </c>
      <c r="C197" t="inlineStr">
        <is>
          <t>GO link 2</t>
        </is>
      </c>
      <c r="D197" t="inlineStr">
        <is>
          <t>Bluetooth</t>
        </is>
      </c>
      <c r="E197" t="inlineStr">
        <is>
          <t>Non</t>
        </is>
      </c>
      <c r="F197" t="inlineStr">
        <is>
          <t>https://www.ecoustics.com/products/ifi-go-link-2/</t>
        </is>
      </c>
      <c r="G197" s="26" t="inlineStr">
        <is>
          <t>a fully wired USB-C dongle DAC with no internal battery and no Bluetooth functionality</t>
        </is>
      </c>
      <c r="H197" t="inlineStr">
        <is>
          <t>2026-08-10</t>
        </is>
      </c>
    </row>
    <row r="198">
      <c r="A198" t="n">
        <v>35</v>
      </c>
      <c r="B198" t="inlineStr">
        <is>
          <t>iFi audio</t>
        </is>
      </c>
      <c r="C198" t="inlineStr">
        <is>
          <t>GO link 2</t>
        </is>
      </c>
      <c r="D198" t="inlineStr">
        <is>
          <t>3.5mm</t>
        </is>
      </c>
      <c r="E198" t="inlineStr">
        <is>
          <t>Oui</t>
        </is>
      </c>
      <c r="F198" t="inlineStr">
        <is>
          <t>https://ifi-audio.com/products/go-link-2/</t>
        </is>
      </c>
      <c r="G198" s="26" t="inlineStr">
        <is>
          <t>Headphone Output: S-Balanced 3.5mm</t>
        </is>
      </c>
      <c r="H198" t="inlineStr">
        <is>
          <t>2026-08-10</t>
        </is>
      </c>
    </row>
    <row r="199">
      <c r="A199" t="n">
        <v>35</v>
      </c>
      <c r="B199" t="inlineStr">
        <is>
          <t>iFi audio</t>
        </is>
      </c>
      <c r="C199" t="inlineStr">
        <is>
          <t>GO link 2</t>
        </is>
      </c>
      <c r="D199" t="inlineStr">
        <is>
          <t>4.4mm</t>
        </is>
      </c>
      <c r="E199" t="inlineStr">
        <is>
          <t>Non</t>
        </is>
      </c>
      <c r="F199" t="inlineStr">
        <is>
          <t>https://ifi-audio.com/products/go-link-2/</t>
        </is>
      </c>
      <c r="G199" s="26" t="inlineStr">
        <is>
          <t>Headphone Output: S-Balanced 3.5mm</t>
        </is>
      </c>
      <c r="H199" t="inlineStr">
        <is>
          <t>2026-08-10</t>
        </is>
      </c>
    </row>
    <row r="200">
      <c r="A200" t="n">
        <v>35</v>
      </c>
      <c r="B200" t="inlineStr">
        <is>
          <t>iFi audio</t>
        </is>
      </c>
      <c r="C200" t="inlineStr">
        <is>
          <t>GO link 2</t>
        </is>
      </c>
      <c r="D200" t="inlineStr">
        <is>
          <t>2.5mm</t>
        </is>
      </c>
      <c r="E200" t="inlineStr">
        <is>
          <t>Non</t>
        </is>
      </c>
      <c r="F200" t="inlineStr">
        <is>
          <t>https://ifi-audio.com/products/go-link-2/</t>
        </is>
      </c>
      <c r="G200" s="26" t="inlineStr">
        <is>
          <t>Headphone Output: S-Balanced 3.5mm</t>
        </is>
      </c>
      <c r="H200" t="inlineStr">
        <is>
          <t>2026-08-10</t>
        </is>
      </c>
    </row>
    <row r="201">
      <c r="A201" t="n">
        <v>35</v>
      </c>
      <c r="B201" t="inlineStr">
        <is>
          <t>iFi audio</t>
        </is>
      </c>
      <c r="C201" t="inlineStr">
        <is>
          <t>GO link 2</t>
        </is>
      </c>
      <c r="D201" t="inlineStr">
        <is>
          <t>6.35mm</t>
        </is>
      </c>
      <c r="E201" t="inlineStr">
        <is>
          <t>Non</t>
        </is>
      </c>
      <c r="F201" t="inlineStr">
        <is>
          <t>https://ifi-audio.com/products/go-link-2/</t>
        </is>
      </c>
      <c r="G201" s="26" t="inlineStr">
        <is>
          <t>Headphone Output: S-Balanced 3.5mm</t>
        </is>
      </c>
      <c r="H201" t="inlineStr">
        <is>
          <t>2026-08-10</t>
        </is>
      </c>
    </row>
    <row r="202">
      <c r="A202" t="n">
        <v>35</v>
      </c>
      <c r="B202" t="inlineStr">
        <is>
          <t>iFi audio</t>
        </is>
      </c>
      <c r="C202" t="inlineStr">
        <is>
          <t>GO link 2</t>
        </is>
      </c>
      <c r="D202" t="inlineStr">
        <is>
          <t>XLR</t>
        </is>
      </c>
      <c r="E202" t="inlineStr">
        <is>
          <t>Non</t>
        </is>
      </c>
      <c r="F202" t="inlineStr">
        <is>
          <t>https://ifi-audio.com/products/go-link-2/</t>
        </is>
      </c>
      <c r="G202" s="26" t="inlineStr">
        <is>
          <t>Headphone Output: S-Balanced 3.5mm</t>
        </is>
      </c>
      <c r="H202" t="inlineStr">
        <is>
          <t>2026-08-10</t>
        </is>
      </c>
    </row>
    <row r="203">
      <c r="A203" t="n">
        <v>36</v>
      </c>
      <c r="B203" t="inlineStr">
        <is>
          <t>MUSE HiFi</t>
        </is>
      </c>
      <c r="C203" t="inlineStr">
        <is>
          <t>M3 Ultra</t>
        </is>
      </c>
      <c r="D203" t="inlineStr">
        <is>
          <t>Bluetooth</t>
        </is>
      </c>
      <c r="E203" t="inlineStr">
        <is>
          <t>Non</t>
        </is>
      </c>
      <c r="F203" t="inlineStr">
        <is>
          <t>https://headfonics.com/muse-hifi-m3-ultra-review/2/</t>
        </is>
      </c>
      <c r="G203" s="26" t="inlineStr">
        <is>
          <t>Input: USB</t>
        </is>
      </c>
      <c r="H203" t="inlineStr">
        <is>
          <t>2026-08-10</t>
        </is>
      </c>
    </row>
    <row r="204">
      <c r="A204" t="n">
        <v>36</v>
      </c>
      <c r="B204" t="inlineStr">
        <is>
          <t>MUSE HiFi</t>
        </is>
      </c>
      <c r="C204" t="inlineStr">
        <is>
          <t>M3 Ultra</t>
        </is>
      </c>
      <c r="D204" t="inlineStr">
        <is>
          <t>3.5mm</t>
        </is>
      </c>
      <c r="E204" t="inlineStr">
        <is>
          <t>Oui</t>
        </is>
      </c>
      <c r="F204" t="inlineStr">
        <is>
          <t>https://headfonics.com/muse-hifi-m3-ultra-review/2/</t>
        </is>
      </c>
      <c r="G204" s="26" t="inlineStr">
        <is>
          <t>Output Options: 3.5mm / 4.4mm</t>
        </is>
      </c>
      <c r="H204" t="inlineStr">
        <is>
          <t>2026-08-10</t>
        </is>
      </c>
    </row>
    <row r="205">
      <c r="A205" t="n">
        <v>36</v>
      </c>
      <c r="B205" t="inlineStr">
        <is>
          <t>MUSE HiFi</t>
        </is>
      </c>
      <c r="C205" t="inlineStr">
        <is>
          <t>M3 Ultra</t>
        </is>
      </c>
      <c r="D205" t="inlineStr">
        <is>
          <t>4.4mm</t>
        </is>
      </c>
      <c r="E205" t="inlineStr">
        <is>
          <t>Oui</t>
        </is>
      </c>
      <c r="F205" t="inlineStr">
        <is>
          <t>https://headfonics.com/muse-hifi-m3-ultra-review/2/</t>
        </is>
      </c>
      <c r="G205" s="26" t="inlineStr">
        <is>
          <t>Output Options: 3.5mm / 4.4mm</t>
        </is>
      </c>
      <c r="H205" t="inlineStr">
        <is>
          <t>2026-08-10</t>
        </is>
      </c>
    </row>
    <row r="206">
      <c r="A206" t="n">
        <v>36</v>
      </c>
      <c r="B206" t="inlineStr">
        <is>
          <t>MUSE HiFi</t>
        </is>
      </c>
      <c r="C206" t="inlineStr">
        <is>
          <t>M3 Ultra</t>
        </is>
      </c>
      <c r="D206" t="inlineStr">
        <is>
          <t>2.5mm</t>
        </is>
      </c>
      <c r="E206" t="inlineStr">
        <is>
          <t>Non</t>
        </is>
      </c>
      <c r="F206" t="inlineStr">
        <is>
          <t>https://headfonics.com/muse-hifi-m3-ultra-review/2/</t>
        </is>
      </c>
      <c r="G206" s="26" t="inlineStr">
        <is>
          <t>Output Options: 3.5mm / 4.4mm</t>
        </is>
      </c>
      <c r="H206" t="inlineStr">
        <is>
          <t>2026-08-10</t>
        </is>
      </c>
    </row>
    <row r="207">
      <c r="A207" t="n">
        <v>36</v>
      </c>
      <c r="B207" t="inlineStr">
        <is>
          <t>MUSE HiFi</t>
        </is>
      </c>
      <c r="C207" t="inlineStr">
        <is>
          <t>M3 Ultra</t>
        </is>
      </c>
      <c r="D207" t="inlineStr">
        <is>
          <t>6.35mm</t>
        </is>
      </c>
      <c r="E207" t="inlineStr">
        <is>
          <t>Non</t>
        </is>
      </c>
      <c r="F207" t="inlineStr">
        <is>
          <t>https://headfonics.com/muse-hifi-m3-ultra-review/2/</t>
        </is>
      </c>
      <c r="G207" s="26" t="inlineStr">
        <is>
          <t>Output Options: 3.5mm / 4.4mm</t>
        </is>
      </c>
      <c r="H207" t="inlineStr">
        <is>
          <t>2026-08-10</t>
        </is>
      </c>
    </row>
    <row r="208">
      <c r="A208" t="n">
        <v>36</v>
      </c>
      <c r="B208" t="inlineStr">
        <is>
          <t>MUSE HiFi</t>
        </is>
      </c>
      <c r="C208" t="inlineStr">
        <is>
          <t>M3 Ultra</t>
        </is>
      </c>
      <c r="D208" t="inlineStr">
        <is>
          <t>XLR</t>
        </is>
      </c>
      <c r="E208" t="inlineStr">
        <is>
          <t>Non</t>
        </is>
      </c>
      <c r="F208" t="inlineStr">
        <is>
          <t>https://headfonics.com/muse-hifi-m3-ultra-review/2/</t>
        </is>
      </c>
      <c r="G208" s="26" t="inlineStr">
        <is>
          <t>Output Options: 3.5mm / 4.4mm</t>
        </is>
      </c>
      <c r="H208" t="inlineStr">
        <is>
          <t>2026-08-10</t>
        </is>
      </c>
    </row>
    <row r="209">
      <c r="A209" t="n">
        <v>36</v>
      </c>
      <c r="B209" t="inlineStr">
        <is>
          <t>MUSE HiFi</t>
        </is>
      </c>
      <c r="C209" t="inlineStr">
        <is>
          <t>M3 Ultra</t>
        </is>
      </c>
      <c r="D209" t="inlineStr">
        <is>
          <t>DSP/PEQ</t>
        </is>
      </c>
      <c r="E209" t="inlineStr">
        <is>
          <t>Non</t>
        </is>
      </c>
      <c r="F209" t="inlineStr">
        <is>
          <t>https://headfonics.com/muse-hifi-m3-ultra-review/2/</t>
        </is>
      </c>
      <c r="G209" s="26" t="inlineStr">
        <is>
          <t>Thanks to the simplicity of its pure DAC amplifier design, free of unnecessary features that could compromise audio quality, such as an LCD screen, Bluetooth connection, and an accompanying app that adds signal processing.</t>
        </is>
      </c>
      <c r="H209" t="inlineStr">
        <is>
          <t>2026-08-10</t>
        </is>
      </c>
    </row>
    <row r="210">
      <c r="A210" t="n">
        <v>37</v>
      </c>
      <c r="B210" t="inlineStr">
        <is>
          <t>xDuoo</t>
        </is>
      </c>
      <c r="C210" t="inlineStr">
        <is>
          <t>Link3</t>
        </is>
      </c>
      <c r="D210" t="inlineStr">
        <is>
          <t>Batterie</t>
        </is>
      </c>
      <c r="E210" t="inlineStr">
        <is>
          <t>Non</t>
        </is>
      </c>
      <c r="F210" t="inlineStr">
        <is>
          <t>https://moonstarreviews.net/xduoo-link3-review/</t>
        </is>
      </c>
      <c r="G210" s="26" t="inlineStr">
        <is>
          <t>Super Power Mode works by routing power through the second, dedicated USB-C port rather than drawing everything from the connected phone or laptop</t>
        </is>
      </c>
      <c r="H210" t="inlineStr">
        <is>
          <t>2026-08-10</t>
        </is>
      </c>
    </row>
    <row r="211">
      <c r="A211" t="n">
        <v>37</v>
      </c>
      <c r="B211" t="inlineStr">
        <is>
          <t>xDuoo</t>
        </is>
      </c>
      <c r="C211" t="inlineStr">
        <is>
          <t>Link3</t>
        </is>
      </c>
      <c r="D211" t="inlineStr">
        <is>
          <t>Bluetooth</t>
        </is>
      </c>
      <c r="E211" t="inlineStr">
        <is>
          <t>Non</t>
        </is>
      </c>
      <c r="F211" t="inlineStr">
        <is>
          <t>https://moonstarreviews.net/xduoo-link3-review/</t>
        </is>
      </c>
      <c r="G211" s="26" t="inlineStr">
        <is>
          <t>Inputs: USB-C (Data), USB-C (Dedicated External Power)</t>
        </is>
      </c>
      <c r="H211" t="inlineStr">
        <is>
          <t>2026-08-10</t>
        </is>
      </c>
    </row>
    <row r="212">
      <c r="A212" t="n">
        <v>37</v>
      </c>
      <c r="B212" t="inlineStr">
        <is>
          <t>xDuoo</t>
        </is>
      </c>
      <c r="C212" t="inlineStr">
        <is>
          <t>Link3</t>
        </is>
      </c>
      <c r="D212" t="inlineStr">
        <is>
          <t>3.5mm</t>
        </is>
      </c>
      <c r="E212" t="inlineStr">
        <is>
          <t>Oui</t>
        </is>
      </c>
      <c r="F212" t="inlineStr">
        <is>
          <t>https://moonstarreviews.net/xduoo-link3-review/</t>
        </is>
      </c>
      <c r="G212" s="26" t="inlineStr">
        <is>
          <t>Outputs: 3.5mm Single-Ended, 4.4mm Balanced</t>
        </is>
      </c>
      <c r="H212" t="inlineStr">
        <is>
          <t>2026-08-10</t>
        </is>
      </c>
    </row>
    <row r="213">
      <c r="A213" t="n">
        <v>37</v>
      </c>
      <c r="B213" t="inlineStr">
        <is>
          <t>xDuoo</t>
        </is>
      </c>
      <c r="C213" t="inlineStr">
        <is>
          <t>Link3</t>
        </is>
      </c>
      <c r="D213" t="inlineStr">
        <is>
          <t>4.4mm</t>
        </is>
      </c>
      <c r="E213" t="inlineStr">
        <is>
          <t>Oui</t>
        </is>
      </c>
      <c r="F213" t="inlineStr">
        <is>
          <t>https://moonstarreviews.net/xduoo-link3-review/</t>
        </is>
      </c>
      <c r="G213" s="26" t="inlineStr">
        <is>
          <t>Outputs: 3.5mm Single-Ended, 4.4mm Balanced</t>
        </is>
      </c>
      <c r="H213" t="inlineStr">
        <is>
          <t>2026-08-10</t>
        </is>
      </c>
    </row>
    <row r="214">
      <c r="A214" t="n">
        <v>37</v>
      </c>
      <c r="B214" t="inlineStr">
        <is>
          <t>xDuoo</t>
        </is>
      </c>
      <c r="C214" t="inlineStr">
        <is>
          <t>Link3</t>
        </is>
      </c>
      <c r="D214" t="inlineStr">
        <is>
          <t>2.5mm</t>
        </is>
      </c>
      <c r="E214" t="inlineStr">
        <is>
          <t>Non</t>
        </is>
      </c>
      <c r="F214" t="inlineStr">
        <is>
          <t>https://moonstarreviews.net/xduoo-link3-review/</t>
        </is>
      </c>
      <c r="G214" s="26" t="inlineStr">
        <is>
          <t>Outputs: 3.5mm Single-Ended, 4.4mm Balanced</t>
        </is>
      </c>
      <c r="H214" t="inlineStr">
        <is>
          <t>2026-08-10</t>
        </is>
      </c>
    </row>
    <row r="215">
      <c r="A215" t="n">
        <v>37</v>
      </c>
      <c r="B215" t="inlineStr">
        <is>
          <t>xDuoo</t>
        </is>
      </c>
      <c r="C215" t="inlineStr">
        <is>
          <t>Link3</t>
        </is>
      </c>
      <c r="D215" t="inlineStr">
        <is>
          <t>6.35mm</t>
        </is>
      </c>
      <c r="E215" t="inlineStr">
        <is>
          <t>Non</t>
        </is>
      </c>
      <c r="F215" t="inlineStr">
        <is>
          <t>https://moonstarreviews.net/xduoo-link3-review/</t>
        </is>
      </c>
      <c r="G215" s="26" t="inlineStr">
        <is>
          <t>Outputs: 3.5mm Single-Ended, 4.4mm Balanced</t>
        </is>
      </c>
      <c r="H215" t="inlineStr">
        <is>
          <t>2026-08-10</t>
        </is>
      </c>
    </row>
    <row r="216">
      <c r="A216" t="n">
        <v>37</v>
      </c>
      <c r="B216" t="inlineStr">
        <is>
          <t>xDuoo</t>
        </is>
      </c>
      <c r="C216" t="inlineStr">
        <is>
          <t>Link3</t>
        </is>
      </c>
      <c r="D216" t="inlineStr">
        <is>
          <t>XLR</t>
        </is>
      </c>
      <c r="E216" t="inlineStr">
        <is>
          <t>Non</t>
        </is>
      </c>
      <c r="F216" t="inlineStr">
        <is>
          <t>https://moonstarreviews.net/xduoo-link3-review/</t>
        </is>
      </c>
      <c r="G216" s="26" t="inlineStr">
        <is>
          <t>Outputs: 3.5mm Single-Ended, 4.4mm Balanced</t>
        </is>
      </c>
      <c r="H216" t="inlineStr">
        <is>
          <t>2026-08-10</t>
        </is>
      </c>
    </row>
    <row r="217">
      <c r="A217" t="n">
        <v>37</v>
      </c>
      <c r="B217" t="inlineStr">
        <is>
          <t>xDuoo</t>
        </is>
      </c>
      <c r="C217" t="inlineStr">
        <is>
          <t>Link3</t>
        </is>
      </c>
      <c r="D217" t="inlineStr">
        <is>
          <t>DSP/PEQ</t>
        </is>
      </c>
      <c r="E217" t="inlineStr">
        <is>
          <t>Non</t>
        </is>
      </c>
      <c r="F217" t="inlineStr">
        <is>
          <t>https://moonstarreviews.net/xduoo-link3-review/</t>
        </is>
      </c>
      <c r="G217" s="26" t="inlineStr">
        <is>
          <t>with no parametric or user-adjustable EQ available</t>
        </is>
      </c>
      <c r="H217" t="inlineStr">
        <is>
          <t>2026-08-10</t>
        </is>
      </c>
    </row>
    <row r="218">
      <c r="A218" t="n">
        <v>38</v>
      </c>
      <c r="B218" t="inlineStr">
        <is>
          <t>xDuoo</t>
        </is>
      </c>
      <c r="C218" t="inlineStr">
        <is>
          <t>XP-2 Bal</t>
        </is>
      </c>
      <c r="D218" t="inlineStr">
        <is>
          <t>Batterie</t>
        </is>
      </c>
      <c r="E218" t="inlineStr">
        <is>
          <t>Oui</t>
        </is>
      </c>
      <c r="F218" t="inlineStr">
        <is>
          <t>https://headfonics.com/xduoo-xp-2-bal-review/2/</t>
        </is>
      </c>
      <c r="G218" s="26" t="inlineStr">
        <is>
          <t>Battery: 3.7V/2200 mAh</t>
        </is>
      </c>
      <c r="H218" t="inlineStr">
        <is>
          <t>2026-08-10</t>
        </is>
      </c>
    </row>
    <row r="219">
      <c r="A219" t="n">
        <v>38</v>
      </c>
      <c r="B219" t="inlineStr">
        <is>
          <t>xDuoo</t>
        </is>
      </c>
      <c r="C219" t="inlineStr">
        <is>
          <t>XP-2 Bal</t>
        </is>
      </c>
      <c r="D219" t="inlineStr">
        <is>
          <t>Bluetooth</t>
        </is>
      </c>
      <c r="E219" t="inlineStr">
        <is>
          <t>Oui</t>
        </is>
      </c>
      <c r="F219" t="inlineStr">
        <is>
          <t>https://headfonics.com/xduoo-xp-2-bal-review/2/</t>
        </is>
      </c>
      <c r="G219" s="26" t="inlineStr">
        <is>
          <t>Bluetooth Codecs: SBC, AAC, AptX, AptX LL, AptX HD, LDAC</t>
        </is>
      </c>
      <c r="H219" t="inlineStr">
        <is>
          <t>2026-08-10</t>
        </is>
      </c>
    </row>
    <row r="220">
      <c r="A220" t="n">
        <v>38</v>
      </c>
      <c r="B220" t="inlineStr">
        <is>
          <t>xDuoo</t>
        </is>
      </c>
      <c r="C220" t="inlineStr">
        <is>
          <t>XP-2 Bal</t>
        </is>
      </c>
      <c r="D220" t="inlineStr">
        <is>
          <t>3.5mm</t>
        </is>
      </c>
      <c r="E220" t="inlineStr">
        <is>
          <t>Oui</t>
        </is>
      </c>
      <c r="F220" t="inlineStr">
        <is>
          <t>https://headfonics.com/xduoo-xp-2-bal-review/</t>
        </is>
      </c>
      <c r="G220" s="26" t="inlineStr">
        <is>
          <t>3.5 mm and 4.4 mm output jacks with maximum power of 180 mW and 320 mW, respectively.</t>
        </is>
      </c>
      <c r="H220" t="inlineStr">
        <is>
          <t>2026-08-10</t>
        </is>
      </c>
    </row>
    <row r="221">
      <c r="A221" t="n">
        <v>38</v>
      </c>
      <c r="B221" t="inlineStr">
        <is>
          <t>xDuoo</t>
        </is>
      </c>
      <c r="C221" t="inlineStr">
        <is>
          <t>XP-2 Bal</t>
        </is>
      </c>
      <c r="D221" t="inlineStr">
        <is>
          <t>4.4mm</t>
        </is>
      </c>
      <c r="E221" t="inlineStr">
        <is>
          <t>Oui</t>
        </is>
      </c>
      <c r="F221" t="inlineStr">
        <is>
          <t>https://headfonics.com/xduoo-xp-2-bal-review/</t>
        </is>
      </c>
      <c r="G221" s="26" t="inlineStr">
        <is>
          <t>3.5 mm and 4.4 mm output jacks with maximum power of 180 mW and 320 mW, respectively.</t>
        </is>
      </c>
      <c r="H221" t="inlineStr">
        <is>
          <t>2026-08-10</t>
        </is>
      </c>
    </row>
    <row r="222">
      <c r="A222" t="n">
        <v>39</v>
      </c>
      <c r="B222" t="inlineStr">
        <is>
          <t>iBasso</t>
        </is>
      </c>
      <c r="C222" t="inlineStr">
        <is>
          <t>PB6 MACAW</t>
        </is>
      </c>
      <c r="D222" t="inlineStr">
        <is>
          <t>Batterie</t>
        </is>
      </c>
      <c r="E222" t="inlineStr">
        <is>
          <t>Oui</t>
        </is>
      </c>
      <c r="F222" t="inlineStr">
        <is>
          <t>https://headfonics.com/ibasso-pb6-macaw-review/2/</t>
        </is>
      </c>
      <c r="G222" s="26" t="inlineStr">
        <is>
          <t>Power Internal 8.4V high-voltage battery pack; 12V DC-IN external power supported</t>
        </is>
      </c>
      <c r="H222" t="inlineStr">
        <is>
          <t>2026-08-10</t>
        </is>
      </c>
    </row>
    <row r="223">
      <c r="A223" t="n">
        <v>39</v>
      </c>
      <c r="B223" t="inlineStr">
        <is>
          <t>iBasso</t>
        </is>
      </c>
      <c r="C223" t="inlineStr">
        <is>
          <t>PB6 MACAW</t>
        </is>
      </c>
      <c r="D223" t="inlineStr">
        <is>
          <t>Bluetooth</t>
        </is>
      </c>
      <c r="E223" t="inlineStr">
        <is>
          <t>Non</t>
        </is>
      </c>
      <c r="F223" t="inlineStr">
        <is>
          <t>https://headfonics.com/ibasso-pb6-macaw-review/2/</t>
        </is>
      </c>
      <c r="G223" s="26" t="inlineStr">
        <is>
          <t>the PB6 MACAW has no DAC or Bluetooth</t>
        </is>
      </c>
      <c r="H223" t="inlineStr">
        <is>
          <t>2026-08-10</t>
        </is>
      </c>
    </row>
    <row r="224">
      <c r="A224" t="n">
        <v>39</v>
      </c>
      <c r="B224" t="inlineStr">
        <is>
          <t>iBasso</t>
        </is>
      </c>
      <c r="C224" t="inlineStr">
        <is>
          <t>PB6 MACAW</t>
        </is>
      </c>
      <c r="D224" t="inlineStr">
        <is>
          <t>3.5mm</t>
        </is>
      </c>
      <c r="E224" t="inlineStr">
        <is>
          <t>Oui</t>
        </is>
      </c>
      <c r="F224" t="inlineStr">
        <is>
          <t>https://headfonics.com/ibasso-pb6-macaw-review/2/</t>
        </is>
      </c>
      <c r="G224" s="26" t="inlineStr">
        <is>
          <t>Inputs / Outputs 3.5 mm SE input/output; 4.4 mm balanced input/output (full bidirectional I/O)</t>
        </is>
      </c>
      <c r="H224" t="inlineStr">
        <is>
          <t>2026-08-10</t>
        </is>
      </c>
    </row>
    <row r="225">
      <c r="A225" t="n">
        <v>39</v>
      </c>
      <c r="B225" t="inlineStr">
        <is>
          <t>iBasso</t>
        </is>
      </c>
      <c r="C225" t="inlineStr">
        <is>
          <t>PB6 MACAW</t>
        </is>
      </c>
      <c r="D225" t="inlineStr">
        <is>
          <t>4.4mm</t>
        </is>
      </c>
      <c r="E225" t="inlineStr">
        <is>
          <t>Oui</t>
        </is>
      </c>
      <c r="F225" t="inlineStr">
        <is>
          <t>https://headfonics.com/ibasso-pb6-macaw-review/2/</t>
        </is>
      </c>
      <c r="G225" s="26" t="inlineStr">
        <is>
          <t>Inputs / Outputs 3.5 mm SE input/output; 4.4 mm balanced input/output (full bidirectional I/O)</t>
        </is>
      </c>
      <c r="H225" t="inlineStr">
        <is>
          <t>2026-08-10</t>
        </is>
      </c>
    </row>
    <row r="226">
      <c r="A226" t="n">
        <v>39</v>
      </c>
      <c r="B226" t="inlineStr">
        <is>
          <t>iBasso</t>
        </is>
      </c>
      <c r="C226" t="inlineStr">
        <is>
          <t>PB6 MACAW</t>
        </is>
      </c>
      <c r="D226" t="inlineStr">
        <is>
          <t>2.5mm</t>
        </is>
      </c>
      <c r="E226" t="inlineStr">
        <is>
          <t>Non</t>
        </is>
      </c>
      <c r="F226" t="inlineStr">
        <is>
          <t>https://headfonics.com/ibasso-pb6-macaw-review/2/</t>
        </is>
      </c>
      <c r="G226" s="26" t="inlineStr">
        <is>
          <t>Inputs / Outputs 3.5 mm SE input/output; 4.4 mm balanced input/output (full bidirectional I/O)</t>
        </is>
      </c>
      <c r="H226" t="inlineStr">
        <is>
          <t>2026-08-10</t>
        </is>
      </c>
    </row>
    <row r="227">
      <c r="A227" t="n">
        <v>39</v>
      </c>
      <c r="B227" t="inlineStr">
        <is>
          <t>iBasso</t>
        </is>
      </c>
      <c r="C227" t="inlineStr">
        <is>
          <t>PB6 MACAW</t>
        </is>
      </c>
      <c r="D227" t="inlineStr">
        <is>
          <t>6.35mm</t>
        </is>
      </c>
      <c r="E227" t="inlineStr">
        <is>
          <t>Non</t>
        </is>
      </c>
      <c r="F227" t="inlineStr">
        <is>
          <t>https://headfonics.com/ibasso-pb6-macaw-review/2/</t>
        </is>
      </c>
      <c r="G227" s="26" t="inlineStr">
        <is>
          <t>Inputs / Outputs 3.5 mm SE input/output; 4.4 mm balanced input/output (full bidirectional I/O)</t>
        </is>
      </c>
      <c r="H227" t="inlineStr">
        <is>
          <t>2026-08-10</t>
        </is>
      </c>
    </row>
    <row r="228">
      <c r="A228" t="n">
        <v>39</v>
      </c>
      <c r="B228" t="inlineStr">
        <is>
          <t>iBasso</t>
        </is>
      </c>
      <c r="C228" t="inlineStr">
        <is>
          <t>PB6 MACAW</t>
        </is>
      </c>
      <c r="D228" t="inlineStr">
        <is>
          <t>XLR</t>
        </is>
      </c>
      <c r="E228" t="inlineStr">
        <is>
          <t>Non</t>
        </is>
      </c>
      <c r="F228" t="inlineStr">
        <is>
          <t>https://headfonics.com/ibasso-pb6-macaw-review/2/</t>
        </is>
      </c>
      <c r="G228" s="26" t="inlineStr">
        <is>
          <t>Inputs / Outputs 3.5 mm SE input/output; 4.4 mm balanced input/output (full bidirectional I/O)</t>
        </is>
      </c>
      <c r="H228" t="inlineStr">
        <is>
          <t>2026-08-10</t>
        </is>
      </c>
    </row>
    <row r="229">
      <c r="A229" t="n">
        <v>40</v>
      </c>
      <c r="B229" t="inlineStr">
        <is>
          <t>HiBy</t>
        </is>
      </c>
      <c r="C229" t="inlineStr">
        <is>
          <t>W4</t>
        </is>
      </c>
      <c r="D229" t="inlineStr">
        <is>
          <t>Batterie</t>
        </is>
      </c>
      <c r="E229" t="inlineStr">
        <is>
          <t>Oui</t>
        </is>
      </c>
      <c r="F229" t="inlineStr">
        <is>
          <t>https://headfonics.com/hiby-w4-review/2/</t>
        </is>
      </c>
      <c r="G229" s="26" t="inlineStr">
        <is>
          <t>Battery capacity: 1500 mAh</t>
        </is>
      </c>
      <c r="H229" t="inlineStr">
        <is>
          <t>2026-08-10</t>
        </is>
      </c>
    </row>
    <row r="230">
      <c r="A230" t="n">
        <v>40</v>
      </c>
      <c r="B230" t="inlineStr">
        <is>
          <t>HiBy</t>
        </is>
      </c>
      <c r="C230" t="inlineStr">
        <is>
          <t>W4</t>
        </is>
      </c>
      <c r="D230" t="inlineStr">
        <is>
          <t>Bluetooth</t>
        </is>
      </c>
      <c r="E230" t="inlineStr">
        <is>
          <t>Oui</t>
        </is>
      </c>
      <c r="F230" t="inlineStr">
        <is>
          <t>https://headfonics.com/hiby-w4-review/2/</t>
        </is>
      </c>
      <c r="G230" s="26" t="inlineStr">
        <is>
          <t>Supported Bluetooth Codecs: aptX Adaptive/aptX lossless/aptX-HD/aptX/LDAC/AAC/SBC</t>
        </is>
      </c>
      <c r="H230" t="inlineStr">
        <is>
          <t>2026-08-10</t>
        </is>
      </c>
    </row>
    <row r="231">
      <c r="A231" t="n">
        <v>40</v>
      </c>
      <c r="B231" t="inlineStr">
        <is>
          <t>HiBy</t>
        </is>
      </c>
      <c r="C231" t="inlineStr">
        <is>
          <t>W4</t>
        </is>
      </c>
      <c r="D231" t="inlineStr">
        <is>
          <t>3.5mm</t>
        </is>
      </c>
      <c r="E231" t="inlineStr">
        <is>
          <t>Oui</t>
        </is>
      </c>
      <c r="F231" t="inlineStr">
        <is>
          <t>https://headfonics.com/xduoo-xp-2-bal-review/2/</t>
        </is>
      </c>
      <c r="G231" s="26" t="inlineStr">
        <is>
          <t>The W4 has both 3.5 mm and 4.4 mm output jacks with maximum power of 125 mW and 475 mW, respectively.</t>
        </is>
      </c>
      <c r="H231" t="inlineStr">
        <is>
          <t>2026-08-10</t>
        </is>
      </c>
    </row>
    <row r="232">
      <c r="A232" t="n">
        <v>40</v>
      </c>
      <c r="B232" t="inlineStr">
        <is>
          <t>HiBy</t>
        </is>
      </c>
      <c r="C232" t="inlineStr">
        <is>
          <t>W4</t>
        </is>
      </c>
      <c r="D232" t="inlineStr">
        <is>
          <t>4.4mm</t>
        </is>
      </c>
      <c r="E232" t="inlineStr">
        <is>
          <t>Oui</t>
        </is>
      </c>
      <c r="F232" t="inlineStr">
        <is>
          <t>https://headfonics.com/xduoo-xp-2-bal-review/2/</t>
        </is>
      </c>
      <c r="G232" s="26" t="inlineStr">
        <is>
          <t>The W4 has both 3.5 mm and 4.4 mm output jacks with maximum power of 125 mW and 475 mW, respectively.</t>
        </is>
      </c>
      <c r="H232" t="inlineStr">
        <is>
          <t>2026-08-10</t>
        </is>
      </c>
    </row>
    <row r="233">
      <c r="A233" t="n">
        <v>40</v>
      </c>
      <c r="B233" t="inlineStr">
        <is>
          <t>HiBy</t>
        </is>
      </c>
      <c r="C233" t="inlineStr">
        <is>
          <t>W4</t>
        </is>
      </c>
      <c r="D233" t="inlineStr">
        <is>
          <t>2.5mm</t>
        </is>
      </c>
      <c r="E233" t="inlineStr">
        <is>
          <t>Non</t>
        </is>
      </c>
      <c r="F233" t="inlineStr">
        <is>
          <t>https://headfonics.com/xduoo-xp-2-bal-review/2/</t>
        </is>
      </c>
      <c r="G233" s="26" t="inlineStr">
        <is>
          <t>The W4 has both 3.5 mm and 4.4 mm output jacks with maximum power of 125 mW and 475 mW, respectively.</t>
        </is>
      </c>
      <c r="H233" t="inlineStr">
        <is>
          <t>2026-08-10</t>
        </is>
      </c>
    </row>
    <row r="234">
      <c r="A234" t="n">
        <v>40</v>
      </c>
      <c r="B234" t="inlineStr">
        <is>
          <t>HiBy</t>
        </is>
      </c>
      <c r="C234" t="inlineStr">
        <is>
          <t>W4</t>
        </is>
      </c>
      <c r="D234" t="inlineStr">
        <is>
          <t>6.35mm</t>
        </is>
      </c>
      <c r="E234" t="inlineStr">
        <is>
          <t>Non</t>
        </is>
      </c>
      <c r="F234" t="inlineStr">
        <is>
          <t>https://headfonics.com/xduoo-xp-2-bal-review/2/</t>
        </is>
      </c>
      <c r="G234" s="26" t="inlineStr">
        <is>
          <t>The W4 has both 3.5 mm and 4.4 mm output jacks with maximum power of 125 mW and 475 mW, respectively.</t>
        </is>
      </c>
      <c r="H234" t="inlineStr">
        <is>
          <t>2026-08-10</t>
        </is>
      </c>
    </row>
    <row r="235">
      <c r="A235" t="n">
        <v>40</v>
      </c>
      <c r="B235" t="inlineStr">
        <is>
          <t>HiBy</t>
        </is>
      </c>
      <c r="C235" t="inlineStr">
        <is>
          <t>W4</t>
        </is>
      </c>
      <c r="D235" t="inlineStr">
        <is>
          <t>XLR</t>
        </is>
      </c>
      <c r="E235" t="inlineStr">
        <is>
          <t>Non</t>
        </is>
      </c>
      <c r="F235" t="inlineStr">
        <is>
          <t>https://headfonics.com/xduoo-xp-2-bal-review/2/</t>
        </is>
      </c>
      <c r="G235" s="26" t="inlineStr">
        <is>
          <t>The W4 has both 3.5 mm and 4.4 mm output jacks with maximum power of 125 mW and 475 mW, respectively.</t>
        </is>
      </c>
      <c r="H235" t="inlineStr">
        <is>
          <t>2026-08-10</t>
        </is>
      </c>
    </row>
    <row r="236">
      <c r="A236" t="n">
        <v>41</v>
      </c>
      <c r="B236" t="inlineStr">
        <is>
          <t>Questyle</t>
        </is>
      </c>
      <c r="C236" t="inlineStr">
        <is>
          <t>SIGMA Pro</t>
        </is>
      </c>
      <c r="D236" t="inlineStr">
        <is>
          <t>Batterie</t>
        </is>
      </c>
      <c r="E236" t="inlineStr">
        <is>
          <t>Oui</t>
        </is>
      </c>
      <c r="F236" t="inlineStr">
        <is>
          <t>https://headfonics.com/questyle-sigma-pro-review/2/</t>
        </is>
      </c>
      <c r="G236" s="26" t="inlineStr">
        <is>
          <t>Both have built-in rechargeable batteries that allow you to take them on the go, and that’s what makes them portable capable.</t>
        </is>
      </c>
      <c r="H236" t="inlineStr">
        <is>
          <t>2026-08-10</t>
        </is>
      </c>
    </row>
    <row r="237">
      <c r="A237" t="n">
        <v>41</v>
      </c>
      <c r="B237" t="inlineStr">
        <is>
          <t>Questyle</t>
        </is>
      </c>
      <c r="C237" t="inlineStr">
        <is>
          <t>SIGMA Pro</t>
        </is>
      </c>
      <c r="D237" t="inlineStr">
        <is>
          <t>Bluetooth</t>
        </is>
      </c>
      <c r="E237" t="inlineStr">
        <is>
          <t>Oui</t>
        </is>
      </c>
      <c r="F237" t="inlineStr">
        <is>
          <t>https://headfonics.com/questyle-sigma-pro-review/2/</t>
        </is>
      </c>
      <c r="G237" s="26" t="inlineStr">
        <is>
          <t>Bluetooth: Bluetooth 5.4</t>
        </is>
      </c>
      <c r="H237" t="inlineStr">
        <is>
          <t>2026-08-10</t>
        </is>
      </c>
    </row>
    <row r="238">
      <c r="A238" t="n">
        <v>41</v>
      </c>
      <c r="B238" t="inlineStr">
        <is>
          <t>Questyle</t>
        </is>
      </c>
      <c r="C238" t="inlineStr">
        <is>
          <t>SIGMA Pro</t>
        </is>
      </c>
      <c r="D238" t="inlineStr">
        <is>
          <t>3.5mm</t>
        </is>
      </c>
      <c r="E238" t="inlineStr">
        <is>
          <t>Oui</t>
        </is>
      </c>
      <c r="F238" t="inlineStr">
        <is>
          <t>https://headfonics.com/questyle-sigma-pro-review/2/</t>
        </is>
      </c>
      <c r="G238" s="26" t="inlineStr">
        <is>
          <t>Headphone out: 3.5mm / 6.35mm SE / 4.4mm balanced out</t>
        </is>
      </c>
      <c r="H238" t="inlineStr">
        <is>
          <t>2026-08-10</t>
        </is>
      </c>
    </row>
    <row r="239">
      <c r="A239" t="n">
        <v>41</v>
      </c>
      <c r="B239" t="inlineStr">
        <is>
          <t>Questyle</t>
        </is>
      </c>
      <c r="C239" t="inlineStr">
        <is>
          <t>SIGMA Pro</t>
        </is>
      </c>
      <c r="D239" t="inlineStr">
        <is>
          <t>4.4mm</t>
        </is>
      </c>
      <c r="E239" t="inlineStr">
        <is>
          <t>Oui</t>
        </is>
      </c>
      <c r="F239" t="inlineStr">
        <is>
          <t>https://headfonics.com/questyle-sigma-pro-review/2/</t>
        </is>
      </c>
      <c r="G239" s="26" t="inlineStr">
        <is>
          <t>Headphone out: 3.5mm / 6.35mm SE / 4.4mm balanced out</t>
        </is>
      </c>
      <c r="H239" t="inlineStr">
        <is>
          <t>2026-08-10</t>
        </is>
      </c>
    </row>
    <row r="240">
      <c r="A240" t="n">
        <v>41</v>
      </c>
      <c r="B240" t="inlineStr">
        <is>
          <t>Questyle</t>
        </is>
      </c>
      <c r="C240" t="inlineStr">
        <is>
          <t>SIGMA Pro</t>
        </is>
      </c>
      <c r="D240" t="inlineStr">
        <is>
          <t>2.5mm</t>
        </is>
      </c>
      <c r="E240" t="inlineStr">
        <is>
          <t>Non</t>
        </is>
      </c>
      <c r="F240" t="inlineStr">
        <is>
          <t>https://headfonics.com/questyle-sigma-pro-review/2/</t>
        </is>
      </c>
      <c r="G240" s="26" t="inlineStr">
        <is>
          <t>Headphone out: 3.5mm / 6.35mm SE / 4.4mm balanced out</t>
        </is>
      </c>
      <c r="H240" t="inlineStr">
        <is>
          <t>2026-08-10</t>
        </is>
      </c>
    </row>
    <row r="241">
      <c r="A241" t="n">
        <v>41</v>
      </c>
      <c r="B241" t="inlineStr">
        <is>
          <t>Questyle</t>
        </is>
      </c>
      <c r="C241" t="inlineStr">
        <is>
          <t>SIGMA Pro</t>
        </is>
      </c>
      <c r="D241" t="inlineStr">
        <is>
          <t>6.35mm</t>
        </is>
      </c>
      <c r="E241" t="inlineStr">
        <is>
          <t>Oui</t>
        </is>
      </c>
      <c r="F241" t="inlineStr">
        <is>
          <t>https://headfonics.com/questyle-sigma-pro-review/2/</t>
        </is>
      </c>
      <c r="G241" s="26" t="inlineStr">
        <is>
          <t>Headphone out: 3.5mm / 6.35mm SE / 4.4mm balanced out</t>
        </is>
      </c>
      <c r="H241" t="inlineStr">
        <is>
          <t>2026-08-10</t>
        </is>
      </c>
    </row>
    <row r="242">
      <c r="A242" t="n">
        <v>41</v>
      </c>
      <c r="B242" t="inlineStr">
        <is>
          <t>Questyle</t>
        </is>
      </c>
      <c r="C242" t="inlineStr">
        <is>
          <t>SIGMA Pro</t>
        </is>
      </c>
      <c r="D242" t="inlineStr">
        <is>
          <t>XLR</t>
        </is>
      </c>
      <c r="E242" t="inlineStr">
        <is>
          <t>Non</t>
        </is>
      </c>
      <c r="F242" t="inlineStr">
        <is>
          <t>https://headfonics.com/questyle-sigma-pro-review/2/</t>
        </is>
      </c>
      <c r="G242" s="26" t="inlineStr">
        <is>
          <t>Headphone out: 3.5mm / 6.35mm SE / 4.4mm balanced out</t>
        </is>
      </c>
      <c r="H242" t="inlineStr">
        <is>
          <t>2026-08-10</t>
        </is>
      </c>
    </row>
    <row r="243">
      <c r="A243" t="n">
        <v>42</v>
      </c>
      <c r="B243" t="inlineStr">
        <is>
          <t>iBasso</t>
        </is>
      </c>
      <c r="C243" t="inlineStr">
        <is>
          <t>D17 Atheris</t>
        </is>
      </c>
      <c r="D243" t="inlineStr">
        <is>
          <t>Batterie</t>
        </is>
      </c>
      <c r="E243" t="inlineStr">
        <is>
          <t>Oui</t>
        </is>
      </c>
      <c r="F243" t="inlineStr">
        <is>
          <t>https://headfonics.com/ibasso-d17-atheris-review/3/</t>
        </is>
      </c>
      <c r="G243" s="26" t="inlineStr">
        <is>
          <t>Charging Time: 3 hours Battery Life: 15 hours</t>
        </is>
      </c>
      <c r="H243" t="inlineStr">
        <is>
          <t>2026-08-10</t>
        </is>
      </c>
    </row>
    <row r="244">
      <c r="A244" t="n">
        <v>42</v>
      </c>
      <c r="B244" t="inlineStr">
        <is>
          <t>iBasso</t>
        </is>
      </c>
      <c r="C244" t="inlineStr">
        <is>
          <t>D17 Atheris</t>
        </is>
      </c>
      <c r="D244" t="inlineStr">
        <is>
          <t>Bluetooth</t>
        </is>
      </c>
      <c r="E244" t="inlineStr">
        <is>
          <t>Non</t>
        </is>
      </c>
      <c r="F244" t="inlineStr">
        <is>
          <t>https://headfonics.com/ibasso-d17-atheris-review/3/</t>
        </is>
      </c>
      <c r="G244" s="26" t="inlineStr">
        <is>
          <t>There is no wireless or local playback, but it delivers a more natural, analog sound signature from its Nutube amplification.</t>
        </is>
      </c>
      <c r="H244" t="inlineStr">
        <is>
          <t>2026-08-10</t>
        </is>
      </c>
    </row>
    <row r="245">
      <c r="A245" t="n">
        <v>42</v>
      </c>
      <c r="B245" t="inlineStr">
        <is>
          <t>iBasso</t>
        </is>
      </c>
      <c r="C245" t="inlineStr">
        <is>
          <t>D17 Atheris</t>
        </is>
      </c>
      <c r="D245" t="inlineStr">
        <is>
          <t>3.5mm</t>
        </is>
      </c>
      <c r="E245" t="inlineStr">
        <is>
          <t>Oui</t>
        </is>
      </c>
      <c r="F245" t="inlineStr">
        <is>
          <t>https://headfonics.com/ibasso-d17-atheris-review/3/</t>
        </is>
      </c>
      <c r="G245" s="26" t="inlineStr">
        <is>
          <t>Output Interface - 4.4mm balanced PO/LO, 3.5mm single-ended PO/LO</t>
        </is>
      </c>
      <c r="H245" t="inlineStr">
        <is>
          <t>2026-08-10</t>
        </is>
      </c>
    </row>
    <row r="246">
      <c r="A246" t="n">
        <v>42</v>
      </c>
      <c r="B246" t="inlineStr">
        <is>
          <t>iBasso</t>
        </is>
      </c>
      <c r="C246" t="inlineStr">
        <is>
          <t>D17 Atheris</t>
        </is>
      </c>
      <c r="D246" t="inlineStr">
        <is>
          <t>4.4mm</t>
        </is>
      </c>
      <c r="E246" t="inlineStr">
        <is>
          <t>Oui</t>
        </is>
      </c>
      <c r="F246" t="inlineStr">
        <is>
          <t>https://headfonics.com/ibasso-d17-atheris-review/3/</t>
        </is>
      </c>
      <c r="G246" s="26" t="inlineStr">
        <is>
          <t>Output Interface - 4.4mm balanced PO/LO, 3.5mm single-ended PO/LO</t>
        </is>
      </c>
      <c r="H246" t="inlineStr">
        <is>
          <t>2026-08-10</t>
        </is>
      </c>
    </row>
    <row r="247">
      <c r="A247" t="n">
        <v>42</v>
      </c>
      <c r="B247" t="inlineStr">
        <is>
          <t>iBasso</t>
        </is>
      </c>
      <c r="C247" t="inlineStr">
        <is>
          <t>D17 Atheris</t>
        </is>
      </c>
      <c r="D247" t="inlineStr">
        <is>
          <t>2.5mm</t>
        </is>
      </c>
      <c r="E247" t="inlineStr">
        <is>
          <t>Non</t>
        </is>
      </c>
      <c r="F247" t="inlineStr">
        <is>
          <t>https://headfonics.com/ibasso-d17-atheris-review/3/</t>
        </is>
      </c>
      <c r="G247" s="26" t="inlineStr">
        <is>
          <t>Output Interface - 4.4mm balanced PO/LO, 3.5mm single-ended PO/LO</t>
        </is>
      </c>
      <c r="H247" t="inlineStr">
        <is>
          <t>2026-08-10</t>
        </is>
      </c>
    </row>
    <row r="248">
      <c r="A248" t="n">
        <v>42</v>
      </c>
      <c r="B248" t="inlineStr">
        <is>
          <t>iBasso</t>
        </is>
      </c>
      <c r="C248" t="inlineStr">
        <is>
          <t>D17 Atheris</t>
        </is>
      </c>
      <c r="D248" t="inlineStr">
        <is>
          <t>6.35mm</t>
        </is>
      </c>
      <c r="E248" t="inlineStr">
        <is>
          <t>Non</t>
        </is>
      </c>
      <c r="F248" t="inlineStr">
        <is>
          <t>https://headfonics.com/ibasso-d17-atheris-review/3/</t>
        </is>
      </c>
      <c r="G248" s="26" t="inlineStr">
        <is>
          <t>Output Interface - 4.4mm balanced PO/LO, 3.5mm single-ended PO/LO</t>
        </is>
      </c>
      <c r="H248" t="inlineStr">
        <is>
          <t>2026-08-10</t>
        </is>
      </c>
    </row>
    <row r="249">
      <c r="A249" t="n">
        <v>42</v>
      </c>
      <c r="B249" t="inlineStr">
        <is>
          <t>iBasso</t>
        </is>
      </c>
      <c r="C249" t="inlineStr">
        <is>
          <t>D17 Atheris</t>
        </is>
      </c>
      <c r="D249" t="inlineStr">
        <is>
          <t>XLR</t>
        </is>
      </c>
      <c r="E249" t="inlineStr">
        <is>
          <t>Non</t>
        </is>
      </c>
      <c r="F249" t="inlineStr">
        <is>
          <t>https://headfonics.com/ibasso-d17-atheris-review/3/</t>
        </is>
      </c>
      <c r="G249" s="26" t="inlineStr">
        <is>
          <t>Output Interface - 4.4mm balanced PO/LO, 3.5mm single-ended PO/LO</t>
        </is>
      </c>
      <c r="H249" t="inlineStr">
        <is>
          <t>2026-08-10</t>
        </is>
      </c>
    </row>
    <row r="250">
      <c r="A250" t="n">
        <v>43</v>
      </c>
      <c r="B250" t="inlineStr">
        <is>
          <t>Cayin</t>
        </is>
      </c>
      <c r="C250" t="inlineStr">
        <is>
          <t>RU3</t>
        </is>
      </c>
      <c r="D250" t="inlineStr">
        <is>
          <t>Batterie</t>
        </is>
      </c>
      <c r="E250" t="inlineStr">
        <is>
          <t>Non</t>
        </is>
      </c>
      <c r="F250" t="inlineStr">
        <is>
          <t>https://porta-fi.com/cayin-ru3-review-usb-c-dongle-dac-amp-4-4mm-balanced-output/</t>
        </is>
      </c>
      <c r="G250" s="26" t="inlineStr">
        <is>
          <t>Because the RU3 is USB-powered, this matters in real listening.</t>
        </is>
      </c>
      <c r="H250" t="inlineStr">
        <is>
          <t>2026-08-10</t>
        </is>
      </c>
    </row>
    <row r="251">
      <c r="A251" t="n">
        <v>43</v>
      </c>
      <c r="B251" t="inlineStr">
        <is>
          <t>Cayin</t>
        </is>
      </c>
      <c r="C251" t="inlineStr">
        <is>
          <t>RU3</t>
        </is>
      </c>
      <c r="D251" t="inlineStr">
        <is>
          <t>Bluetooth</t>
        </is>
      </c>
      <c r="E251" t="inlineStr">
        <is>
          <t>Non</t>
        </is>
      </c>
      <c r="F251" t="inlineStr">
        <is>
          <t>https://porta-fi.com/cayin-ru3-review-usb-c-dongle-dac-amp-4-4mm-balanced-output/</t>
        </is>
      </c>
      <c r="G251" s="26" t="inlineStr">
        <is>
          <t>– Input Port | USB Type-C (USB 2.0)</t>
        </is>
      </c>
      <c r="H251" t="inlineStr">
        <is>
          <t>2026-08-10</t>
        </is>
      </c>
    </row>
    <row r="252">
      <c r="A252" t="n">
        <v>43</v>
      </c>
      <c r="B252" t="inlineStr">
        <is>
          <t>Cayin</t>
        </is>
      </c>
      <c r="C252" t="inlineStr">
        <is>
          <t>RU3</t>
        </is>
      </c>
      <c r="D252" t="inlineStr">
        <is>
          <t>3.5mm</t>
        </is>
      </c>
      <c r="E252" t="inlineStr">
        <is>
          <t>Oui</t>
        </is>
      </c>
      <c r="F252" t="inlineStr">
        <is>
          <t>https://headfonics.com/cayin-ru3-review/2/</t>
        </is>
      </c>
      <c r="G252" s="26" t="inlineStr">
        <is>
          <t>Output: 3.5mm SE / 4.4mm BAL (PO/LO shared)</t>
        </is>
      </c>
      <c r="H252" t="inlineStr">
        <is>
          <t>2026-08-10</t>
        </is>
      </c>
    </row>
    <row r="253">
      <c r="A253" t="n">
        <v>43</v>
      </c>
      <c r="B253" t="inlineStr">
        <is>
          <t>Cayin</t>
        </is>
      </c>
      <c r="C253" t="inlineStr">
        <is>
          <t>RU3</t>
        </is>
      </c>
      <c r="D253" t="inlineStr">
        <is>
          <t>4.4mm</t>
        </is>
      </c>
      <c r="E253" t="inlineStr">
        <is>
          <t>Oui</t>
        </is>
      </c>
      <c r="F253" t="inlineStr">
        <is>
          <t>https://headfonics.com/cayin-ru3-review/2/</t>
        </is>
      </c>
      <c r="G253" s="26" t="inlineStr">
        <is>
          <t>Output: 3.5mm SE / 4.4mm BAL (PO/LO shared)</t>
        </is>
      </c>
      <c r="H253" t="inlineStr">
        <is>
          <t>2026-08-10</t>
        </is>
      </c>
    </row>
    <row r="254">
      <c r="A254" t="n">
        <v>43</v>
      </c>
      <c r="B254" t="inlineStr">
        <is>
          <t>Cayin</t>
        </is>
      </c>
      <c r="C254" t="inlineStr">
        <is>
          <t>RU3</t>
        </is>
      </c>
      <c r="D254" t="inlineStr">
        <is>
          <t>2.5mm</t>
        </is>
      </c>
      <c r="E254" t="inlineStr">
        <is>
          <t>Non</t>
        </is>
      </c>
      <c r="F254" t="inlineStr">
        <is>
          <t>https://headfonics.com/cayin-ru3-review/2/</t>
        </is>
      </c>
      <c r="G254" s="26" t="inlineStr">
        <is>
          <t>Output: 3.5mm SE / 4.4mm BAL (PO/LO shared)</t>
        </is>
      </c>
      <c r="H254" t="inlineStr">
        <is>
          <t>2026-08-10</t>
        </is>
      </c>
    </row>
    <row r="255">
      <c r="A255" t="n">
        <v>43</v>
      </c>
      <c r="B255" t="inlineStr">
        <is>
          <t>Cayin</t>
        </is>
      </c>
      <c r="C255" t="inlineStr">
        <is>
          <t>RU3</t>
        </is>
      </c>
      <c r="D255" t="inlineStr">
        <is>
          <t>6.35mm</t>
        </is>
      </c>
      <c r="E255" t="inlineStr">
        <is>
          <t>Non</t>
        </is>
      </c>
      <c r="F255" t="inlineStr">
        <is>
          <t>https://headfonics.com/cayin-ru3-review/2/</t>
        </is>
      </c>
      <c r="G255" s="26" t="inlineStr">
        <is>
          <t>Output: 3.5mm SE / 4.4mm BAL (PO/LO shared)</t>
        </is>
      </c>
      <c r="H255" t="inlineStr">
        <is>
          <t>2026-08-10</t>
        </is>
      </c>
    </row>
    <row r="256">
      <c r="A256" t="n">
        <v>43</v>
      </c>
      <c r="B256" t="inlineStr">
        <is>
          <t>Cayin</t>
        </is>
      </c>
      <c r="C256" t="inlineStr">
        <is>
          <t>RU3</t>
        </is>
      </c>
      <c r="D256" t="inlineStr">
        <is>
          <t>XLR</t>
        </is>
      </c>
      <c r="E256" t="inlineStr">
        <is>
          <t>Non</t>
        </is>
      </c>
      <c r="F256" t="inlineStr">
        <is>
          <t>https://headfonics.com/cayin-ru3-review/2/</t>
        </is>
      </c>
      <c r="G256" s="26" t="inlineStr">
        <is>
          <t>Output: 3.5mm SE / 4.4mm BAL (PO/LO shared)</t>
        </is>
      </c>
      <c r="H256" t="inlineStr">
        <is>
          <t>2026-08-10</t>
        </is>
      </c>
    </row>
    <row r="257">
      <c r="A257" t="n">
        <v>43</v>
      </c>
      <c r="B257" t="inlineStr">
        <is>
          <t>Cayin</t>
        </is>
      </c>
      <c r="C257" t="inlineStr">
        <is>
          <t>RU3</t>
        </is>
      </c>
      <c r="D257" t="inlineStr">
        <is>
          <t>DSP/PEQ</t>
        </is>
      </c>
      <c r="E257" t="inlineStr">
        <is>
          <t>Oui</t>
        </is>
      </c>
      <c r="F257" t="inlineStr">
        <is>
          <t>https://headfonics.com/cayin-ru3-review/2/</t>
        </is>
      </c>
      <c r="G257" s="26" t="inlineStr">
        <is>
          <t>I highly appreciate that it has a companion app called the Cayin Control app, which is very easy to use and with value add features such as a 10-band parametric EQ.</t>
        </is>
      </c>
      <c r="H257" t="inlineStr">
        <is>
          <t>2026-08-10</t>
        </is>
      </c>
    </row>
    <row r="258">
      <c r="A258" t="n">
        <v>44</v>
      </c>
      <c r="B258" t="inlineStr">
        <is>
          <t>FiiO</t>
        </is>
      </c>
      <c r="C258" t="inlineStr">
        <is>
          <t>SNOWSKY Tiny</t>
        </is>
      </c>
      <c r="D258" t="inlineStr">
        <is>
          <t>3.5mm</t>
        </is>
      </c>
      <c r="E258" t="inlineStr">
        <is>
          <t>Oui</t>
        </is>
      </c>
      <c r="F258" t="inlineStr">
        <is>
          <t>https://headfonics.com/fiio-snowsky-tiny-review/2/</t>
        </is>
      </c>
      <c r="G258" s="26" t="inlineStr">
        <is>
          <t>Headphone Jack: 3.5mm (single-ended), 4.4mm (balanced)</t>
        </is>
      </c>
      <c r="H258" t="inlineStr">
        <is>
          <t>2026-08-10</t>
        </is>
      </c>
    </row>
    <row r="259">
      <c r="A259" t="n">
        <v>44</v>
      </c>
      <c r="B259" t="inlineStr">
        <is>
          <t>FiiO</t>
        </is>
      </c>
      <c r="C259" t="inlineStr">
        <is>
          <t>SNOWSKY Tiny</t>
        </is>
      </c>
      <c r="D259" t="inlineStr">
        <is>
          <t>4.4mm</t>
        </is>
      </c>
      <c r="E259" t="inlineStr">
        <is>
          <t>Selon variante</t>
        </is>
      </c>
      <c r="F259" t="inlineStr">
        <is>
          <t>https://headfonics.com/fiio-snowsky-tiny-review/2/</t>
        </is>
      </c>
      <c r="G259" s="26" t="inlineStr">
        <is>
          <t>Headphone Jack: 3.5mm (single-ended), 4.4mm (balanced)</t>
        </is>
      </c>
      <c r="H259" t="inlineStr">
        <is>
          <t>2026-08-10</t>
        </is>
      </c>
    </row>
    <row r="260">
      <c r="A260" t="n">
        <v>44</v>
      </c>
      <c r="B260" t="inlineStr">
        <is>
          <t>FiiO</t>
        </is>
      </c>
      <c r="C260" t="inlineStr">
        <is>
          <t>SNOWSKY Tiny</t>
        </is>
      </c>
      <c r="D260" t="inlineStr">
        <is>
          <t>2.5mm</t>
        </is>
      </c>
      <c r="E260" t="inlineStr">
        <is>
          <t>Non</t>
        </is>
      </c>
      <c r="F260" t="inlineStr">
        <is>
          <t>https://headfonics.com/fiio-snowsky-tiny-review/2/</t>
        </is>
      </c>
      <c r="G260" s="26" t="inlineStr">
        <is>
          <t>Headphone Jack: 3.5mm (single-ended), 4.4mm (balanced)</t>
        </is>
      </c>
      <c r="H260" t="inlineStr">
        <is>
          <t>2026-08-10</t>
        </is>
      </c>
    </row>
    <row r="261">
      <c r="A261" t="n">
        <v>44</v>
      </c>
      <c r="B261" t="inlineStr">
        <is>
          <t>FiiO</t>
        </is>
      </c>
      <c r="C261" t="inlineStr">
        <is>
          <t>SNOWSKY Tiny</t>
        </is>
      </c>
      <c r="D261" t="inlineStr">
        <is>
          <t>6.35mm</t>
        </is>
      </c>
      <c r="E261" t="inlineStr">
        <is>
          <t>Non</t>
        </is>
      </c>
      <c r="F261" t="inlineStr">
        <is>
          <t>https://headfonics.com/fiio-snowsky-tiny-review/2/</t>
        </is>
      </c>
      <c r="G261" s="26" t="inlineStr">
        <is>
          <t>Headphone Jack: 3.5mm (single-ended), 4.4mm (balanced)</t>
        </is>
      </c>
      <c r="H261" t="inlineStr">
        <is>
          <t>2026-08-10</t>
        </is>
      </c>
    </row>
    <row r="262">
      <c r="A262" t="n">
        <v>44</v>
      </c>
      <c r="B262" t="inlineStr">
        <is>
          <t>FiiO</t>
        </is>
      </c>
      <c r="C262" t="inlineStr">
        <is>
          <t>SNOWSKY Tiny</t>
        </is>
      </c>
      <c r="D262" t="inlineStr">
        <is>
          <t>XLR</t>
        </is>
      </c>
      <c r="E262" t="inlineStr">
        <is>
          <t>Non</t>
        </is>
      </c>
      <c r="F262" t="inlineStr">
        <is>
          <t>https://headfonics.com/fiio-snowsky-tiny-review/2/</t>
        </is>
      </c>
      <c r="G262" s="26" t="inlineStr">
        <is>
          <t>Headphone Jack: 3.5mm (single-ended), 4.4mm (balanced)</t>
        </is>
      </c>
      <c r="H262" t="inlineStr">
        <is>
          <t>2026-08-10</t>
        </is>
      </c>
    </row>
    <row r="263">
      <c r="A263" t="n">
        <v>44</v>
      </c>
      <c r="B263" t="inlineStr">
        <is>
          <t>FiiO</t>
        </is>
      </c>
      <c r="C263" t="inlineStr">
        <is>
          <t>SNOWSKY Tiny</t>
        </is>
      </c>
      <c r="D263" t="inlineStr">
        <is>
          <t>DSP/PEQ</t>
        </is>
      </c>
      <c r="E263" t="inlineStr">
        <is>
          <t>Oui</t>
        </is>
      </c>
      <c r="F263" t="inlineStr">
        <is>
          <t>https://headfonics.com/fiio-snowsky-tiny-review/2/</t>
        </is>
      </c>
      <c r="G263" s="26" t="inlineStr">
        <is>
          <t>Its main feature is the 10-band PEQ, which the SD2 completely lacks.</t>
        </is>
      </c>
      <c r="H263" t="inlineStr">
        <is>
          <t>2026-08-10</t>
        </is>
      </c>
    </row>
    <row r="264">
      <c r="A264" t="n">
        <v>45</v>
      </c>
      <c r="B264" t="inlineStr">
        <is>
          <t>Khadas</t>
        </is>
      </c>
      <c r="C264" t="inlineStr">
        <is>
          <t>Tea Pro</t>
        </is>
      </c>
      <c r="D264" t="inlineStr">
        <is>
          <t>Batterie</t>
        </is>
      </c>
      <c r="E264" t="inlineStr">
        <is>
          <t>Oui</t>
        </is>
      </c>
      <c r="F264" t="inlineStr">
        <is>
          <t>https://www.khadas.com/tea-pro</t>
        </is>
      </c>
      <c r="G264" s="26" t="inlineStr">
        <is>
          <t>2100 mAh battery for independent power — won’t drain your phone.</t>
        </is>
      </c>
      <c r="H264" t="inlineStr">
        <is>
          <t>2026-08-10</t>
        </is>
      </c>
    </row>
    <row r="265">
      <c r="A265" t="n">
        <v>45</v>
      </c>
      <c r="B265" t="inlineStr">
        <is>
          <t>Khadas</t>
        </is>
      </c>
      <c r="C265" t="inlineStr">
        <is>
          <t>Tea Pro</t>
        </is>
      </c>
      <c r="D265" t="inlineStr">
        <is>
          <t>Bluetooth</t>
        </is>
      </c>
      <c r="E265" t="inlineStr">
        <is>
          <t>Oui</t>
        </is>
      </c>
      <c r="F265" t="inlineStr">
        <is>
          <t>https://www.khadas.com/tea-pro</t>
        </is>
      </c>
      <c r="G265" s="26" t="inlineStr">
        <is>
          <t>Bluetooth Codec Support SBC/AAC/LDAC/aptX/aptX HD/aptX Adaptive</t>
        </is>
      </c>
      <c r="H265" t="inlineStr">
        <is>
          <t>2026-08-10</t>
        </is>
      </c>
    </row>
    <row r="266">
      <c r="A266" t="n">
        <v>45</v>
      </c>
      <c r="B266" t="inlineStr">
        <is>
          <t>Khadas</t>
        </is>
      </c>
      <c r="C266" t="inlineStr">
        <is>
          <t>Tea Pro</t>
        </is>
      </c>
      <c r="D266" t="inlineStr">
        <is>
          <t>3.5mm</t>
        </is>
      </c>
      <c r="E266" t="inlineStr">
        <is>
          <t>Oui</t>
        </is>
      </c>
      <c r="F266" t="inlineStr">
        <is>
          <t>https://www.khadas.com/tea-pro</t>
        </is>
      </c>
      <c r="G266" s="26" t="inlineStr">
        <is>
          <t>Headphone Jack 3.5 mm headphone jack 4.4 mm headphone jack</t>
        </is>
      </c>
      <c r="H266" t="inlineStr">
        <is>
          <t>2026-08-10</t>
        </is>
      </c>
    </row>
    <row r="267">
      <c r="A267" t="n">
        <v>45</v>
      </c>
      <c r="B267" t="inlineStr">
        <is>
          <t>Khadas</t>
        </is>
      </c>
      <c r="C267" t="inlineStr">
        <is>
          <t>Tea Pro</t>
        </is>
      </c>
      <c r="D267" t="inlineStr">
        <is>
          <t>4.4mm</t>
        </is>
      </c>
      <c r="E267" t="inlineStr">
        <is>
          <t>Oui</t>
        </is>
      </c>
      <c r="F267" t="inlineStr">
        <is>
          <t>https://www.khadas.com/tea-pro</t>
        </is>
      </c>
      <c r="G267" s="26" t="inlineStr">
        <is>
          <t>Headphone Jack 3.5 mm headphone jack 4.4 mm headphone jack</t>
        </is>
      </c>
      <c r="H267" t="inlineStr">
        <is>
          <t>2026-08-10</t>
        </is>
      </c>
    </row>
    <row r="268">
      <c r="A268" t="n">
        <v>45</v>
      </c>
      <c r="B268" t="inlineStr">
        <is>
          <t>Khadas</t>
        </is>
      </c>
      <c r="C268" t="inlineStr">
        <is>
          <t>Tea Pro</t>
        </is>
      </c>
      <c r="D268" t="inlineStr">
        <is>
          <t>2.5mm</t>
        </is>
      </c>
      <c r="E268" t="inlineStr">
        <is>
          <t>Non</t>
        </is>
      </c>
      <c r="F268" t="inlineStr">
        <is>
          <t>https://www.khadas.com/tea-pro</t>
        </is>
      </c>
      <c r="G268" s="26" t="inlineStr">
        <is>
          <t>Headphone Jack 3.5 mm headphone jack 4.4 mm headphone jack</t>
        </is>
      </c>
      <c r="H268" t="inlineStr">
        <is>
          <t>2026-08-10</t>
        </is>
      </c>
    </row>
    <row r="269">
      <c r="A269" t="n">
        <v>45</v>
      </c>
      <c r="B269" t="inlineStr">
        <is>
          <t>Khadas</t>
        </is>
      </c>
      <c r="C269" t="inlineStr">
        <is>
          <t>Tea Pro</t>
        </is>
      </c>
      <c r="D269" t="inlineStr">
        <is>
          <t>6.35mm</t>
        </is>
      </c>
      <c r="E269" t="inlineStr">
        <is>
          <t>Non</t>
        </is>
      </c>
      <c r="F269" t="inlineStr">
        <is>
          <t>https://www.khadas.com/tea-pro</t>
        </is>
      </c>
      <c r="G269" s="26" t="inlineStr">
        <is>
          <t>Headphone Jack 3.5 mm headphone jack 4.4 mm headphone jack</t>
        </is>
      </c>
      <c r="H269" t="inlineStr">
        <is>
          <t>2026-08-10</t>
        </is>
      </c>
    </row>
    <row r="270">
      <c r="A270" t="n">
        <v>45</v>
      </c>
      <c r="B270" t="inlineStr">
        <is>
          <t>Khadas</t>
        </is>
      </c>
      <c r="C270" t="inlineStr">
        <is>
          <t>Tea Pro</t>
        </is>
      </c>
      <c r="D270" t="inlineStr">
        <is>
          <t>XLR</t>
        </is>
      </c>
      <c r="E270" t="inlineStr">
        <is>
          <t>Non</t>
        </is>
      </c>
      <c r="F270" t="inlineStr">
        <is>
          <t>https://www.khadas.com/tea-pro</t>
        </is>
      </c>
      <c r="G270" s="26" t="inlineStr">
        <is>
          <t>Headphone Jack 3.5 mm headphone jack 4.4 mm headphone jack</t>
        </is>
      </c>
      <c r="H270" t="inlineStr">
        <is>
          <t>2026-08-10</t>
        </is>
      </c>
    </row>
    <row r="271">
      <c r="A271" t="n">
        <v>46</v>
      </c>
      <c r="B271" t="inlineStr">
        <is>
          <t>ddHiFi</t>
        </is>
      </c>
      <c r="C271" t="inlineStr">
        <is>
          <t>TC44Grip</t>
        </is>
      </c>
      <c r="D271" t="inlineStr">
        <is>
          <t>3.5mm</t>
        </is>
      </c>
      <c r="E271" t="inlineStr">
        <is>
          <t>Oui</t>
        </is>
      </c>
      <c r="F271" t="inlineStr">
        <is>
          <t>https://headfonics.com/ddhifi-tc44grip-review/2/</t>
        </is>
      </c>
      <c r="G271" s="26" t="inlineStr">
        <is>
          <t>Output(s): 3.5mm Single-Ended and 4.4mm Balanced</t>
        </is>
      </c>
      <c r="H271" t="inlineStr">
        <is>
          <t>2026-08-10</t>
        </is>
      </c>
    </row>
    <row r="272">
      <c r="A272" t="n">
        <v>46</v>
      </c>
      <c r="B272" t="inlineStr">
        <is>
          <t>ddHiFi</t>
        </is>
      </c>
      <c r="C272" t="inlineStr">
        <is>
          <t>TC44Grip</t>
        </is>
      </c>
      <c r="D272" t="inlineStr">
        <is>
          <t>4.4mm</t>
        </is>
      </c>
      <c r="E272" t="inlineStr">
        <is>
          <t>Oui</t>
        </is>
      </c>
      <c r="F272" t="inlineStr">
        <is>
          <t>https://headfonics.com/ddhifi-tc44grip-review/2/</t>
        </is>
      </c>
      <c r="G272" s="26" t="inlineStr">
        <is>
          <t>Output(s): 3.5mm Single-Ended and 4.4mm Balanced</t>
        </is>
      </c>
      <c r="H272" t="inlineStr">
        <is>
          <t>2026-08-10</t>
        </is>
      </c>
    </row>
    <row r="273">
      <c r="A273" t="n">
        <v>46</v>
      </c>
      <c r="B273" t="inlineStr">
        <is>
          <t>ddHiFi</t>
        </is>
      </c>
      <c r="C273" t="inlineStr">
        <is>
          <t>TC44Grip</t>
        </is>
      </c>
      <c r="D273" t="inlineStr">
        <is>
          <t>2.5mm</t>
        </is>
      </c>
      <c r="E273" t="inlineStr">
        <is>
          <t>Non</t>
        </is>
      </c>
      <c r="F273" t="inlineStr">
        <is>
          <t>https://headfonics.com/ddhifi-tc44grip-review/2/</t>
        </is>
      </c>
      <c r="G273" s="26" t="inlineStr">
        <is>
          <t>Output(s): 3.5mm Single-Ended and 4.4mm Balanced</t>
        </is>
      </c>
      <c r="H273" t="inlineStr">
        <is>
          <t>2026-08-10</t>
        </is>
      </c>
    </row>
    <row r="274">
      <c r="A274" t="n">
        <v>46</v>
      </c>
      <c r="B274" t="inlineStr">
        <is>
          <t>ddHiFi</t>
        </is>
      </c>
      <c r="C274" t="inlineStr">
        <is>
          <t>TC44Grip</t>
        </is>
      </c>
      <c r="D274" t="inlineStr">
        <is>
          <t>6.35mm</t>
        </is>
      </c>
      <c r="E274" t="inlineStr">
        <is>
          <t>Non</t>
        </is>
      </c>
      <c r="F274" t="inlineStr">
        <is>
          <t>https://headfonics.com/ddhifi-tc44grip-review/2/</t>
        </is>
      </c>
      <c r="G274" s="26" t="inlineStr">
        <is>
          <t>Output(s): 3.5mm Single-Ended and 4.4mm Balanced</t>
        </is>
      </c>
      <c r="H274" t="inlineStr">
        <is>
          <t>2026-08-10</t>
        </is>
      </c>
    </row>
    <row r="275">
      <c r="A275" t="n">
        <v>46</v>
      </c>
      <c r="B275" t="inlineStr">
        <is>
          <t>ddHiFi</t>
        </is>
      </c>
      <c r="C275" t="inlineStr">
        <is>
          <t>TC44Grip</t>
        </is>
      </c>
      <c r="D275" t="inlineStr">
        <is>
          <t>XLR</t>
        </is>
      </c>
      <c r="E275" t="inlineStr">
        <is>
          <t>Non</t>
        </is>
      </c>
      <c r="F275" t="inlineStr">
        <is>
          <t>https://headfonics.com/ddhifi-tc44grip-review/2/</t>
        </is>
      </c>
      <c r="G275" s="26" t="inlineStr">
        <is>
          <t>Output(s): 3.5mm Single-Ended and 4.4mm Balanced</t>
        </is>
      </c>
      <c r="H275" t="inlineStr">
        <is>
          <t>2026-08-10</t>
        </is>
      </c>
    </row>
    <row r="276">
      <c r="A276" t="n">
        <v>47</v>
      </c>
      <c r="B276" t="inlineStr">
        <is>
          <t>ddHiFi</t>
        </is>
      </c>
      <c r="C276" t="inlineStr">
        <is>
          <t>TC44 Pro E3</t>
        </is>
      </c>
      <c r="D276" t="inlineStr">
        <is>
          <t>Bluetooth</t>
        </is>
      </c>
      <c r="E276" t="inlineStr">
        <is>
          <t>Non</t>
        </is>
      </c>
      <c r="F276" t="inlineStr">
        <is>
          <t>https://headfonics.com/ddhifi-tc44-pro-e3-review/2/</t>
        </is>
      </c>
      <c r="G276" s="26" t="inlineStr">
        <is>
          <t>Unlike the Artemis39, it is a pure wired dongle with a swappable USB-C cable and an ultra-compact form factor</t>
        </is>
      </c>
      <c r="H276" t="inlineStr">
        <is>
          <t>2026-08-10</t>
        </is>
      </c>
    </row>
    <row r="277">
      <c r="A277" t="n">
        <v>47</v>
      </c>
      <c r="B277" t="inlineStr">
        <is>
          <t>ddHiFi</t>
        </is>
      </c>
      <c r="C277" t="inlineStr">
        <is>
          <t>TC44 Pro E3</t>
        </is>
      </c>
      <c r="D277" t="inlineStr">
        <is>
          <t>3.5mm</t>
        </is>
      </c>
      <c r="E277" t="inlineStr">
        <is>
          <t>Oui</t>
        </is>
      </c>
      <c r="F277" t="inlineStr">
        <is>
          <t>https://headfonics.com/ddhifi-tc44-pro-e3-review/2/</t>
        </is>
      </c>
      <c r="G277" s="26" t="inlineStr">
        <is>
          <t>Output(s): 3.5mm Single-Ended and 4.4mm Balanced</t>
        </is>
      </c>
      <c r="H277" t="inlineStr">
        <is>
          <t>2026-08-10</t>
        </is>
      </c>
    </row>
    <row r="278">
      <c r="A278" t="n">
        <v>47</v>
      </c>
      <c r="B278" t="inlineStr">
        <is>
          <t>ddHiFi</t>
        </is>
      </c>
      <c r="C278" t="inlineStr">
        <is>
          <t>TC44 Pro E3</t>
        </is>
      </c>
      <c r="D278" t="inlineStr">
        <is>
          <t>4.4mm</t>
        </is>
      </c>
      <c r="E278" t="inlineStr">
        <is>
          <t>Oui</t>
        </is>
      </c>
      <c r="F278" t="inlineStr">
        <is>
          <t>https://headfonics.com/ddhifi-tc44-pro-e3-review/2/</t>
        </is>
      </c>
      <c r="G278" s="26" t="inlineStr">
        <is>
          <t>Output(s): 3.5mm Single-Ended and 4.4mm Balanced</t>
        </is>
      </c>
      <c r="H278" t="inlineStr">
        <is>
          <t>2026-08-10</t>
        </is>
      </c>
    </row>
    <row r="279">
      <c r="A279" t="n">
        <v>47</v>
      </c>
      <c r="B279" t="inlineStr">
        <is>
          <t>ddHiFi</t>
        </is>
      </c>
      <c r="C279" t="inlineStr">
        <is>
          <t>TC44 Pro E3</t>
        </is>
      </c>
      <c r="D279" t="inlineStr">
        <is>
          <t>2.5mm</t>
        </is>
      </c>
      <c r="E279" t="inlineStr">
        <is>
          <t>Non</t>
        </is>
      </c>
      <c r="F279" t="inlineStr">
        <is>
          <t>https://headfonics.com/ddhifi-tc44-pro-e3-review/2/</t>
        </is>
      </c>
      <c r="G279" s="26" t="inlineStr">
        <is>
          <t>Output(s): 3.5mm Single-Ended and 4.4mm Balanced</t>
        </is>
      </c>
      <c r="H279" t="inlineStr">
        <is>
          <t>2026-08-10</t>
        </is>
      </c>
    </row>
    <row r="280">
      <c r="A280" t="n">
        <v>47</v>
      </c>
      <c r="B280" t="inlineStr">
        <is>
          <t>ddHiFi</t>
        </is>
      </c>
      <c r="C280" t="inlineStr">
        <is>
          <t>TC44 Pro E3</t>
        </is>
      </c>
      <c r="D280" t="inlineStr">
        <is>
          <t>6.35mm</t>
        </is>
      </c>
      <c r="E280" t="inlineStr">
        <is>
          <t>Non</t>
        </is>
      </c>
      <c r="F280" t="inlineStr">
        <is>
          <t>https://headfonics.com/ddhifi-tc44-pro-e3-review/2/</t>
        </is>
      </c>
      <c r="G280" s="26" t="inlineStr">
        <is>
          <t>Output(s): 3.5mm Single-Ended and 4.4mm Balanced</t>
        </is>
      </c>
      <c r="H280" t="inlineStr">
        <is>
          <t>2026-08-10</t>
        </is>
      </c>
    </row>
    <row r="281">
      <c r="A281" t="n">
        <v>47</v>
      </c>
      <c r="B281" t="inlineStr">
        <is>
          <t>ddHiFi</t>
        </is>
      </c>
      <c r="C281" t="inlineStr">
        <is>
          <t>TC44 Pro E3</t>
        </is>
      </c>
      <c r="D281" t="inlineStr">
        <is>
          <t>XLR</t>
        </is>
      </c>
      <c r="E281" t="inlineStr">
        <is>
          <t>Non</t>
        </is>
      </c>
      <c r="F281" t="inlineStr">
        <is>
          <t>https://headfonics.com/ddhifi-tc44-pro-e3-review/2/</t>
        </is>
      </c>
      <c r="G281" s="26" t="inlineStr">
        <is>
          <t>Output(s): 3.5mm Single-Ended and 4.4mm Balanced</t>
        </is>
      </c>
      <c r="H281" t="inlineStr">
        <is>
          <t>2026-08-10</t>
        </is>
      </c>
    </row>
    <row r="282">
      <c r="A282" t="n">
        <v>48</v>
      </c>
      <c r="B282" t="inlineStr">
        <is>
          <t>xDuoo</t>
        </is>
      </c>
      <c r="C282" t="inlineStr">
        <is>
          <t>Link10</t>
        </is>
      </c>
      <c r="D282" t="inlineStr">
        <is>
          <t>Batterie</t>
        </is>
      </c>
      <c r="E282" t="inlineStr">
        <is>
          <t>Non</t>
        </is>
      </c>
      <c r="F282" t="inlineStr">
        <is>
          <t>https://headfonics.com/xduoo-link10-review/</t>
        </is>
      </c>
      <c r="G282" s="26" t="inlineStr">
        <is>
          <t>the device features other mundane aspects such as battery-free operation, 3.5 mm and 4.4 mm Headphone Output Ports, Detachable USB-C Connector Cables, and an Anti-Interference Aluminum Shell.</t>
        </is>
      </c>
      <c r="H282" t="inlineStr">
        <is>
          <t>2026-08-10</t>
        </is>
      </c>
    </row>
    <row r="283">
      <c r="A283" t="n">
        <v>48</v>
      </c>
      <c r="B283" t="inlineStr">
        <is>
          <t>xDuoo</t>
        </is>
      </c>
      <c r="C283" t="inlineStr">
        <is>
          <t>Link10</t>
        </is>
      </c>
      <c r="D283" t="inlineStr">
        <is>
          <t>Bluetooth</t>
        </is>
      </c>
      <c r="E283" t="inlineStr">
        <is>
          <t>Non</t>
        </is>
      </c>
      <c r="F283" t="inlineStr">
        <is>
          <t>https://headfonics.com/xduoo-link10-review/</t>
        </is>
      </c>
      <c r="G283" s="26" t="inlineStr">
        <is>
          <t>The USB-C input port is located at the top, while the 3.5mm and 4.4mm output jacks are positioned at the bottom.</t>
        </is>
      </c>
      <c r="H283" t="inlineStr">
        <is>
          <t>2026-08-10</t>
        </is>
      </c>
    </row>
    <row r="284">
      <c r="A284" t="n">
        <v>48</v>
      </c>
      <c r="B284" t="inlineStr">
        <is>
          <t>xDuoo</t>
        </is>
      </c>
      <c r="C284" t="inlineStr">
        <is>
          <t>Link10</t>
        </is>
      </c>
      <c r="D284" t="inlineStr">
        <is>
          <t>3.5mm</t>
        </is>
      </c>
      <c r="E284" t="inlineStr">
        <is>
          <t>Oui</t>
        </is>
      </c>
      <c r="F284" t="inlineStr">
        <is>
          <t>https://headfonics.com/xduoo-link10-review/</t>
        </is>
      </c>
      <c r="G284" s="26" t="inlineStr">
        <is>
          <t>The USB-C input port is located at the top, while the 3.5mm and 4.4mm output jacks are positioned at the bottom.</t>
        </is>
      </c>
      <c r="H284" t="inlineStr">
        <is>
          <t>2026-08-10</t>
        </is>
      </c>
    </row>
    <row r="285">
      <c r="A285" t="n">
        <v>48</v>
      </c>
      <c r="B285" t="inlineStr">
        <is>
          <t>xDuoo</t>
        </is>
      </c>
      <c r="C285" t="inlineStr">
        <is>
          <t>Link10</t>
        </is>
      </c>
      <c r="D285" t="inlineStr">
        <is>
          <t>4.4mm</t>
        </is>
      </c>
      <c r="E285" t="inlineStr">
        <is>
          <t>Oui</t>
        </is>
      </c>
      <c r="F285" t="inlineStr">
        <is>
          <t>https://headfonics.com/xduoo-link10-review/</t>
        </is>
      </c>
      <c r="G285" s="26" t="inlineStr">
        <is>
          <t>The USB-C input port is located at the top, while the 3.5mm and 4.4mm output jacks are positioned at the bottom.</t>
        </is>
      </c>
      <c r="H285" t="inlineStr">
        <is>
          <t>2026-08-10</t>
        </is>
      </c>
    </row>
    <row r="286">
      <c r="A286" t="n">
        <v>48</v>
      </c>
      <c r="B286" t="inlineStr">
        <is>
          <t>xDuoo</t>
        </is>
      </c>
      <c r="C286" t="inlineStr">
        <is>
          <t>Link10</t>
        </is>
      </c>
      <c r="D286" t="inlineStr">
        <is>
          <t>2.5mm</t>
        </is>
      </c>
      <c r="E286" t="inlineStr">
        <is>
          <t>Non</t>
        </is>
      </c>
      <c r="F286" t="inlineStr">
        <is>
          <t>https://headfonics.com/xduoo-link10-review/</t>
        </is>
      </c>
      <c r="G286" s="26" t="inlineStr">
        <is>
          <t>The USB-C input port is located at the top, while the 3.5mm and 4.4mm output jacks are positioned at the bottom.</t>
        </is>
      </c>
      <c r="H286" t="inlineStr">
        <is>
          <t>2026-08-10</t>
        </is>
      </c>
    </row>
    <row r="287">
      <c r="A287" t="n">
        <v>48</v>
      </c>
      <c r="B287" t="inlineStr">
        <is>
          <t>xDuoo</t>
        </is>
      </c>
      <c r="C287" t="inlineStr">
        <is>
          <t>Link10</t>
        </is>
      </c>
      <c r="D287" t="inlineStr">
        <is>
          <t>6.35mm</t>
        </is>
      </c>
      <c r="E287" t="inlineStr">
        <is>
          <t>Non</t>
        </is>
      </c>
      <c r="F287" t="inlineStr">
        <is>
          <t>https://headfonics.com/xduoo-link10-review/</t>
        </is>
      </c>
      <c r="G287" s="26" t="inlineStr">
        <is>
          <t>The USB-C input port is located at the top, while the 3.5mm and 4.4mm output jacks are positioned at the bottom.</t>
        </is>
      </c>
      <c r="H287" t="inlineStr">
        <is>
          <t>2026-08-10</t>
        </is>
      </c>
    </row>
    <row r="288">
      <c r="A288" t="n">
        <v>48</v>
      </c>
      <c r="B288" t="inlineStr">
        <is>
          <t>xDuoo</t>
        </is>
      </c>
      <c r="C288" t="inlineStr">
        <is>
          <t>Link10</t>
        </is>
      </c>
      <c r="D288" t="inlineStr">
        <is>
          <t>XLR</t>
        </is>
      </c>
      <c r="E288" t="inlineStr">
        <is>
          <t>Non</t>
        </is>
      </c>
      <c r="F288" t="inlineStr">
        <is>
          <t>https://headfonics.com/xduoo-link10-review/</t>
        </is>
      </c>
      <c r="G288" s="26" t="inlineStr">
        <is>
          <t>The USB-C input port is located at the top, while the 3.5mm and 4.4mm output jacks are positioned at the bottom.</t>
        </is>
      </c>
      <c r="H288" t="inlineStr">
        <is>
          <t>2026-08-10</t>
        </is>
      </c>
    </row>
    <row r="289">
      <c r="A289" t="n">
        <v>48</v>
      </c>
      <c r="B289" t="inlineStr">
        <is>
          <t>xDuoo</t>
        </is>
      </c>
      <c r="C289" t="inlineStr">
        <is>
          <t>Link10</t>
        </is>
      </c>
      <c r="D289" t="inlineStr">
        <is>
          <t>DSP/PEQ</t>
        </is>
      </c>
      <c r="E289" t="inlineStr">
        <is>
          <t>Non</t>
        </is>
      </c>
      <c r="F289" t="inlineStr">
        <is>
          <t>https://headfonics.com/cayin-ru3-review/2/</t>
        </is>
      </c>
      <c r="G289" s="26" t="inlineStr">
        <is>
          <t>It doesn’t have a companion app; therefore, it doesn’t have an EQ feature.</t>
        </is>
      </c>
      <c r="H289" t="inlineStr">
        <is>
          <t>2026-08-10</t>
        </is>
      </c>
    </row>
    <row r="290">
      <c r="A290" t="n">
        <v>49</v>
      </c>
      <c r="B290" t="inlineStr">
        <is>
          <t>FiiO</t>
        </is>
      </c>
      <c r="C290" t="inlineStr">
        <is>
          <t>JIEZI</t>
        </is>
      </c>
      <c r="D290" t="inlineStr">
        <is>
          <t>Bluetooth</t>
        </is>
      </c>
      <c r="E290" t="inlineStr">
        <is>
          <t>Non</t>
        </is>
      </c>
      <c r="F290" t="inlineStr">
        <is>
          <t>https://headfonics.com/fiio-jiezi-review/2/</t>
        </is>
      </c>
      <c r="G290" s="26" t="inlineStr">
        <is>
          <t>Input: USB Type-C.</t>
        </is>
      </c>
      <c r="H290" t="inlineStr">
        <is>
          <t>2026-08-10</t>
        </is>
      </c>
    </row>
    <row r="291">
      <c r="A291" t="n">
        <v>49</v>
      </c>
      <c r="B291" t="inlineStr">
        <is>
          <t>FiiO</t>
        </is>
      </c>
      <c r="C291" t="inlineStr">
        <is>
          <t>JIEZI</t>
        </is>
      </c>
      <c r="D291" t="inlineStr">
        <is>
          <t>3.5mm</t>
        </is>
      </c>
      <c r="E291" t="inlineStr">
        <is>
          <t>Selon variante</t>
        </is>
      </c>
      <c r="F291" t="inlineStr">
        <is>
          <t>https://www.headfonia.com/fiio-jiezi-review/</t>
        </is>
      </c>
      <c r="G291" s="26" t="inlineStr">
        <is>
          <t>And, if you really want to go light, you could even pick the 3.5mm version, which shaves a full 10mm off the balanced version.</t>
        </is>
      </c>
      <c r="H291" t="inlineStr">
        <is>
          <t>2026-08-10</t>
        </is>
      </c>
    </row>
    <row r="292">
      <c r="A292" t="n">
        <v>49</v>
      </c>
      <c r="B292" t="inlineStr">
        <is>
          <t>FiiO</t>
        </is>
      </c>
      <c r="C292" t="inlineStr">
        <is>
          <t>JIEZI</t>
        </is>
      </c>
      <c r="D292" t="inlineStr">
        <is>
          <t>4.4mm</t>
        </is>
      </c>
      <c r="E292" t="inlineStr">
        <is>
          <t>Selon variante</t>
        </is>
      </c>
      <c r="F292" t="inlineStr">
        <is>
          <t>https://headfonics.com/fiio-jiezi-review/2/</t>
        </is>
      </c>
      <c r="G292" s="26" t="inlineStr">
        <is>
          <t>Output: 4.4mm (JIEZI B).</t>
        </is>
      </c>
      <c r="H292" t="inlineStr">
        <is>
          <t>2026-08-10</t>
        </is>
      </c>
    </row>
    <row r="293">
      <c r="A293" t="n">
        <v>49</v>
      </c>
      <c r="B293" t="inlineStr">
        <is>
          <t>FiiO</t>
        </is>
      </c>
      <c r="C293" t="inlineStr">
        <is>
          <t>JIEZI</t>
        </is>
      </c>
      <c r="D293" t="inlineStr">
        <is>
          <t>2.5mm</t>
        </is>
      </c>
      <c r="E293" t="inlineStr">
        <is>
          <t>Non</t>
        </is>
      </c>
      <c r="F293" t="inlineStr">
        <is>
          <t>https://www.headfonia.com/fiio-jiezi-review/</t>
        </is>
      </c>
      <c r="G293" s="26" t="inlineStr">
        <is>
          <t>Solid black anodized aluminum-magnesium, super sturdy 3.5mm or 4.4mm output, screw-less design</t>
        </is>
      </c>
      <c r="H293" t="inlineStr">
        <is>
          <t>2026-08-10</t>
        </is>
      </c>
    </row>
    <row r="294">
      <c r="A294" t="n">
        <v>49</v>
      </c>
      <c r="B294" t="inlineStr">
        <is>
          <t>FiiO</t>
        </is>
      </c>
      <c r="C294" t="inlineStr">
        <is>
          <t>JIEZI</t>
        </is>
      </c>
      <c r="D294" t="inlineStr">
        <is>
          <t>6.35mm</t>
        </is>
      </c>
      <c r="E294" t="inlineStr">
        <is>
          <t>Non</t>
        </is>
      </c>
      <c r="F294" t="inlineStr">
        <is>
          <t>https://www.headfonia.com/fiio-jiezi-review/</t>
        </is>
      </c>
      <c r="G294" s="26" t="inlineStr">
        <is>
          <t>Solid black anodized aluminum-magnesium, super sturdy 3.5mm or 4.4mm output, screw-less design</t>
        </is>
      </c>
      <c r="H294" t="inlineStr">
        <is>
          <t>2026-08-10</t>
        </is>
      </c>
    </row>
    <row r="295">
      <c r="A295" t="n">
        <v>49</v>
      </c>
      <c r="B295" t="inlineStr">
        <is>
          <t>FiiO</t>
        </is>
      </c>
      <c r="C295" t="inlineStr">
        <is>
          <t>JIEZI</t>
        </is>
      </c>
      <c r="D295" t="inlineStr">
        <is>
          <t>XLR</t>
        </is>
      </c>
      <c r="E295" t="inlineStr">
        <is>
          <t>Non</t>
        </is>
      </c>
      <c r="F295" t="inlineStr">
        <is>
          <t>https://www.headfonia.com/fiio-jiezi-review/</t>
        </is>
      </c>
      <c r="G295" s="26" t="inlineStr">
        <is>
          <t>Solid black anodized aluminum-magnesium, super sturdy 3.5mm or 4.4mm output, screw-less design</t>
        </is>
      </c>
      <c r="H295" t="inlineStr">
        <is>
          <t>2026-08-10</t>
        </is>
      </c>
    </row>
    <row r="296">
      <c r="A296" t="n">
        <v>49</v>
      </c>
      <c r="B296" t="inlineStr">
        <is>
          <t>FiiO</t>
        </is>
      </c>
      <c r="C296" t="inlineStr">
        <is>
          <t>JIEZI</t>
        </is>
      </c>
      <c r="D296" t="inlineStr">
        <is>
          <t>DSP/PEQ</t>
        </is>
      </c>
      <c r="E296" t="inlineStr">
        <is>
          <t>Oui</t>
        </is>
      </c>
      <c r="F296" t="inlineStr">
        <is>
          <t>https://www.headfonia.com/fiio-jiezi-review/</t>
        </is>
      </c>
      <c r="G296" s="26" t="inlineStr">
        <is>
          <t>this setup allows you to set custom PEQ curves with the help of the Control app, plus other features like switching between UAC 1.0 and UAC 2.0</t>
        </is>
      </c>
      <c r="H296" t="inlineStr">
        <is>
          <t>2026-08-10</t>
        </is>
      </c>
    </row>
    <row r="297">
      <c r="A297" t="n">
        <v>50</v>
      </c>
      <c r="B297" t="inlineStr">
        <is>
          <t>FiiO</t>
        </is>
      </c>
      <c r="C297" t="inlineStr">
        <is>
          <t>SNOWSKY Melody</t>
        </is>
      </c>
      <c r="D297" t="inlineStr">
        <is>
          <t>Bluetooth</t>
        </is>
      </c>
      <c r="E297" t="inlineStr">
        <is>
          <t>Non</t>
        </is>
      </c>
      <c r="F297" t="inlineStr">
        <is>
          <t>https://headfonics.com/fiio-snowsky-melody-review/2/</t>
        </is>
      </c>
      <c r="G297" s="26" t="inlineStr">
        <is>
          <t>Input: Type-C USB</t>
        </is>
      </c>
      <c r="H297" t="inlineStr">
        <is>
          <t>2026-08-10</t>
        </is>
      </c>
    </row>
    <row r="298">
      <c r="A298" t="n">
        <v>50</v>
      </c>
      <c r="B298" t="inlineStr">
        <is>
          <t>FiiO</t>
        </is>
      </c>
      <c r="C298" t="inlineStr">
        <is>
          <t>SNOWSKY Melody</t>
        </is>
      </c>
      <c r="D298" t="inlineStr">
        <is>
          <t>3.5mm</t>
        </is>
      </c>
      <c r="E298" t="inlineStr">
        <is>
          <t>Oui</t>
        </is>
      </c>
      <c r="F298" t="inlineStr">
        <is>
          <t>https://headfonics.com/fiio-snowsky-melody-review/2/</t>
        </is>
      </c>
      <c r="G298" s="26" t="inlineStr">
        <is>
          <t>Output: 3.5mm/4.4mm balanced</t>
        </is>
      </c>
      <c r="H298" t="inlineStr">
        <is>
          <t>2026-08-10</t>
        </is>
      </c>
    </row>
    <row r="299">
      <c r="A299" t="n">
        <v>50</v>
      </c>
      <c r="B299" t="inlineStr">
        <is>
          <t>FiiO</t>
        </is>
      </c>
      <c r="C299" t="inlineStr">
        <is>
          <t>SNOWSKY Melody</t>
        </is>
      </c>
      <c r="D299" t="inlineStr">
        <is>
          <t>4.4mm</t>
        </is>
      </c>
      <c r="E299" t="inlineStr">
        <is>
          <t>Oui</t>
        </is>
      </c>
      <c r="F299" t="inlineStr">
        <is>
          <t>https://headfonics.com/fiio-snowsky-melody-review/2/</t>
        </is>
      </c>
      <c r="G299" s="26" t="inlineStr">
        <is>
          <t>Output: 3.5mm/4.4mm balanced</t>
        </is>
      </c>
      <c r="H299" t="inlineStr">
        <is>
          <t>2026-08-10</t>
        </is>
      </c>
    </row>
    <row r="300">
      <c r="A300" t="n">
        <v>50</v>
      </c>
      <c r="B300" t="inlineStr">
        <is>
          <t>FiiO</t>
        </is>
      </c>
      <c r="C300" t="inlineStr">
        <is>
          <t>SNOWSKY Melody</t>
        </is>
      </c>
      <c r="D300" t="inlineStr">
        <is>
          <t>2.5mm</t>
        </is>
      </c>
      <c r="E300" t="inlineStr">
        <is>
          <t>Non</t>
        </is>
      </c>
      <c r="F300" t="inlineStr">
        <is>
          <t>https://headfonics.com/fiio-snowsky-melody-review/2/</t>
        </is>
      </c>
      <c r="G300" s="26" t="inlineStr">
        <is>
          <t>Output: 3.5mm/4.4mm balanced</t>
        </is>
      </c>
      <c r="H300" t="inlineStr">
        <is>
          <t>2026-08-10</t>
        </is>
      </c>
    </row>
    <row r="301">
      <c r="A301" t="n">
        <v>50</v>
      </c>
      <c r="B301" t="inlineStr">
        <is>
          <t>FiiO</t>
        </is>
      </c>
      <c r="C301" t="inlineStr">
        <is>
          <t>SNOWSKY Melody</t>
        </is>
      </c>
      <c r="D301" t="inlineStr">
        <is>
          <t>6.35mm</t>
        </is>
      </c>
      <c r="E301" t="inlineStr">
        <is>
          <t>Non</t>
        </is>
      </c>
      <c r="F301" t="inlineStr">
        <is>
          <t>https://headfonics.com/fiio-snowsky-melody-review/2/</t>
        </is>
      </c>
      <c r="G301" s="26" t="inlineStr">
        <is>
          <t>Output: 3.5mm/4.4mm balanced</t>
        </is>
      </c>
      <c r="H301" t="inlineStr">
        <is>
          <t>2026-08-10</t>
        </is>
      </c>
    </row>
    <row r="302">
      <c r="A302" t="n">
        <v>50</v>
      </c>
      <c r="B302" t="inlineStr">
        <is>
          <t>FiiO</t>
        </is>
      </c>
      <c r="C302" t="inlineStr">
        <is>
          <t>SNOWSKY Melody</t>
        </is>
      </c>
      <c r="D302" t="inlineStr">
        <is>
          <t>XLR</t>
        </is>
      </c>
      <c r="E302" t="inlineStr">
        <is>
          <t>Non</t>
        </is>
      </c>
      <c r="F302" t="inlineStr">
        <is>
          <t>https://headfonics.com/fiio-snowsky-melody-review/2/</t>
        </is>
      </c>
      <c r="G302" s="26" t="inlineStr">
        <is>
          <t>Output: 3.5mm/4.4mm balanced</t>
        </is>
      </c>
      <c r="H302" t="inlineStr">
        <is>
          <t>2026-08-10</t>
        </is>
      </c>
    </row>
    <row r="303">
      <c r="A303" t="n">
        <v>50</v>
      </c>
      <c r="B303" t="inlineStr">
        <is>
          <t>FiiO</t>
        </is>
      </c>
      <c r="C303" t="inlineStr">
        <is>
          <t>SNOWSKY Melody</t>
        </is>
      </c>
      <c r="D303" t="inlineStr">
        <is>
          <t>DSP/PEQ</t>
        </is>
      </c>
      <c r="E303" t="inlineStr">
        <is>
          <t>Oui</t>
        </is>
      </c>
      <c r="F303" t="inlineStr">
        <is>
          <t>https://headfonics.com/fiio-snowsky-melody-review/2/</t>
        </is>
      </c>
      <c r="G303" s="26" t="inlineStr">
        <is>
          <t>I appreciate the ability to switch between Class AB and Class H amplifier modes, the inclusion of a fully adjustable 10-band parametric equalizer, and other features that remain with the Melody after being programmed with the FiiO Control App.</t>
        </is>
      </c>
      <c r="H303" t="inlineStr">
        <is>
          <t>2026-08-10</t>
        </is>
      </c>
    </row>
    <row r="304">
      <c r="A304" t="n">
        <v>51</v>
      </c>
      <c r="B304" t="inlineStr">
        <is>
          <t>xDuoo</t>
        </is>
      </c>
      <c r="C304" t="inlineStr">
        <is>
          <t>XD05 Basic2</t>
        </is>
      </c>
      <c r="D304" t="inlineStr">
        <is>
          <t>Batterie</t>
        </is>
      </c>
      <c r="E304" t="inlineStr">
        <is>
          <t>Oui</t>
        </is>
      </c>
      <c r="F304" t="inlineStr">
        <is>
          <t>https://headfonics.com/xduoo-xd05-basic2-review/2/</t>
        </is>
      </c>
      <c r="G304" s="26" t="inlineStr">
        <is>
          <t>Battery: 7V / 3000mAh</t>
        </is>
      </c>
      <c r="H304" t="inlineStr">
        <is>
          <t>2026-08-10</t>
        </is>
      </c>
    </row>
    <row r="305">
      <c r="A305" t="n">
        <v>51</v>
      </c>
      <c r="B305" t="inlineStr">
        <is>
          <t>xDuoo</t>
        </is>
      </c>
      <c r="C305" t="inlineStr">
        <is>
          <t>XD05 Basic2</t>
        </is>
      </c>
      <c r="D305" t="inlineStr">
        <is>
          <t>Bluetooth</t>
        </is>
      </c>
      <c r="E305" t="inlineStr">
        <is>
          <t>Oui</t>
        </is>
      </c>
      <c r="F305" t="inlineStr">
        <is>
          <t>https://headfonics.com/xduoo-xd05-basic2-review/2/</t>
        </is>
      </c>
      <c r="G305" s="26" t="inlineStr">
        <is>
          <t>Bluetooth 5.4 LE Audio: LC3, aptX Lite, aptX_AD,SBC, AAC, aptX, aptX_HD, aptX_Adaptive, aptX_Lossless, LDAC</t>
        </is>
      </c>
      <c r="H305" t="inlineStr">
        <is>
          <t>2026-08-10</t>
        </is>
      </c>
    </row>
    <row r="306">
      <c r="A306" t="n">
        <v>51</v>
      </c>
      <c r="B306" t="inlineStr">
        <is>
          <t>xDuoo</t>
        </is>
      </c>
      <c r="C306" t="inlineStr">
        <is>
          <t>XD05 Basic2</t>
        </is>
      </c>
      <c r="D306" t="inlineStr">
        <is>
          <t>3.5mm</t>
        </is>
      </c>
      <c r="E306" t="inlineStr">
        <is>
          <t>Non</t>
        </is>
      </c>
      <c r="F306" t="inlineStr">
        <is>
          <t>https://headfonics.com/xduoo-xd05-basic2-review/</t>
        </is>
      </c>
      <c r="G306" s="26" t="inlineStr">
        <is>
          <t>Arbitrage de convention — « There is only one 6.35 mm headphone output jack on the front » : aucune sortie casque 3,5 mm. Le connecteur AUX arrière ne compte pas.</t>
        </is>
      </c>
      <c r="H306" t="inlineStr">
        <is>
          <t>2026-08-10</t>
        </is>
      </c>
    </row>
    <row r="307">
      <c r="A307" t="n">
        <v>51</v>
      </c>
      <c r="B307" t="inlineStr">
        <is>
          <t>xDuoo</t>
        </is>
      </c>
      <c r="C307" t="inlineStr">
        <is>
          <t>XD05 Basic2</t>
        </is>
      </c>
      <c r="D307" t="inlineStr">
        <is>
          <t>4.4mm</t>
        </is>
      </c>
      <c r="E307" t="inlineStr">
        <is>
          <t>Non</t>
        </is>
      </c>
      <c r="F307" t="inlineStr">
        <is>
          <t>https://headfonics.com/xduoo-xd05-basic2-review/</t>
        </is>
      </c>
      <c r="G307" s="26" t="inlineStr">
        <is>
          <t>There is only one 6.35 mm headphone output jack on the front of the XD05 Basic2.</t>
        </is>
      </c>
      <c r="H307" t="inlineStr">
        <is>
          <t>2026-08-10</t>
        </is>
      </c>
    </row>
    <row r="308">
      <c r="A308" t="n">
        <v>51</v>
      </c>
      <c r="B308" t="inlineStr">
        <is>
          <t>xDuoo</t>
        </is>
      </c>
      <c r="C308" t="inlineStr">
        <is>
          <t>XD05 Basic2</t>
        </is>
      </c>
      <c r="D308" t="inlineStr">
        <is>
          <t>2.5mm</t>
        </is>
      </c>
      <c r="E308" t="inlineStr">
        <is>
          <t>Non</t>
        </is>
      </c>
      <c r="F308" t="inlineStr">
        <is>
          <t>https://headfonics.com/xduoo-xd05-basic2-review/</t>
        </is>
      </c>
      <c r="G308" s="26" t="inlineStr">
        <is>
          <t>There is only one 6.35 mm headphone output jack on the front of the XD05 Basic2.</t>
        </is>
      </c>
      <c r="H308" t="inlineStr">
        <is>
          <t>2026-08-10</t>
        </is>
      </c>
    </row>
    <row r="309">
      <c r="A309" t="n">
        <v>51</v>
      </c>
      <c r="B309" t="inlineStr">
        <is>
          <t>xDuoo</t>
        </is>
      </c>
      <c r="C309" t="inlineStr">
        <is>
          <t>XD05 Basic2</t>
        </is>
      </c>
      <c r="D309" t="inlineStr">
        <is>
          <t>6.35mm</t>
        </is>
      </c>
      <c r="E309" t="inlineStr">
        <is>
          <t>Oui</t>
        </is>
      </c>
      <c r="F309" t="inlineStr">
        <is>
          <t>https://headfonics.com/xduoo-xd05-basic2-review/</t>
        </is>
      </c>
      <c r="G309" s="26" t="inlineStr">
        <is>
          <t>There is only one 6.35 mm headphone output jack on the front of the XD05 Basic2.</t>
        </is>
      </c>
      <c r="H309" t="inlineStr">
        <is>
          <t>2026-08-10</t>
        </is>
      </c>
    </row>
    <row r="310">
      <c r="A310" t="n">
        <v>51</v>
      </c>
      <c r="B310" t="inlineStr">
        <is>
          <t>xDuoo</t>
        </is>
      </c>
      <c r="C310" t="inlineStr">
        <is>
          <t>XD05 Basic2</t>
        </is>
      </c>
      <c r="D310" t="inlineStr">
        <is>
          <t>XLR</t>
        </is>
      </c>
      <c r="E310" t="inlineStr">
        <is>
          <t>Non</t>
        </is>
      </c>
      <c r="F310" t="inlineStr">
        <is>
          <t>https://headfonics.com/xduoo-xd05-basic2-review/</t>
        </is>
      </c>
      <c r="G310" s="26" t="inlineStr">
        <is>
          <t>There is only one 6.35 mm headphone output jack on the front of the XD05 Basic2.</t>
        </is>
      </c>
      <c r="H310" t="inlineStr">
        <is>
          <t>2026-08-10</t>
        </is>
      </c>
    </row>
    <row r="311">
      <c r="A311" t="n">
        <v>52</v>
      </c>
      <c r="B311" t="inlineStr">
        <is>
          <t>iBasso</t>
        </is>
      </c>
      <c r="C311" t="inlineStr">
        <is>
          <t>Nunchaku</t>
        </is>
      </c>
      <c r="D311" t="inlineStr">
        <is>
          <t>3.5mm</t>
        </is>
      </c>
      <c r="E311" t="inlineStr">
        <is>
          <t>Oui</t>
        </is>
      </c>
      <c r="F311" t="inlineStr">
        <is>
          <t>https://bloomaudio.com/products/ibasso-nunchaku</t>
        </is>
      </c>
      <c r="G311" s="26" t="inlineStr">
        <is>
          <t>Balanced 4.4mm + single-ended 3.5mm outputs</t>
        </is>
      </c>
      <c r="H311" t="inlineStr">
        <is>
          <t>2026-08-10</t>
        </is>
      </c>
    </row>
    <row r="312">
      <c r="A312" t="n">
        <v>52</v>
      </c>
      <c r="B312" t="inlineStr">
        <is>
          <t>iBasso</t>
        </is>
      </c>
      <c r="C312" t="inlineStr">
        <is>
          <t>Nunchaku</t>
        </is>
      </c>
      <c r="D312" t="inlineStr">
        <is>
          <t>4.4mm</t>
        </is>
      </c>
      <c r="E312" t="inlineStr">
        <is>
          <t>Oui</t>
        </is>
      </c>
      <c r="F312" t="inlineStr">
        <is>
          <t>https://bloomaudio.com/products/ibasso-nunchaku</t>
        </is>
      </c>
      <c r="G312" s="26" t="inlineStr">
        <is>
          <t>Balanced 4.4mm + single-ended 3.5mm outputs</t>
        </is>
      </c>
      <c r="H312" t="inlineStr">
        <is>
          <t>2026-08-10</t>
        </is>
      </c>
    </row>
    <row r="313">
      <c r="A313" t="n">
        <v>52</v>
      </c>
      <c r="B313" t="inlineStr">
        <is>
          <t>iBasso</t>
        </is>
      </c>
      <c r="C313" t="inlineStr">
        <is>
          <t>Nunchaku</t>
        </is>
      </c>
      <c r="D313" t="inlineStr">
        <is>
          <t>2.5mm</t>
        </is>
      </c>
      <c r="E313" t="inlineStr">
        <is>
          <t>Non</t>
        </is>
      </c>
      <c r="F313" t="inlineStr">
        <is>
          <t>https://bloomaudio.com/products/ibasso-nunchaku</t>
        </is>
      </c>
      <c r="G313" s="26" t="inlineStr">
        <is>
          <t>Balanced 4.4mm + single-ended 3.5mm outputs</t>
        </is>
      </c>
      <c r="H313" t="inlineStr">
        <is>
          <t>2026-08-10</t>
        </is>
      </c>
    </row>
    <row r="314">
      <c r="A314" t="n">
        <v>52</v>
      </c>
      <c r="B314" t="inlineStr">
        <is>
          <t>iBasso</t>
        </is>
      </c>
      <c r="C314" t="inlineStr">
        <is>
          <t>Nunchaku</t>
        </is>
      </c>
      <c r="D314" t="inlineStr">
        <is>
          <t>6.35mm</t>
        </is>
      </c>
      <c r="E314" t="inlineStr">
        <is>
          <t>Non</t>
        </is>
      </c>
      <c r="F314" t="inlineStr">
        <is>
          <t>https://bloomaudio.com/products/ibasso-nunchaku</t>
        </is>
      </c>
      <c r="G314" s="26" t="inlineStr">
        <is>
          <t>Balanced 4.4mm + single-ended 3.5mm outputs</t>
        </is>
      </c>
      <c r="H314" t="inlineStr">
        <is>
          <t>2026-08-10</t>
        </is>
      </c>
    </row>
    <row r="315">
      <c r="A315" t="n">
        <v>52</v>
      </c>
      <c r="B315" t="inlineStr">
        <is>
          <t>iBasso</t>
        </is>
      </c>
      <c r="C315" t="inlineStr">
        <is>
          <t>Nunchaku</t>
        </is>
      </c>
      <c r="D315" t="inlineStr">
        <is>
          <t>XLR</t>
        </is>
      </c>
      <c r="E315" t="inlineStr">
        <is>
          <t>Non</t>
        </is>
      </c>
      <c r="F315" t="inlineStr">
        <is>
          <t>https://bloomaudio.com/products/ibasso-nunchaku</t>
        </is>
      </c>
      <c r="G315" s="26" t="inlineStr">
        <is>
          <t>Balanced 4.4mm + single-ended 3.5mm outputs</t>
        </is>
      </c>
      <c r="H315" t="inlineStr">
        <is>
          <t>2026-08-10</t>
        </is>
      </c>
    </row>
    <row r="316">
      <c r="A316" t="n">
        <v>53</v>
      </c>
      <c r="B316" t="inlineStr">
        <is>
          <t>NiPO</t>
        </is>
      </c>
      <c r="C316" t="inlineStr">
        <is>
          <t>A100</t>
        </is>
      </c>
      <c r="D316" t="inlineStr">
        <is>
          <t>Batterie</t>
        </is>
      </c>
      <c r="E316" t="inlineStr">
        <is>
          <t>Oui</t>
        </is>
      </c>
      <c r="F316" t="inlineStr">
        <is>
          <t>https://headfonics.com/nipo-a100-review/2/</t>
        </is>
      </c>
      <c r="G316" s="26" t="inlineStr">
        <is>
          <t>Battery capacity:3900mAh Li-Polymer battery</t>
        </is>
      </c>
      <c r="H316" t="inlineStr">
        <is>
          <t>2026-08-10</t>
        </is>
      </c>
    </row>
    <row r="317">
      <c r="A317" t="n">
        <v>53</v>
      </c>
      <c r="B317" t="inlineStr">
        <is>
          <t>NiPO</t>
        </is>
      </c>
      <c r="C317" t="inlineStr">
        <is>
          <t>A100</t>
        </is>
      </c>
      <c r="D317" t="inlineStr">
        <is>
          <t>Bluetooth</t>
        </is>
      </c>
      <c r="E317" t="inlineStr">
        <is>
          <t>Non</t>
        </is>
      </c>
      <c r="F317" t="inlineStr">
        <is>
          <t>https://headfonics.com/nipo-a100-review/2/</t>
        </is>
      </c>
      <c r="G317" s="26" t="inlineStr">
        <is>
          <t>Questyle managed to squeeze in Bluetooth receiving capability at up to LDAC level codec, which the A100 does not have.</t>
        </is>
      </c>
      <c r="H317" t="inlineStr">
        <is>
          <t>2026-08-10</t>
        </is>
      </c>
    </row>
    <row r="318">
      <c r="A318" t="n">
        <v>53</v>
      </c>
      <c r="B318" t="inlineStr">
        <is>
          <t>NiPO</t>
        </is>
      </c>
      <c r="C318" t="inlineStr">
        <is>
          <t>A100</t>
        </is>
      </c>
      <c r="D318" t="inlineStr">
        <is>
          <t>3.5mm</t>
        </is>
      </c>
      <c r="E318" t="inlineStr">
        <is>
          <t>Oui</t>
        </is>
      </c>
      <c r="F318" t="inlineStr">
        <is>
          <t>https://headfonics.com/nipo-a100-review/</t>
        </is>
      </c>
      <c r="G318" s="26" t="inlineStr">
        <is>
          <t>The NiPO A100 has three IO ports, a USB-C connection, a 4.4m balanced headphone output jack, and a 3.5mm conventional single-ended output.</t>
        </is>
      </c>
      <c r="H318" t="inlineStr">
        <is>
          <t>2026-08-10</t>
        </is>
      </c>
    </row>
    <row r="319">
      <c r="A319" t="n">
        <v>53</v>
      </c>
      <c r="B319" t="inlineStr">
        <is>
          <t>NiPO</t>
        </is>
      </c>
      <c r="C319" t="inlineStr">
        <is>
          <t>A100</t>
        </is>
      </c>
      <c r="D319" t="inlineStr">
        <is>
          <t>4.4mm</t>
        </is>
      </c>
      <c r="E319" t="inlineStr">
        <is>
          <t>Oui</t>
        </is>
      </c>
      <c r="F319" t="inlineStr">
        <is>
          <t>https://headfonics.com/nipo-a100-review/</t>
        </is>
      </c>
      <c r="G319" s="26" t="inlineStr">
        <is>
          <t>The NiPO A100 has three IO ports, a USB-C connection, a 4.4m balanced headphone output jack, and a 3.5mm conventional single-ended output.</t>
        </is>
      </c>
      <c r="H319" t="inlineStr">
        <is>
          <t>2026-08-10</t>
        </is>
      </c>
    </row>
    <row r="320">
      <c r="A320" t="n">
        <v>53</v>
      </c>
      <c r="B320" t="inlineStr">
        <is>
          <t>NiPO</t>
        </is>
      </c>
      <c r="C320" t="inlineStr">
        <is>
          <t>A100</t>
        </is>
      </c>
      <c r="D320" t="inlineStr">
        <is>
          <t>2.5mm</t>
        </is>
      </c>
      <c r="E320" t="inlineStr">
        <is>
          <t>Non</t>
        </is>
      </c>
      <c r="F320" t="inlineStr">
        <is>
          <t>https://headfonics.com/nipo-a100-review/</t>
        </is>
      </c>
      <c r="G320" s="26" t="inlineStr">
        <is>
          <t>The NiPO A100 has three IO ports, a USB-C connection, a 4.4m balanced headphone output jack, and a 3.5mm conventional single-ended output.</t>
        </is>
      </c>
      <c r="H320" t="inlineStr">
        <is>
          <t>2026-08-10</t>
        </is>
      </c>
    </row>
    <row r="321">
      <c r="A321" t="n">
        <v>53</v>
      </c>
      <c r="B321" t="inlineStr">
        <is>
          <t>NiPO</t>
        </is>
      </c>
      <c r="C321" t="inlineStr">
        <is>
          <t>A100</t>
        </is>
      </c>
      <c r="D321" t="inlineStr">
        <is>
          <t>6.35mm</t>
        </is>
      </c>
      <c r="E321" t="inlineStr">
        <is>
          <t>Non</t>
        </is>
      </c>
      <c r="F321" t="inlineStr">
        <is>
          <t>https://headfonics.com/nipo-a100-review/</t>
        </is>
      </c>
      <c r="G321" s="26" t="inlineStr">
        <is>
          <t>The NiPO A100 has three IO ports, a USB-C connection, a 4.4m balanced headphone output jack, and a 3.5mm conventional single-ended output.</t>
        </is>
      </c>
      <c r="H321" t="inlineStr">
        <is>
          <t>2026-08-10</t>
        </is>
      </c>
    </row>
    <row r="322">
      <c r="A322" t="n">
        <v>53</v>
      </c>
      <c r="B322" t="inlineStr">
        <is>
          <t>NiPO</t>
        </is>
      </c>
      <c r="C322" t="inlineStr">
        <is>
          <t>A100</t>
        </is>
      </c>
      <c r="D322" t="inlineStr">
        <is>
          <t>XLR</t>
        </is>
      </c>
      <c r="E322" t="inlineStr">
        <is>
          <t>Non</t>
        </is>
      </c>
      <c r="F322" t="inlineStr">
        <is>
          <t>https://headfonics.com/nipo-a100-review/</t>
        </is>
      </c>
      <c r="G322" s="26" t="inlineStr">
        <is>
          <t>The NiPO A100 has three IO ports, a USB-C connection, a 4.4m balanced headphone output jack, and a 3.5mm conventional single-ended output.</t>
        </is>
      </c>
      <c r="H322" t="inlineStr">
        <is>
          <t>2026-08-10</t>
        </is>
      </c>
    </row>
    <row r="323">
      <c r="A323" t="n">
        <v>54</v>
      </c>
      <c r="B323" t="inlineStr">
        <is>
          <t>ddHiFi</t>
        </is>
      </c>
      <c r="C323" t="inlineStr">
        <is>
          <t>TC44Pro M3</t>
        </is>
      </c>
      <c r="D323" t="inlineStr">
        <is>
          <t>Bluetooth</t>
        </is>
      </c>
      <c r="E323" t="inlineStr">
        <is>
          <t>Non</t>
        </is>
      </c>
      <c r="F323" t="inlineStr">
        <is>
          <t>https://www.ddhifi.com/en/release/14208/</t>
        </is>
      </c>
      <c r="G323" s="26" t="inlineStr">
        <is>
          <t>Input: USB-C OTG</t>
        </is>
      </c>
      <c r="H323" t="inlineStr">
        <is>
          <t>2026-08-10</t>
        </is>
      </c>
    </row>
    <row r="324">
      <c r="A324" t="n">
        <v>54</v>
      </c>
      <c r="B324" t="inlineStr">
        <is>
          <t>ddHiFi</t>
        </is>
      </c>
      <c r="C324" t="inlineStr">
        <is>
          <t>TC44Pro M3</t>
        </is>
      </c>
      <c r="D324" t="inlineStr">
        <is>
          <t>3.5mm</t>
        </is>
      </c>
      <c r="E324" t="inlineStr">
        <is>
          <t>Oui</t>
        </is>
      </c>
      <c r="F324" t="inlineStr">
        <is>
          <t>https://www.ddhifi.com/en/release/14208/</t>
        </is>
      </c>
      <c r="G324" s="26" t="inlineStr">
        <is>
          <t>Output: 4.4mm Balanced + 3.5mm Single-Ended</t>
        </is>
      </c>
      <c r="H324" t="inlineStr">
        <is>
          <t>2026-08-10</t>
        </is>
      </c>
    </row>
    <row r="325">
      <c r="A325" t="n">
        <v>54</v>
      </c>
      <c r="B325" t="inlineStr">
        <is>
          <t>ddHiFi</t>
        </is>
      </c>
      <c r="C325" t="inlineStr">
        <is>
          <t>TC44Pro M3</t>
        </is>
      </c>
      <c r="D325" t="inlineStr">
        <is>
          <t>4.4mm</t>
        </is>
      </c>
      <c r="E325" t="inlineStr">
        <is>
          <t>Oui</t>
        </is>
      </c>
      <c r="F325" t="inlineStr">
        <is>
          <t>https://www.ddhifi.com/en/release/14208/</t>
        </is>
      </c>
      <c r="G325" s="26" t="inlineStr">
        <is>
          <t>Output: 4.4mm Balanced + 3.5mm Single-Ended</t>
        </is>
      </c>
      <c r="H325" t="inlineStr">
        <is>
          <t>2026-08-10</t>
        </is>
      </c>
    </row>
    <row r="326">
      <c r="A326" t="n">
        <v>54</v>
      </c>
      <c r="B326" t="inlineStr">
        <is>
          <t>ddHiFi</t>
        </is>
      </c>
      <c r="C326" t="inlineStr">
        <is>
          <t>TC44Pro M3</t>
        </is>
      </c>
      <c r="D326" t="inlineStr">
        <is>
          <t>2.5mm</t>
        </is>
      </c>
      <c r="E326" t="inlineStr">
        <is>
          <t>Non</t>
        </is>
      </c>
      <c r="F326" t="inlineStr">
        <is>
          <t>https://www.ddhifi.com/en/release/14208/</t>
        </is>
      </c>
      <c r="G326" s="26" t="inlineStr">
        <is>
          <t>Output: 4.4mm Balanced + 3.5mm Single-Ended</t>
        </is>
      </c>
      <c r="H326" t="inlineStr">
        <is>
          <t>2026-08-10</t>
        </is>
      </c>
    </row>
    <row r="327">
      <c r="A327" t="n">
        <v>54</v>
      </c>
      <c r="B327" t="inlineStr">
        <is>
          <t>ddHiFi</t>
        </is>
      </c>
      <c r="C327" t="inlineStr">
        <is>
          <t>TC44Pro M3</t>
        </is>
      </c>
      <c r="D327" t="inlineStr">
        <is>
          <t>6.35mm</t>
        </is>
      </c>
      <c r="E327" t="inlineStr">
        <is>
          <t>Non</t>
        </is>
      </c>
      <c r="F327" t="inlineStr">
        <is>
          <t>https://www.ddhifi.com/en/release/14208/</t>
        </is>
      </c>
      <c r="G327" s="26" t="inlineStr">
        <is>
          <t>Output: 4.4mm Balanced + 3.5mm Single-Ended</t>
        </is>
      </c>
      <c r="H327" t="inlineStr">
        <is>
          <t>2026-08-10</t>
        </is>
      </c>
    </row>
    <row r="328">
      <c r="A328" t="n">
        <v>54</v>
      </c>
      <c r="B328" t="inlineStr">
        <is>
          <t>ddHiFi</t>
        </is>
      </c>
      <c r="C328" t="inlineStr">
        <is>
          <t>TC44Pro M3</t>
        </is>
      </c>
      <c r="D328" t="inlineStr">
        <is>
          <t>XLR</t>
        </is>
      </c>
      <c r="E328" t="inlineStr">
        <is>
          <t>Non</t>
        </is>
      </c>
      <c r="F328" t="inlineStr">
        <is>
          <t>https://www.ddhifi.com/en/release/14208/</t>
        </is>
      </c>
      <c r="G328" s="26" t="inlineStr">
        <is>
          <t>Output: 4.4mm Balanced + 3.5mm Single-Ended</t>
        </is>
      </c>
      <c r="H328" t="inlineStr">
        <is>
          <t>2026-08-10</t>
        </is>
      </c>
    </row>
    <row r="329">
      <c r="A329" t="n">
        <v>55</v>
      </c>
      <c r="B329" t="inlineStr">
        <is>
          <t>Cayin</t>
        </is>
      </c>
      <c r="C329" t="inlineStr">
        <is>
          <t>RU9</t>
        </is>
      </c>
      <c r="D329" t="inlineStr">
        <is>
          <t>Batterie</t>
        </is>
      </c>
      <c r="E329" t="inlineStr">
        <is>
          <t>Oui</t>
        </is>
      </c>
      <c r="F329" t="inlineStr">
        <is>
          <t>https://twister6.com/2025/06/22/cayin-ru9/</t>
        </is>
      </c>
      <c r="G329" s="26" t="inlineStr">
        <is>
          <t>the RU9 has the option to use an internal battery — a 2,000mAh, 3.85V (7.7Wh) LiPo battery</t>
        </is>
      </c>
      <c r="H329" t="inlineStr">
        <is>
          <t>2026-08-10</t>
        </is>
      </c>
    </row>
    <row r="330">
      <c r="A330" t="n">
        <v>55</v>
      </c>
      <c r="B330" t="inlineStr">
        <is>
          <t>Cayin</t>
        </is>
      </c>
      <c r="C330" t="inlineStr">
        <is>
          <t>RU9</t>
        </is>
      </c>
      <c r="D330" t="inlineStr">
        <is>
          <t>Bluetooth</t>
        </is>
      </c>
      <c r="E330" t="inlineStr">
        <is>
          <t>Oui</t>
        </is>
      </c>
      <c r="F330" t="inlineStr">
        <is>
          <t>https://www.ecoustics.com/reviews/cayin-ru9/</t>
        </is>
      </c>
      <c r="G330" s="26" t="inlineStr">
        <is>
          <t>Bluetooth input comes courtesy of Qualcomm's QCC5125, which brings AptX Adaptive, the legacy AptX variants, LDAC, AAC, and SBC to the table.</t>
        </is>
      </c>
      <c r="H330" t="inlineStr">
        <is>
          <t>2026-08-10</t>
        </is>
      </c>
    </row>
    <row r="331">
      <c r="A331" t="n">
        <v>55</v>
      </c>
      <c r="B331" t="inlineStr">
        <is>
          <t>Cayin</t>
        </is>
      </c>
      <c r="C331" t="inlineStr">
        <is>
          <t>RU9</t>
        </is>
      </c>
      <c r="D331" t="inlineStr">
        <is>
          <t>3.5mm</t>
        </is>
      </c>
      <c r="E331" t="inlineStr">
        <is>
          <t>Oui</t>
        </is>
      </c>
      <c r="F331" t="inlineStr">
        <is>
          <t>https://www.ecoustics.com/reviews/cayin-ru9/</t>
        </is>
      </c>
      <c r="G331" s="26" t="inlineStr">
        <is>
          <t>All I/O lives on the bottom edge, starting with a 4.4mm balanced output and a 3.5mm single-ended jack.</t>
        </is>
      </c>
      <c r="H331" t="inlineStr">
        <is>
          <t>2026-08-10</t>
        </is>
      </c>
    </row>
    <row r="332">
      <c r="A332" t="n">
        <v>55</v>
      </c>
      <c r="B332" t="inlineStr">
        <is>
          <t>Cayin</t>
        </is>
      </c>
      <c r="C332" t="inlineStr">
        <is>
          <t>RU9</t>
        </is>
      </c>
      <c r="D332" t="inlineStr">
        <is>
          <t>4.4mm</t>
        </is>
      </c>
      <c r="E332" t="inlineStr">
        <is>
          <t>Oui</t>
        </is>
      </c>
      <c r="F332" t="inlineStr">
        <is>
          <t>https://www.ecoustics.com/reviews/cayin-ru9/</t>
        </is>
      </c>
      <c r="G332" s="26" t="inlineStr">
        <is>
          <t>All I/O lives on the bottom edge, starting with a 4.4mm balanced output and a 3.5mm single-ended jack.</t>
        </is>
      </c>
      <c r="H332" t="inlineStr">
        <is>
          <t>2026-08-10</t>
        </is>
      </c>
    </row>
    <row r="333">
      <c r="A333" t="n">
        <v>55</v>
      </c>
      <c r="B333" t="inlineStr">
        <is>
          <t>Cayin</t>
        </is>
      </c>
      <c r="C333" t="inlineStr">
        <is>
          <t>RU9</t>
        </is>
      </c>
      <c r="D333" t="inlineStr">
        <is>
          <t>2.5mm</t>
        </is>
      </c>
      <c r="E333" t="inlineStr">
        <is>
          <t>Non</t>
        </is>
      </c>
      <c r="F333" t="inlineStr">
        <is>
          <t>https://www.ecoustics.com/reviews/cayin-ru9/</t>
        </is>
      </c>
      <c r="G333" s="26" t="inlineStr">
        <is>
          <t>All I/O lives on the bottom edge, starting with a 4.4mm balanced output and a 3.5mm single-ended jack.</t>
        </is>
      </c>
      <c r="H333" t="inlineStr">
        <is>
          <t>2026-08-10</t>
        </is>
      </c>
    </row>
    <row r="334">
      <c r="A334" t="n">
        <v>55</v>
      </c>
      <c r="B334" t="inlineStr">
        <is>
          <t>Cayin</t>
        </is>
      </c>
      <c r="C334" t="inlineStr">
        <is>
          <t>RU9</t>
        </is>
      </c>
      <c r="D334" t="inlineStr">
        <is>
          <t>6.35mm</t>
        </is>
      </c>
      <c r="E334" t="inlineStr">
        <is>
          <t>Non</t>
        </is>
      </c>
      <c r="F334" t="inlineStr">
        <is>
          <t>https://www.ecoustics.com/reviews/cayin-ru9/</t>
        </is>
      </c>
      <c r="G334" s="26" t="inlineStr">
        <is>
          <t>All I/O lives on the bottom edge, starting with a 4.4mm balanced output and a 3.5mm single-ended jack.</t>
        </is>
      </c>
      <c r="H334" t="inlineStr">
        <is>
          <t>2026-08-10</t>
        </is>
      </c>
    </row>
    <row r="335">
      <c r="A335" t="n">
        <v>55</v>
      </c>
      <c r="B335" t="inlineStr">
        <is>
          <t>Cayin</t>
        </is>
      </c>
      <c r="C335" t="inlineStr">
        <is>
          <t>RU9</t>
        </is>
      </c>
      <c r="D335" t="inlineStr">
        <is>
          <t>XLR</t>
        </is>
      </c>
      <c r="E335" t="inlineStr">
        <is>
          <t>Non</t>
        </is>
      </c>
      <c r="F335" t="inlineStr">
        <is>
          <t>https://www.ecoustics.com/reviews/cayin-ru9/</t>
        </is>
      </c>
      <c r="G335" s="26" t="inlineStr">
        <is>
          <t>All I/O lives on the bottom edge, starting with a 4.4mm balanced output and a 3.5mm single-ended jack.</t>
        </is>
      </c>
      <c r="H335" t="inlineStr">
        <is>
          <t>2026-08-10</t>
        </is>
      </c>
    </row>
    <row r="336">
      <c r="A336" t="n">
        <v>55</v>
      </c>
      <c r="B336" t="inlineStr">
        <is>
          <t>Cayin</t>
        </is>
      </c>
      <c r="C336" t="inlineStr">
        <is>
          <t>RU9</t>
        </is>
      </c>
      <c r="D336" t="inlineStr">
        <is>
          <t>DSP/PEQ</t>
        </is>
      </c>
      <c r="E336" t="inlineStr">
        <is>
          <t>Non</t>
        </is>
      </c>
      <c r="F336" t="inlineStr">
        <is>
          <t>https://twister6.com/2025/06/22/cayin-ru9/</t>
        </is>
      </c>
      <c r="G336" s="26" t="inlineStr">
        <is>
          <t>These Settings are: Source (USB, BT, S/PDIF), Gain (H/M/L), Line Out (H/M/L), Output (PO, LO, S/PDIF), USB Audio Class (UAC 1.0, UAC 2.0), USB In (Audio Only, Audio and Power), Idle Shutdown (on/off), PCM Filter (sharp/slow/SD sharp/SD slow/super slow/low dispersion), DSD Filter (narrow/wide), Brightness (H/M/L), Display Off (never/10s/20s/30s/40s/50s/60s), and Version (fw version).</t>
        </is>
      </c>
      <c r="H336" t="inlineStr">
        <is>
          <t>2026-08-10</t>
        </is>
      </c>
    </row>
    <row r="337">
      <c r="A337" t="n">
        <v>56</v>
      </c>
      <c r="B337" t="inlineStr">
        <is>
          <t>Shanling</t>
        </is>
      </c>
      <c r="C337" t="inlineStr">
        <is>
          <t>UP6</t>
        </is>
      </c>
      <c r="D337" t="inlineStr">
        <is>
          <t>Batterie</t>
        </is>
      </c>
      <c r="E337" t="inlineStr">
        <is>
          <t>Oui</t>
        </is>
      </c>
      <c r="F337" t="inlineStr">
        <is>
          <t>https://headfonics.com/shanling-up6-review/</t>
        </is>
      </c>
      <c r="G337" s="26" t="inlineStr">
        <is>
          <t>The internal battery is a 950mAh battery that takes approximately 2 hours to fully charge, according to Shanling</t>
        </is>
      </c>
      <c r="H337" t="inlineStr">
        <is>
          <t>2026-08-10</t>
        </is>
      </c>
    </row>
    <row r="338">
      <c r="A338" t="n">
        <v>56</v>
      </c>
      <c r="B338" t="inlineStr">
        <is>
          <t>Shanling</t>
        </is>
      </c>
      <c r="C338" t="inlineStr">
        <is>
          <t>UP6</t>
        </is>
      </c>
      <c r="D338" t="inlineStr">
        <is>
          <t>Bluetooth</t>
        </is>
      </c>
      <c r="E338" t="inlineStr">
        <is>
          <t>Oui</t>
        </is>
      </c>
      <c r="F338" t="inlineStr">
        <is>
          <t>https://headfonics.com/shanling-up6-review/</t>
        </is>
      </c>
      <c r="G338" s="26" t="inlineStr">
        <is>
          <t>Today, Louis reviews the Shanling UP6, a new dual ES9069Q DAC and balanced headphone amplifier with BT LDAC and aptX Adaptive support.</t>
        </is>
      </c>
      <c r="H338" t="inlineStr">
        <is>
          <t>2026-08-10</t>
        </is>
      </c>
    </row>
    <row r="339">
      <c r="A339" t="n">
        <v>56</v>
      </c>
      <c r="B339" t="inlineStr">
        <is>
          <t>Shanling</t>
        </is>
      </c>
      <c r="C339" t="inlineStr">
        <is>
          <t>UP6</t>
        </is>
      </c>
      <c r="D339" t="inlineStr">
        <is>
          <t>3.5mm</t>
        </is>
      </c>
      <c r="E339" t="inlineStr">
        <is>
          <t>Oui</t>
        </is>
      </c>
      <c r="F339" t="inlineStr">
        <is>
          <t>https://headfonics.com/shanling-up6-review/</t>
        </is>
      </c>
      <c r="G339" s="26" t="inlineStr">
        <is>
          <t>The opposite side of the UP6 USB-C port is where you'll find the single-ended 3.5mm plug alongside the 4.4mm balanced connector.</t>
        </is>
      </c>
      <c r="H339" t="inlineStr">
        <is>
          <t>2026-08-10</t>
        </is>
      </c>
    </row>
    <row r="340">
      <c r="A340" t="n">
        <v>56</v>
      </c>
      <c r="B340" t="inlineStr">
        <is>
          <t>Shanling</t>
        </is>
      </c>
      <c r="C340" t="inlineStr">
        <is>
          <t>UP6</t>
        </is>
      </c>
      <c r="D340" t="inlineStr">
        <is>
          <t>4.4mm</t>
        </is>
      </c>
      <c r="E340" t="inlineStr">
        <is>
          <t>Oui</t>
        </is>
      </c>
      <c r="F340" t="inlineStr">
        <is>
          <t>https://headfonics.com/shanling-up6-review/</t>
        </is>
      </c>
      <c r="G340" s="26" t="inlineStr">
        <is>
          <t>The opposite side of the UP6 USB-C port is where you'll find the single-ended 3.5mm plug alongside the 4.4mm balanced connector.</t>
        </is>
      </c>
      <c r="H340" t="inlineStr">
        <is>
          <t>2026-08-10</t>
        </is>
      </c>
    </row>
    <row r="341">
      <c r="A341" t="n">
        <v>56</v>
      </c>
      <c r="B341" t="inlineStr">
        <is>
          <t>Shanling</t>
        </is>
      </c>
      <c r="C341" t="inlineStr">
        <is>
          <t>UP6</t>
        </is>
      </c>
      <c r="D341" t="inlineStr">
        <is>
          <t>2.5mm</t>
        </is>
      </c>
      <c r="E341" t="inlineStr">
        <is>
          <t>Non</t>
        </is>
      </c>
      <c r="F341" t="inlineStr">
        <is>
          <t>https://headfonics.com/shanling-up6-review/</t>
        </is>
      </c>
      <c r="G341" s="26" t="inlineStr">
        <is>
          <t>The opposite side of the UP6 USB-C port is where you'll find the single-ended 3.5mm plug alongside the 4.4mm balanced connector.</t>
        </is>
      </c>
      <c r="H341" t="inlineStr">
        <is>
          <t>2026-08-10</t>
        </is>
      </c>
    </row>
    <row r="342">
      <c r="A342" t="n">
        <v>56</v>
      </c>
      <c r="B342" t="inlineStr">
        <is>
          <t>Shanling</t>
        </is>
      </c>
      <c r="C342" t="inlineStr">
        <is>
          <t>UP6</t>
        </is>
      </c>
      <c r="D342" t="inlineStr">
        <is>
          <t>6.35mm</t>
        </is>
      </c>
      <c r="E342" t="inlineStr">
        <is>
          <t>Non</t>
        </is>
      </c>
      <c r="F342" t="inlineStr">
        <is>
          <t>https://headfonics.com/shanling-up6-review/</t>
        </is>
      </c>
      <c r="G342" s="26" t="inlineStr">
        <is>
          <t>The opposite side of the UP6 USB-C port is where you'll find the single-ended 3.5mm plug alongside the 4.4mm balanced connector.</t>
        </is>
      </c>
      <c r="H342" t="inlineStr">
        <is>
          <t>2026-08-10</t>
        </is>
      </c>
    </row>
    <row r="343">
      <c r="A343" t="n">
        <v>56</v>
      </c>
      <c r="B343" t="inlineStr">
        <is>
          <t>Shanling</t>
        </is>
      </c>
      <c r="C343" t="inlineStr">
        <is>
          <t>UP6</t>
        </is>
      </c>
      <c r="D343" t="inlineStr">
        <is>
          <t>XLR</t>
        </is>
      </c>
      <c r="E343" t="inlineStr">
        <is>
          <t>Non</t>
        </is>
      </c>
      <c r="F343" t="inlineStr">
        <is>
          <t>https://headfonics.com/shanling-up6-review/</t>
        </is>
      </c>
      <c r="G343" s="26" t="inlineStr">
        <is>
          <t>The opposite side of the UP6 USB-C port is where you'll find the single-ended 3.5mm plug alongside the 4.4mm balanced connector.</t>
        </is>
      </c>
      <c r="H343" t="inlineStr">
        <is>
          <t>2026-08-10</t>
        </is>
      </c>
    </row>
    <row r="344">
      <c r="A344" t="n">
        <v>57</v>
      </c>
      <c r="B344" t="inlineStr">
        <is>
          <t>Questyle</t>
        </is>
      </c>
      <c r="C344" t="inlineStr">
        <is>
          <t>M18i</t>
        </is>
      </c>
      <c r="D344" t="inlineStr">
        <is>
          <t>Batterie</t>
        </is>
      </c>
      <c r="E344" t="inlineStr">
        <is>
          <t>Oui</t>
        </is>
      </c>
      <c r="F344" t="inlineStr">
        <is>
          <t>https://headfonics.com/questyle-m18i-review/2/</t>
        </is>
      </c>
      <c r="G344" s="26" t="inlineStr">
        <is>
          <t>Battery: 500mAh</t>
        </is>
      </c>
      <c r="H344" t="inlineStr">
        <is>
          <t>2026-08-10</t>
        </is>
      </c>
    </row>
    <row r="345">
      <c r="A345" t="n">
        <v>57</v>
      </c>
      <c r="B345" t="inlineStr">
        <is>
          <t>Questyle</t>
        </is>
      </c>
      <c r="C345" t="inlineStr">
        <is>
          <t>M18i</t>
        </is>
      </c>
      <c r="D345" t="inlineStr">
        <is>
          <t>Bluetooth</t>
        </is>
      </c>
      <c r="E345" t="inlineStr">
        <is>
          <t>Oui</t>
        </is>
      </c>
      <c r="F345" t="inlineStr">
        <is>
          <t>https://headfonics.com/questyle-m18i-review/2/</t>
        </is>
      </c>
      <c r="G345" s="26" t="inlineStr">
        <is>
          <t>Bluetooth codecs: AC, SBC, aptX HD, aptX Adaptive, LDAC, and LE audio</t>
        </is>
      </c>
      <c r="H345" t="inlineStr">
        <is>
          <t>2026-08-10</t>
        </is>
      </c>
    </row>
    <row r="346">
      <c r="A346" t="n">
        <v>57</v>
      </c>
      <c r="B346" t="inlineStr">
        <is>
          <t>Questyle</t>
        </is>
      </c>
      <c r="C346" t="inlineStr">
        <is>
          <t>M18i</t>
        </is>
      </c>
      <c r="D346" t="inlineStr">
        <is>
          <t>3.5mm</t>
        </is>
      </c>
      <c r="E346" t="inlineStr">
        <is>
          <t>Oui</t>
        </is>
      </c>
      <c r="F346" t="inlineStr">
        <is>
          <t>https://headfonics.com/questyle-m18i-review/2/</t>
        </is>
      </c>
      <c r="G346" s="26" t="inlineStr">
        <is>
          <t>Ports: Two USB-C, 3.5mm, 4.4mm</t>
        </is>
      </c>
      <c r="H346" t="inlineStr">
        <is>
          <t>2026-08-10</t>
        </is>
      </c>
    </row>
    <row r="347">
      <c r="A347" t="n">
        <v>57</v>
      </c>
      <c r="B347" t="inlineStr">
        <is>
          <t>Questyle</t>
        </is>
      </c>
      <c r="C347" t="inlineStr">
        <is>
          <t>M18i</t>
        </is>
      </c>
      <c r="D347" t="inlineStr">
        <is>
          <t>4.4mm</t>
        </is>
      </c>
      <c r="E347" t="inlineStr">
        <is>
          <t>Oui</t>
        </is>
      </c>
      <c r="F347" t="inlineStr">
        <is>
          <t>https://headfonics.com/questyle-m18i-review/2/</t>
        </is>
      </c>
      <c r="G347" s="26" t="inlineStr">
        <is>
          <t>Ports: Two USB-C, 3.5mm, 4.4mm</t>
        </is>
      </c>
      <c r="H347" t="inlineStr">
        <is>
          <t>2026-08-10</t>
        </is>
      </c>
    </row>
    <row r="348">
      <c r="A348" t="n">
        <v>57</v>
      </c>
      <c r="B348" t="inlineStr">
        <is>
          <t>Questyle</t>
        </is>
      </c>
      <c r="C348" t="inlineStr">
        <is>
          <t>M18i</t>
        </is>
      </c>
      <c r="D348" t="inlineStr">
        <is>
          <t>2.5mm</t>
        </is>
      </c>
      <c r="E348" t="inlineStr">
        <is>
          <t>Non</t>
        </is>
      </c>
      <c r="F348" t="inlineStr">
        <is>
          <t>https://headfonics.com/questyle-m18i-review/2/</t>
        </is>
      </c>
      <c r="G348" s="26" t="inlineStr">
        <is>
          <t>Ports: Two USB-C, 3.5mm, 4.4mm</t>
        </is>
      </c>
      <c r="H348" t="inlineStr">
        <is>
          <t>2026-08-10</t>
        </is>
      </c>
    </row>
    <row r="349">
      <c r="A349" t="n">
        <v>57</v>
      </c>
      <c r="B349" t="inlineStr">
        <is>
          <t>Questyle</t>
        </is>
      </c>
      <c r="C349" t="inlineStr">
        <is>
          <t>M18i</t>
        </is>
      </c>
      <c r="D349" t="inlineStr">
        <is>
          <t>6.35mm</t>
        </is>
      </c>
      <c r="E349" t="inlineStr">
        <is>
          <t>Non</t>
        </is>
      </c>
      <c r="F349" t="inlineStr">
        <is>
          <t>https://headfonics.com/questyle-m18i-review/2/</t>
        </is>
      </c>
      <c r="G349" s="26" t="inlineStr">
        <is>
          <t>Ports: Two USB-C, 3.5mm, 4.4mm</t>
        </is>
      </c>
      <c r="H349" t="inlineStr">
        <is>
          <t>2026-08-10</t>
        </is>
      </c>
    </row>
    <row r="350">
      <c r="A350" t="n">
        <v>57</v>
      </c>
      <c r="B350" t="inlineStr">
        <is>
          <t>Questyle</t>
        </is>
      </c>
      <c r="C350" t="inlineStr">
        <is>
          <t>M18i</t>
        </is>
      </c>
      <c r="D350" t="inlineStr">
        <is>
          <t>XLR</t>
        </is>
      </c>
      <c r="E350" t="inlineStr">
        <is>
          <t>Non</t>
        </is>
      </c>
      <c r="F350" t="inlineStr">
        <is>
          <t>https://headfonics.com/questyle-m18i-review/2/</t>
        </is>
      </c>
      <c r="G350" s="26" t="inlineStr">
        <is>
          <t>Ports: Two USB-C, 3.5mm, 4.4mm</t>
        </is>
      </c>
      <c r="H350" t="inlineStr">
        <is>
          <t>2026-08-10</t>
        </is>
      </c>
    </row>
    <row r="351">
      <c r="A351" t="n">
        <v>57</v>
      </c>
      <c r="B351" t="inlineStr">
        <is>
          <t>Questyle</t>
        </is>
      </c>
      <c r="C351" t="inlineStr">
        <is>
          <t>M18i</t>
        </is>
      </c>
      <c r="D351" t="inlineStr">
        <is>
          <t>DSP/PEQ</t>
        </is>
      </c>
      <c r="E351" t="inlineStr">
        <is>
          <t>Non</t>
        </is>
      </c>
      <c r="F351" t="inlineStr">
        <is>
          <t>https://headfonics.com/questyle-m18i-review/2/</t>
        </is>
      </c>
      <c r="G351" s="26" t="inlineStr">
        <is>
          <t>Opposite to that, the M18i has nothing to tailor its sonic signature.</t>
        </is>
      </c>
      <c r="H351" t="inlineStr">
        <is>
          <t>2026-08-10</t>
        </is>
      </c>
    </row>
    <row r="352">
      <c r="A352" t="n">
        <v>58</v>
      </c>
      <c r="B352" t="inlineStr">
        <is>
          <t>FiiO</t>
        </is>
      </c>
      <c r="C352" t="inlineStr">
        <is>
          <t>RR11</t>
        </is>
      </c>
      <c r="D352" t="inlineStr">
        <is>
          <t>Batterie</t>
        </is>
      </c>
      <c r="E352" t="inlineStr">
        <is>
          <t>Oui</t>
        </is>
      </c>
      <c r="F352" t="inlineStr">
        <is>
          <t>https://headfonics.com/fiio-rr11-review/</t>
        </is>
      </c>
      <c r="G352" s="26" t="inlineStr">
        <is>
          <t>With battery operation times listed (and verified, 3x) of 8.5 hours, the only thing missing (to me) on the RR11 is AM for those times you wish to get talk radio or ball games.</t>
        </is>
      </c>
      <c r="H352" t="inlineStr">
        <is>
          <t>2026-08-10</t>
        </is>
      </c>
    </row>
    <row r="353">
      <c r="A353" t="n">
        <v>58</v>
      </c>
      <c r="B353" t="inlineStr">
        <is>
          <t>FiiO</t>
        </is>
      </c>
      <c r="C353" t="inlineStr">
        <is>
          <t>RR11</t>
        </is>
      </c>
      <c r="D353" t="inlineStr">
        <is>
          <t>3.5mm</t>
        </is>
      </c>
      <c r="E353" t="inlineStr">
        <is>
          <t>Oui</t>
        </is>
      </c>
      <c r="F353" t="inlineStr">
        <is>
          <t>https://headfonics.com/fiio-rr11-review/</t>
        </is>
      </c>
      <c r="G353" s="26" t="inlineStr">
        <is>
          <t>The only headphone port is a 3.5mm jack on top, which could theoretically act as a 3.5mm port to an amplifier's AUX port.</t>
        </is>
      </c>
      <c r="H353" t="inlineStr">
        <is>
          <t>2026-08-10</t>
        </is>
      </c>
    </row>
    <row r="354">
      <c r="A354" t="n">
        <v>58</v>
      </c>
      <c r="B354" t="inlineStr">
        <is>
          <t>FiiO</t>
        </is>
      </c>
      <c r="C354" t="inlineStr">
        <is>
          <t>RR11</t>
        </is>
      </c>
      <c r="D354" t="inlineStr">
        <is>
          <t>4.4mm</t>
        </is>
      </c>
      <c r="E354" t="inlineStr">
        <is>
          <t>Non</t>
        </is>
      </c>
      <c r="F354" t="inlineStr">
        <is>
          <t>https://headfonics.com/fiio-rr11-review/</t>
        </is>
      </c>
      <c r="G354" s="26" t="inlineStr">
        <is>
          <t>The only headphone port is a 3.5mm jack on top, which could theoretically act as a 3.5mm port to an amplifier's AUX port.</t>
        </is>
      </c>
      <c r="H354" t="inlineStr">
        <is>
          <t>2026-08-10</t>
        </is>
      </c>
    </row>
    <row r="355">
      <c r="A355" t="n">
        <v>58</v>
      </c>
      <c r="B355" t="inlineStr">
        <is>
          <t>FiiO</t>
        </is>
      </c>
      <c r="C355" t="inlineStr">
        <is>
          <t>RR11</t>
        </is>
      </c>
      <c r="D355" t="inlineStr">
        <is>
          <t>2.5mm</t>
        </is>
      </c>
      <c r="E355" t="inlineStr">
        <is>
          <t>Non</t>
        </is>
      </c>
      <c r="F355" t="inlineStr">
        <is>
          <t>https://headfonics.com/fiio-rr11-review/</t>
        </is>
      </c>
      <c r="G355" s="26" t="inlineStr">
        <is>
          <t>The only headphone port is a 3.5mm jack on top, which could theoretically act as a 3.5mm port to an amplifier's AUX port.</t>
        </is>
      </c>
      <c r="H355" t="inlineStr">
        <is>
          <t>2026-08-10</t>
        </is>
      </c>
    </row>
    <row r="356">
      <c r="A356" t="n">
        <v>58</v>
      </c>
      <c r="B356" t="inlineStr">
        <is>
          <t>FiiO</t>
        </is>
      </c>
      <c r="C356" t="inlineStr">
        <is>
          <t>RR11</t>
        </is>
      </c>
      <c r="D356" t="inlineStr">
        <is>
          <t>6.35mm</t>
        </is>
      </c>
      <c r="E356" t="inlineStr">
        <is>
          <t>Non</t>
        </is>
      </c>
      <c r="F356" t="inlineStr">
        <is>
          <t>https://headfonics.com/fiio-rr11-review/</t>
        </is>
      </c>
      <c r="G356" s="26" t="inlineStr">
        <is>
          <t>The only headphone port is a 3.5mm jack on top, which could theoretically act as a 3.5mm port to an amplifier's AUX port.</t>
        </is>
      </c>
      <c r="H356" t="inlineStr">
        <is>
          <t>2026-08-10</t>
        </is>
      </c>
    </row>
    <row r="357">
      <c r="A357" t="n">
        <v>58</v>
      </c>
      <c r="B357" t="inlineStr">
        <is>
          <t>FiiO</t>
        </is>
      </c>
      <c r="C357" t="inlineStr">
        <is>
          <t>RR11</t>
        </is>
      </c>
      <c r="D357" t="inlineStr">
        <is>
          <t>XLR</t>
        </is>
      </c>
      <c r="E357" t="inlineStr">
        <is>
          <t>Non</t>
        </is>
      </c>
      <c r="F357" t="inlineStr">
        <is>
          <t>https://headfonics.com/fiio-rr11-review/</t>
        </is>
      </c>
      <c r="G357" s="26" t="inlineStr">
        <is>
          <t>The only headphone port is a 3.5mm jack on top, which could theoretically act as a 3.5mm port to an amplifier's AUX port.</t>
        </is>
      </c>
      <c r="H357" t="inlineStr">
        <is>
          <t>2026-08-10</t>
        </is>
      </c>
    </row>
    <row r="358">
      <c r="A358" t="n">
        <v>59</v>
      </c>
      <c r="B358" t="inlineStr">
        <is>
          <t>EarMen</t>
        </is>
      </c>
      <c r="C358" t="inlineStr">
        <is>
          <t>L-Amp</t>
        </is>
      </c>
      <c r="D358" t="inlineStr">
        <is>
          <t>3.5mm</t>
        </is>
      </c>
      <c r="E358" t="inlineStr">
        <is>
          <t>Oui</t>
        </is>
      </c>
      <c r="F358" t="inlineStr">
        <is>
          <t>https://headfonics.com/earmen-l-amp-review/</t>
        </is>
      </c>
      <c r="G358" s="26" t="inlineStr">
        <is>
          <t>The top carries gold-plated 4.4mm balanced and 3.5mm single-ended headphone jacks</t>
        </is>
      </c>
      <c r="H358" t="inlineStr">
        <is>
          <t>2026-08-10</t>
        </is>
      </c>
    </row>
    <row r="359">
      <c r="A359" t="n">
        <v>59</v>
      </c>
      <c r="B359" t="inlineStr">
        <is>
          <t>EarMen</t>
        </is>
      </c>
      <c r="C359" t="inlineStr">
        <is>
          <t>L-Amp</t>
        </is>
      </c>
      <c r="D359" t="inlineStr">
        <is>
          <t>4.4mm</t>
        </is>
      </c>
      <c r="E359" t="inlineStr">
        <is>
          <t>Oui</t>
        </is>
      </c>
      <c r="F359" t="inlineStr">
        <is>
          <t>https://headfonics.com/earmen-l-amp-review/</t>
        </is>
      </c>
      <c r="G359" s="26" t="inlineStr">
        <is>
          <t>The top carries gold-plated 4.4mm balanced and 3.5mm single-ended headphone jacks</t>
        </is>
      </c>
      <c r="H359" t="inlineStr">
        <is>
          <t>2026-08-10</t>
        </is>
      </c>
    </row>
    <row r="360">
      <c r="A360" t="n">
        <v>59</v>
      </c>
      <c r="B360" t="inlineStr">
        <is>
          <t>EarMen</t>
        </is>
      </c>
      <c r="C360" t="inlineStr">
        <is>
          <t>L-Amp</t>
        </is>
      </c>
      <c r="D360" t="inlineStr">
        <is>
          <t>2.5mm</t>
        </is>
      </c>
      <c r="E360" t="inlineStr">
        <is>
          <t>Non</t>
        </is>
      </c>
      <c r="F360" t="inlineStr">
        <is>
          <t>https://headfonics.com/earmen-l-amp-review/</t>
        </is>
      </c>
      <c r="G360" s="26" t="inlineStr">
        <is>
          <t>The top carries gold-plated 4.4mm balanced and 3.5mm single-ended headphone jacks</t>
        </is>
      </c>
      <c r="H360" t="inlineStr">
        <is>
          <t>2026-08-10</t>
        </is>
      </c>
    </row>
    <row r="361">
      <c r="A361" t="n">
        <v>59</v>
      </c>
      <c r="B361" t="inlineStr">
        <is>
          <t>EarMen</t>
        </is>
      </c>
      <c r="C361" t="inlineStr">
        <is>
          <t>L-Amp</t>
        </is>
      </c>
      <c r="D361" t="inlineStr">
        <is>
          <t>6.35mm</t>
        </is>
      </c>
      <c r="E361" t="inlineStr">
        <is>
          <t>Non</t>
        </is>
      </c>
      <c r="F361" t="inlineStr">
        <is>
          <t>https://headfonics.com/earmen-l-amp-review/</t>
        </is>
      </c>
      <c r="G361" s="26" t="inlineStr">
        <is>
          <t>The top carries gold-plated 4.4mm balanced and 3.5mm single-ended headphone jacks</t>
        </is>
      </c>
      <c r="H361" t="inlineStr">
        <is>
          <t>2026-08-10</t>
        </is>
      </c>
    </row>
    <row r="362">
      <c r="A362" t="n">
        <v>59</v>
      </c>
      <c r="B362" t="inlineStr">
        <is>
          <t>EarMen</t>
        </is>
      </c>
      <c r="C362" t="inlineStr">
        <is>
          <t>L-Amp</t>
        </is>
      </c>
      <c r="D362" t="inlineStr">
        <is>
          <t>XLR</t>
        </is>
      </c>
      <c r="E362" t="inlineStr">
        <is>
          <t>Non</t>
        </is>
      </c>
      <c r="F362" t="inlineStr">
        <is>
          <t>https://headfonics.com/earmen-l-amp-review/</t>
        </is>
      </c>
      <c r="G362" s="26" t="inlineStr">
        <is>
          <t>The top carries gold-plated 4.4mm balanced and 3.5mm single-ended headphone jacks</t>
        </is>
      </c>
      <c r="H362" t="inlineStr">
        <is>
          <t>2026-08-10</t>
        </is>
      </c>
    </row>
    <row r="363">
      <c r="A363" t="n">
        <v>60</v>
      </c>
      <c r="B363" t="inlineStr">
        <is>
          <t>FiiO</t>
        </is>
      </c>
      <c r="C363" t="inlineStr">
        <is>
          <t>SNOWSKY RETRO NANO</t>
        </is>
      </c>
      <c r="D363" t="inlineStr">
        <is>
          <t>Batterie</t>
        </is>
      </c>
      <c r="E363" t="inlineStr">
        <is>
          <t>Oui</t>
        </is>
      </c>
      <c r="F363" t="inlineStr">
        <is>
          <t>https://audio46.com/blogs/headphones/fiio-snowsky-retro-nano-bluetooth-dac-amp-review</t>
        </is>
      </c>
      <c r="G363" s="26" t="inlineStr">
        <is>
          <t>The rechargeable 10440 battery provides up to 7.5 hours of playback, with full recharge completed in under two hours via 5V/1A USB-C input</t>
        </is>
      </c>
      <c r="H363" t="inlineStr">
        <is>
          <t>2026-08-10</t>
        </is>
      </c>
    </row>
    <row r="364">
      <c r="A364" t="n">
        <v>60</v>
      </c>
      <c r="B364" t="inlineStr">
        <is>
          <t>FiiO</t>
        </is>
      </c>
      <c r="C364" t="inlineStr">
        <is>
          <t>SNOWSKY RETRO NANO</t>
        </is>
      </c>
      <c r="D364" t="inlineStr">
        <is>
          <t>Bluetooth</t>
        </is>
      </c>
      <c r="E364" t="inlineStr">
        <is>
          <t>Oui</t>
        </is>
      </c>
      <c r="F364" t="inlineStr">
        <is>
          <t>https://audio46.com/blogs/headphones/fiio-snowsky-retro-nano-bluetooth-dac-amp-review</t>
        </is>
      </c>
      <c r="G364" s="26" t="inlineStr">
        <is>
          <t>Bluetooth 5.1 support with QCC5125 chipset enables stable wireless performance.</t>
        </is>
      </c>
      <c r="H364" t="inlineStr">
        <is>
          <t>2026-08-10</t>
        </is>
      </c>
    </row>
    <row r="365">
      <c r="A365" t="n">
        <v>60</v>
      </c>
      <c r="B365" t="inlineStr">
        <is>
          <t>FiiO</t>
        </is>
      </c>
      <c r="C365" t="inlineStr">
        <is>
          <t>SNOWSKY RETRO NANO</t>
        </is>
      </c>
      <c r="D365" t="inlineStr">
        <is>
          <t>3.5mm</t>
        </is>
      </c>
      <c r="E365" t="inlineStr">
        <is>
          <t>Oui</t>
        </is>
      </c>
      <c r="F365" t="inlineStr">
        <is>
          <t>https://audio46.com/blogs/headphones/fiio-snowsky-retro-nano-bluetooth-dac-amp-review</t>
        </is>
      </c>
      <c r="G365" s="26" t="inlineStr">
        <is>
          <t>The device offers dual output options: 3.5mm single-ended and 4.4mm balanced, giving it broad compatibility with various headphone types without needing adapters.</t>
        </is>
      </c>
      <c r="H365" t="inlineStr">
        <is>
          <t>2026-08-10</t>
        </is>
      </c>
    </row>
    <row r="366">
      <c r="A366" t="n">
        <v>60</v>
      </c>
      <c r="B366" t="inlineStr">
        <is>
          <t>FiiO</t>
        </is>
      </c>
      <c r="C366" t="inlineStr">
        <is>
          <t>SNOWSKY RETRO NANO</t>
        </is>
      </c>
      <c r="D366" t="inlineStr">
        <is>
          <t>4.4mm</t>
        </is>
      </c>
      <c r="E366" t="inlineStr">
        <is>
          <t>Oui</t>
        </is>
      </c>
      <c r="F366" t="inlineStr">
        <is>
          <t>https://audio46.com/blogs/headphones/fiio-snowsky-retro-nano-bluetooth-dac-amp-review</t>
        </is>
      </c>
      <c r="G366" s="26" t="inlineStr">
        <is>
          <t>The device offers dual output options: 3.5mm single-ended and 4.4mm balanced, giving it broad compatibility with various headphone types without needing adapters.</t>
        </is>
      </c>
      <c r="H366" t="inlineStr">
        <is>
          <t>2026-08-10</t>
        </is>
      </c>
    </row>
    <row r="367">
      <c r="A367" t="n">
        <v>60</v>
      </c>
      <c r="B367" t="inlineStr">
        <is>
          <t>FiiO</t>
        </is>
      </c>
      <c r="C367" t="inlineStr">
        <is>
          <t>SNOWSKY RETRO NANO</t>
        </is>
      </c>
      <c r="D367" t="inlineStr">
        <is>
          <t>2.5mm</t>
        </is>
      </c>
      <c r="E367" t="inlineStr">
        <is>
          <t>Non</t>
        </is>
      </c>
      <c r="F367" t="inlineStr">
        <is>
          <t>https://audio46.com/blogs/headphones/fiio-snowsky-retro-nano-bluetooth-dac-amp-review</t>
        </is>
      </c>
      <c r="G367" s="26" t="inlineStr">
        <is>
          <t>The device offers dual output options: 3.5mm single-ended and 4.4mm balanced, giving it broad compatibility with various headphone types without needing adapters.</t>
        </is>
      </c>
      <c r="H367" t="inlineStr">
        <is>
          <t>2026-08-10</t>
        </is>
      </c>
    </row>
    <row r="368">
      <c r="A368" t="n">
        <v>60</v>
      </c>
      <c r="B368" t="inlineStr">
        <is>
          <t>FiiO</t>
        </is>
      </c>
      <c r="C368" t="inlineStr">
        <is>
          <t>SNOWSKY RETRO NANO</t>
        </is>
      </c>
      <c r="D368" t="inlineStr">
        <is>
          <t>6.35mm</t>
        </is>
      </c>
      <c r="E368" t="inlineStr">
        <is>
          <t>Non</t>
        </is>
      </c>
      <c r="F368" t="inlineStr">
        <is>
          <t>https://audio46.com/blogs/headphones/fiio-snowsky-retro-nano-bluetooth-dac-amp-review</t>
        </is>
      </c>
      <c r="G368" s="26" t="inlineStr">
        <is>
          <t>The device offers dual output options: 3.5mm single-ended and 4.4mm balanced, giving it broad compatibility with various headphone types without needing adapters.</t>
        </is>
      </c>
      <c r="H368" t="inlineStr">
        <is>
          <t>2026-08-10</t>
        </is>
      </c>
    </row>
    <row r="369">
      <c r="A369" t="n">
        <v>60</v>
      </c>
      <c r="B369" t="inlineStr">
        <is>
          <t>FiiO</t>
        </is>
      </c>
      <c r="C369" t="inlineStr">
        <is>
          <t>SNOWSKY RETRO NANO</t>
        </is>
      </c>
      <c r="D369" t="inlineStr">
        <is>
          <t>XLR</t>
        </is>
      </c>
      <c r="E369" t="inlineStr">
        <is>
          <t>Non</t>
        </is>
      </c>
      <c r="F369" t="inlineStr">
        <is>
          <t>https://audio46.com/blogs/headphones/fiio-snowsky-retro-nano-bluetooth-dac-amp-review</t>
        </is>
      </c>
      <c r="G369" s="26" t="inlineStr">
        <is>
          <t>The device offers dual output options: 3.5mm single-ended and 4.4mm balanced, giving it broad compatibility with various headphone types without needing adapters.</t>
        </is>
      </c>
      <c r="H369" t="inlineStr">
        <is>
          <t>2026-08-10</t>
        </is>
      </c>
    </row>
    <row r="370">
      <c r="A370" t="n">
        <v>60</v>
      </c>
      <c r="B370" t="inlineStr">
        <is>
          <t>FiiO</t>
        </is>
      </c>
      <c r="C370" t="inlineStr">
        <is>
          <t>SNOWSKY RETRO NANO</t>
        </is>
      </c>
      <c r="D370" t="inlineStr">
        <is>
          <t>DSP/PEQ</t>
        </is>
      </c>
      <c r="E370" t="inlineStr">
        <is>
          <t>Oui</t>
        </is>
      </c>
      <c r="F370" t="inlineStr">
        <is>
          <t>https://audio46.com/blogs/headphones/fiio-snowsky-retro-nano-bluetooth-dac-amp-review</t>
        </is>
      </c>
      <c r="G370" s="26" t="inlineStr">
        <is>
          <t>The FiiO Control app significantly enhances user experience, offering: 8 preset EQ profiles, 3 fully customizable EQ slots, Gain and volume control, Button remapping options for user interface refinement.</t>
        </is>
      </c>
      <c r="H370" t="inlineStr">
        <is>
          <t>2026-08-10</t>
        </is>
      </c>
    </row>
    <row r="371">
      <c r="A371" t="n">
        <v>61</v>
      </c>
      <c r="B371" t="inlineStr">
        <is>
          <t>Cayin</t>
        </is>
      </c>
      <c r="C371" t="inlineStr">
        <is>
          <t>C9ii</t>
        </is>
      </c>
      <c r="D371" t="inlineStr">
        <is>
          <t>Batterie</t>
        </is>
      </c>
      <c r="E371" t="inlineStr">
        <is>
          <t>Oui</t>
        </is>
      </c>
      <c r="F371" t="inlineStr">
        <is>
          <t>https://headfonics.com/cayin-c9ii-review/3/</t>
        </is>
      </c>
      <c r="G371" s="26" t="inlineStr">
        <is>
          <t>Quick Release Battery Tray with x4 18650 Samsung 35E Batteries</t>
        </is>
      </c>
      <c r="H371" t="inlineStr">
        <is>
          <t>2026-08-10</t>
        </is>
      </c>
    </row>
    <row r="372">
      <c r="A372" t="n">
        <v>61</v>
      </c>
      <c r="B372" t="inlineStr">
        <is>
          <t>Cayin</t>
        </is>
      </c>
      <c r="C372" t="inlineStr">
        <is>
          <t>C9ii</t>
        </is>
      </c>
      <c r="D372" t="inlineStr">
        <is>
          <t>3.5mm</t>
        </is>
      </c>
      <c r="E372" t="inlineStr">
        <is>
          <t>Oui</t>
        </is>
      </c>
      <c r="F372" t="inlineStr">
        <is>
          <t>https://twister6.com/2024/12/09/cayin-c9ii/</t>
        </is>
      </c>
      <c r="G372" s="26" t="inlineStr">
        <is>
          <t>In the lower-left corner, you have Input ports, 4.4mm BAL and 3.5mm SE, and in the right corner, you have Output ports, 4.4mm BAL and 3.5mm SE</t>
        </is>
      </c>
      <c r="H372" t="inlineStr">
        <is>
          <t>2026-08-10</t>
        </is>
      </c>
    </row>
    <row r="373">
      <c r="A373" t="n">
        <v>61</v>
      </c>
      <c r="B373" t="inlineStr">
        <is>
          <t>Cayin</t>
        </is>
      </c>
      <c r="C373" t="inlineStr">
        <is>
          <t>C9ii</t>
        </is>
      </c>
      <c r="D373" t="inlineStr">
        <is>
          <t>4.4mm</t>
        </is>
      </c>
      <c r="E373" t="inlineStr">
        <is>
          <t>Oui</t>
        </is>
      </c>
      <c r="F373" t="inlineStr">
        <is>
          <t>https://twister6.com/2024/12/09/cayin-c9ii/</t>
        </is>
      </c>
      <c r="G373" s="26" t="inlineStr">
        <is>
          <t>In the lower-left corner, you have Input ports, 4.4mm BAL and 3.5mm SE, and in the right corner, you have Output ports, 4.4mm BAL and 3.5mm SE</t>
        </is>
      </c>
      <c r="H373" t="inlineStr">
        <is>
          <t>2026-08-10</t>
        </is>
      </c>
    </row>
    <row r="374">
      <c r="A374" t="n">
        <v>61</v>
      </c>
      <c r="B374" t="inlineStr">
        <is>
          <t>Cayin</t>
        </is>
      </c>
      <c r="C374" t="inlineStr">
        <is>
          <t>C9ii</t>
        </is>
      </c>
      <c r="D374" t="inlineStr">
        <is>
          <t>2.5mm</t>
        </is>
      </c>
      <c r="E374" t="inlineStr">
        <is>
          <t>Non</t>
        </is>
      </c>
      <c r="F374" t="inlineStr">
        <is>
          <t>https://twister6.com/2024/12/09/cayin-c9ii/</t>
        </is>
      </c>
      <c r="G374" s="26" t="inlineStr">
        <is>
          <t>In the lower-left corner, you have Input ports, 4.4mm BAL and 3.5mm SE, and in the right corner, you have Output ports, 4.4mm BAL and 3.5mm SE</t>
        </is>
      </c>
      <c r="H374" t="inlineStr">
        <is>
          <t>2026-08-10</t>
        </is>
      </c>
    </row>
    <row r="375">
      <c r="A375" t="n">
        <v>61</v>
      </c>
      <c r="B375" t="inlineStr">
        <is>
          <t>Cayin</t>
        </is>
      </c>
      <c r="C375" t="inlineStr">
        <is>
          <t>C9ii</t>
        </is>
      </c>
      <c r="D375" t="inlineStr">
        <is>
          <t>6.35mm</t>
        </is>
      </c>
      <c r="E375" t="inlineStr">
        <is>
          <t>Non</t>
        </is>
      </c>
      <c r="F375" t="inlineStr">
        <is>
          <t>https://twister6.com/2024/12/09/cayin-c9ii/</t>
        </is>
      </c>
      <c r="G375" s="26" t="inlineStr">
        <is>
          <t>In the lower-left corner, you have Input ports, 4.4mm BAL and 3.5mm SE, and in the right corner, you have Output ports, 4.4mm BAL and 3.5mm SE</t>
        </is>
      </c>
      <c r="H375" t="inlineStr">
        <is>
          <t>2026-08-10</t>
        </is>
      </c>
    </row>
    <row r="376">
      <c r="A376" t="n">
        <v>61</v>
      </c>
      <c r="B376" t="inlineStr">
        <is>
          <t>Cayin</t>
        </is>
      </c>
      <c r="C376" t="inlineStr">
        <is>
          <t>C9ii</t>
        </is>
      </c>
      <c r="D376" t="inlineStr">
        <is>
          <t>XLR</t>
        </is>
      </c>
      <c r="E376" t="inlineStr">
        <is>
          <t>Non</t>
        </is>
      </c>
      <c r="F376" t="inlineStr">
        <is>
          <t>https://twister6.com/2024/12/09/cayin-c9ii/</t>
        </is>
      </c>
      <c r="G376" s="26" t="inlineStr">
        <is>
          <t>In the lower-left corner, you have Input ports, 4.4mm BAL and 3.5mm SE, and in the right corner, you have Output ports, 4.4mm BAL and 3.5mm SE</t>
        </is>
      </c>
      <c r="H376" t="inlineStr">
        <is>
          <t>2026-08-10</t>
        </is>
      </c>
    </row>
    <row r="377">
      <c r="A377" t="n">
        <v>62</v>
      </c>
      <c r="B377" t="inlineStr">
        <is>
          <t>ddHiFi</t>
        </is>
      </c>
      <c r="C377" t="inlineStr">
        <is>
          <t>TC35M2</t>
        </is>
      </c>
      <c r="D377" t="inlineStr">
        <is>
          <t>Bluetooth</t>
        </is>
      </c>
      <c r="E377" t="inlineStr">
        <is>
          <t>Non</t>
        </is>
      </c>
      <c r="F377" t="inlineStr">
        <is>
          <t>https://headfonics.com/ddhifi-tc35m2-review/</t>
        </is>
      </c>
      <c r="G377" s="26" t="inlineStr">
        <is>
          <t>On one end is a type-C port used to connect to your phone, DAP, PC, etc., while on the other is a 3.5mm port.</t>
        </is>
      </c>
      <c r="H377" t="inlineStr">
        <is>
          <t>2026-08-10</t>
        </is>
      </c>
    </row>
    <row r="378">
      <c r="A378" t="n">
        <v>62</v>
      </c>
      <c r="B378" t="inlineStr">
        <is>
          <t>ddHiFi</t>
        </is>
      </c>
      <c r="C378" t="inlineStr">
        <is>
          <t>TC35M2</t>
        </is>
      </c>
      <c r="D378" t="inlineStr">
        <is>
          <t>3.5mm</t>
        </is>
      </c>
      <c r="E378" t="inlineStr">
        <is>
          <t>Oui</t>
        </is>
      </c>
      <c r="F378" t="inlineStr">
        <is>
          <t>https://headfonics.com/ddhifi-tc35m2-review/</t>
        </is>
      </c>
      <c r="G378" s="26" t="inlineStr">
        <is>
          <t>On one end is a type-C port used to connect to your phone, DAP, PC, etc., while on the other is a 3.5mm port.</t>
        </is>
      </c>
      <c r="H378" t="inlineStr">
        <is>
          <t>2026-08-10</t>
        </is>
      </c>
    </row>
    <row r="379">
      <c r="A379" t="n">
        <v>62</v>
      </c>
      <c r="B379" t="inlineStr">
        <is>
          <t>ddHiFi</t>
        </is>
      </c>
      <c r="C379" t="inlineStr">
        <is>
          <t>TC35M2</t>
        </is>
      </c>
      <c r="D379" t="inlineStr">
        <is>
          <t>4.4mm</t>
        </is>
      </c>
      <c r="E379" t="inlineStr">
        <is>
          <t>Non</t>
        </is>
      </c>
      <c r="F379" t="inlineStr">
        <is>
          <t>https://headfonics.com/ddhifi-tc35m2-review/</t>
        </is>
      </c>
      <c r="G379" s="26" t="inlineStr">
        <is>
          <t>On one end is a type-C port used to connect to your phone, DAP, PC, etc., while on the other is a 3.5mm port.</t>
        </is>
      </c>
      <c r="H379" t="inlineStr">
        <is>
          <t>2026-08-10</t>
        </is>
      </c>
    </row>
    <row r="380">
      <c r="A380" t="n">
        <v>62</v>
      </c>
      <c r="B380" t="inlineStr">
        <is>
          <t>ddHiFi</t>
        </is>
      </c>
      <c r="C380" t="inlineStr">
        <is>
          <t>TC35M2</t>
        </is>
      </c>
      <c r="D380" t="inlineStr">
        <is>
          <t>2.5mm</t>
        </is>
      </c>
      <c r="E380" t="inlineStr">
        <is>
          <t>Non</t>
        </is>
      </c>
      <c r="F380" t="inlineStr">
        <is>
          <t>https://headfonics.com/ddhifi-tc35m2-review/</t>
        </is>
      </c>
      <c r="G380" s="26" t="inlineStr">
        <is>
          <t>On one end is a type-C port used to connect to your phone, DAP, PC, etc., while on the other is a 3.5mm port.</t>
        </is>
      </c>
      <c r="H380" t="inlineStr">
        <is>
          <t>2026-08-10</t>
        </is>
      </c>
    </row>
    <row r="381">
      <c r="A381" t="n">
        <v>62</v>
      </c>
      <c r="B381" t="inlineStr">
        <is>
          <t>ddHiFi</t>
        </is>
      </c>
      <c r="C381" t="inlineStr">
        <is>
          <t>TC35M2</t>
        </is>
      </c>
      <c r="D381" t="inlineStr">
        <is>
          <t>6.35mm</t>
        </is>
      </c>
      <c r="E381" t="inlineStr">
        <is>
          <t>Non</t>
        </is>
      </c>
      <c r="F381" t="inlineStr">
        <is>
          <t>https://headfonics.com/ddhifi-tc35m2-review/</t>
        </is>
      </c>
      <c r="G381" s="26" t="inlineStr">
        <is>
          <t>On one end is a type-C port used to connect to your phone, DAP, PC, etc., while on the other is a 3.5mm port.</t>
        </is>
      </c>
      <c r="H381" t="inlineStr">
        <is>
          <t>2026-08-10</t>
        </is>
      </c>
    </row>
    <row r="382">
      <c r="A382" t="n">
        <v>62</v>
      </c>
      <c r="B382" t="inlineStr">
        <is>
          <t>ddHiFi</t>
        </is>
      </c>
      <c r="C382" t="inlineStr">
        <is>
          <t>TC35M2</t>
        </is>
      </c>
      <c r="D382" t="inlineStr">
        <is>
          <t>XLR</t>
        </is>
      </c>
      <c r="E382" t="inlineStr">
        <is>
          <t>Non</t>
        </is>
      </c>
      <c r="F382" t="inlineStr">
        <is>
          <t>https://headfonics.com/ddhifi-tc35m2-review/</t>
        </is>
      </c>
      <c r="G382" s="26" t="inlineStr">
        <is>
          <t>On one end is a type-C port used to connect to your phone, DAP, PC, etc., while on the other is a 3.5mm port.</t>
        </is>
      </c>
      <c r="H382" t="inlineStr">
        <is>
          <t>2026-08-10</t>
        </is>
      </c>
    </row>
    <row r="383">
      <c r="A383" t="n">
        <v>63</v>
      </c>
      <c r="B383" t="inlineStr">
        <is>
          <t>iFi audio</t>
        </is>
      </c>
      <c r="C383" t="inlineStr">
        <is>
          <t>GO link Max</t>
        </is>
      </c>
      <c r="D383" t="inlineStr">
        <is>
          <t>Batterie</t>
        </is>
      </c>
      <c r="E383" t="inlineStr">
        <is>
          <t>Non</t>
        </is>
      </c>
      <c r="F383" t="inlineStr">
        <is>
          <t>https://hiendportable.com/ifi-go-link-max-english-review/</t>
        </is>
      </c>
      <c r="G383" s="26" t="inlineStr">
        <is>
          <t>The ifi GO Link Max smashes the 90mA per BAL barrier, reaching 120mA for a dongle that has no battery.</t>
        </is>
      </c>
      <c r="H383" t="inlineStr">
        <is>
          <t>2026-08-10</t>
        </is>
      </c>
    </row>
    <row r="384">
      <c r="A384" t="n">
        <v>63</v>
      </c>
      <c r="B384" t="inlineStr">
        <is>
          <t>iFi audio</t>
        </is>
      </c>
      <c r="C384" t="inlineStr">
        <is>
          <t>GO link Max</t>
        </is>
      </c>
      <c r="D384" t="inlineStr">
        <is>
          <t>Bluetooth</t>
        </is>
      </c>
      <c r="E384" t="inlineStr">
        <is>
          <t>Non</t>
        </is>
      </c>
      <c r="F384" t="inlineStr">
        <is>
          <t>https://hifichicken.com/review-ifi-audio-go-link-max-the-best-dongle-yet</t>
        </is>
      </c>
      <c r="G384" s="26" t="inlineStr">
        <is>
          <t>INPUT | USB-C</t>
        </is>
      </c>
      <c r="H384" t="inlineStr">
        <is>
          <t>2026-08-10</t>
        </is>
      </c>
    </row>
    <row r="385">
      <c r="A385" t="n">
        <v>63</v>
      </c>
      <c r="B385" t="inlineStr">
        <is>
          <t>iFi audio</t>
        </is>
      </c>
      <c r="C385" t="inlineStr">
        <is>
          <t>GO link Max</t>
        </is>
      </c>
      <c r="D385" t="inlineStr">
        <is>
          <t>3.5mm</t>
        </is>
      </c>
      <c r="E385" t="inlineStr">
        <is>
          <t>Oui</t>
        </is>
      </c>
      <c r="F385" t="inlineStr">
        <is>
          <t>https://hifichicken.com/review-ifi-audio-go-link-max-the-best-dongle-yet</t>
        </is>
      </c>
      <c r="G385" s="26" t="inlineStr">
        <is>
          <t>OUTPUT | 4.4mm Balanced 3.5mm S-Balanced</t>
        </is>
      </c>
      <c r="H385" t="inlineStr">
        <is>
          <t>2026-08-10</t>
        </is>
      </c>
    </row>
    <row r="386">
      <c r="A386" t="n">
        <v>63</v>
      </c>
      <c r="B386" t="inlineStr">
        <is>
          <t>iFi audio</t>
        </is>
      </c>
      <c r="C386" t="inlineStr">
        <is>
          <t>GO link Max</t>
        </is>
      </c>
      <c r="D386" t="inlineStr">
        <is>
          <t>4.4mm</t>
        </is>
      </c>
      <c r="E386" t="inlineStr">
        <is>
          <t>Oui</t>
        </is>
      </c>
      <c r="F386" t="inlineStr">
        <is>
          <t>https://hifichicken.com/review-ifi-audio-go-link-max-the-best-dongle-yet</t>
        </is>
      </c>
      <c r="G386" s="26" t="inlineStr">
        <is>
          <t>OUTPUT | 4.4mm Balanced 3.5mm S-Balanced</t>
        </is>
      </c>
      <c r="H386" t="inlineStr">
        <is>
          <t>2026-08-10</t>
        </is>
      </c>
    </row>
    <row r="387">
      <c r="A387" t="n">
        <v>63</v>
      </c>
      <c r="B387" t="inlineStr">
        <is>
          <t>iFi audio</t>
        </is>
      </c>
      <c r="C387" t="inlineStr">
        <is>
          <t>GO link Max</t>
        </is>
      </c>
      <c r="D387" t="inlineStr">
        <is>
          <t>2.5mm</t>
        </is>
      </c>
      <c r="E387" t="inlineStr">
        <is>
          <t>Non</t>
        </is>
      </c>
      <c r="F387" t="inlineStr">
        <is>
          <t>https://hifichicken.com/review-ifi-audio-go-link-max-the-best-dongle-yet</t>
        </is>
      </c>
      <c r="G387" s="26" t="inlineStr">
        <is>
          <t>OUTPUT | 4.4mm Balanced 3.5mm S-Balanced</t>
        </is>
      </c>
      <c r="H387" t="inlineStr">
        <is>
          <t>2026-08-10</t>
        </is>
      </c>
    </row>
    <row r="388">
      <c r="A388" t="n">
        <v>63</v>
      </c>
      <c r="B388" t="inlineStr">
        <is>
          <t>iFi audio</t>
        </is>
      </c>
      <c r="C388" t="inlineStr">
        <is>
          <t>GO link Max</t>
        </is>
      </c>
      <c r="D388" t="inlineStr">
        <is>
          <t>6.35mm</t>
        </is>
      </c>
      <c r="E388" t="inlineStr">
        <is>
          <t>Non</t>
        </is>
      </c>
      <c r="F388" t="inlineStr">
        <is>
          <t>https://hifichicken.com/review-ifi-audio-go-link-max-the-best-dongle-yet</t>
        </is>
      </c>
      <c r="G388" s="26" t="inlineStr">
        <is>
          <t>OUTPUT | 4.4mm Balanced 3.5mm S-Balanced</t>
        </is>
      </c>
      <c r="H388" t="inlineStr">
        <is>
          <t>2026-08-10</t>
        </is>
      </c>
    </row>
    <row r="389">
      <c r="A389" t="n">
        <v>63</v>
      </c>
      <c r="B389" t="inlineStr">
        <is>
          <t>iFi audio</t>
        </is>
      </c>
      <c r="C389" t="inlineStr">
        <is>
          <t>GO link Max</t>
        </is>
      </c>
      <c r="D389" t="inlineStr">
        <is>
          <t>XLR</t>
        </is>
      </c>
      <c r="E389" t="inlineStr">
        <is>
          <t>Non</t>
        </is>
      </c>
      <c r="F389" t="inlineStr">
        <is>
          <t>https://hifichicken.com/review-ifi-audio-go-link-max-the-best-dongle-yet</t>
        </is>
      </c>
      <c r="G389" s="26" t="inlineStr">
        <is>
          <t>OUTPUT | 4.4mm Balanced 3.5mm S-Balanced</t>
        </is>
      </c>
      <c r="H389" t="inlineStr">
        <is>
          <t>2026-08-10</t>
        </is>
      </c>
    </row>
    <row r="390">
      <c r="A390" t="n">
        <v>63</v>
      </c>
      <c r="B390" t="inlineStr">
        <is>
          <t>iFi audio</t>
        </is>
      </c>
      <c r="C390" t="inlineStr">
        <is>
          <t>GO link Max</t>
        </is>
      </c>
      <c r="D390" t="inlineStr">
        <is>
          <t>DSP/PEQ</t>
        </is>
      </c>
      <c r="E390" t="inlineStr">
        <is>
          <t>Non</t>
        </is>
      </c>
      <c r="F390" t="inlineStr">
        <is>
          <t>https://hifichicken.com/review-ifi-audio-go-link-max-the-best-dongle-yet</t>
        </is>
      </c>
      <c r="G390" s="26" t="inlineStr">
        <is>
          <t>There are no settings or buttons, just the pure signal.</t>
        </is>
      </c>
      <c r="H390" t="inlineStr">
        <is>
          <t>2026-08-10</t>
        </is>
      </c>
    </row>
    <row r="391">
      <c r="A391" t="n">
        <v>64</v>
      </c>
      <c r="B391" t="inlineStr">
        <is>
          <t>Heartfield</t>
        </is>
      </c>
      <c r="C391" t="inlineStr">
        <is>
          <t>R1</t>
        </is>
      </c>
      <c r="D391" t="inlineStr">
        <is>
          <t>Bluetooth</t>
        </is>
      </c>
      <c r="E391" t="inlineStr">
        <is>
          <t>Non</t>
        </is>
      </c>
      <c r="F391" t="inlineStr">
        <is>
          <t>https://www.linsoul.com/products/heartfield-r1</t>
        </is>
      </c>
      <c r="G391" s="26" t="inlineStr">
        <is>
          <t>Input
Type-C</t>
        </is>
      </c>
      <c r="H391" t="inlineStr">
        <is>
          <t>2026-08-10</t>
        </is>
      </c>
    </row>
    <row r="392">
      <c r="A392" t="n">
        <v>64</v>
      </c>
      <c r="B392" t="inlineStr">
        <is>
          <t>Heartfield</t>
        </is>
      </c>
      <c r="C392" t="inlineStr">
        <is>
          <t>R1</t>
        </is>
      </c>
      <c r="D392" t="inlineStr">
        <is>
          <t>3.5mm</t>
        </is>
      </c>
      <c r="E392" t="inlineStr">
        <is>
          <t>Oui</t>
        </is>
      </c>
      <c r="F392" t="inlineStr">
        <is>
          <t>https://www.linsoul.com/products/heartfield-r1</t>
        </is>
      </c>
      <c r="G392" s="26" t="inlineStr">
        <is>
          <t>Output
3.5, 4.4</t>
        </is>
      </c>
      <c r="H392" t="inlineStr">
        <is>
          <t>2026-08-10</t>
        </is>
      </c>
    </row>
    <row r="393">
      <c r="A393" t="n">
        <v>64</v>
      </c>
      <c r="B393" t="inlineStr">
        <is>
          <t>Heartfield</t>
        </is>
      </c>
      <c r="C393" t="inlineStr">
        <is>
          <t>R1</t>
        </is>
      </c>
      <c r="D393" t="inlineStr">
        <is>
          <t>4.4mm</t>
        </is>
      </c>
      <c r="E393" t="inlineStr">
        <is>
          <t>Oui</t>
        </is>
      </c>
      <c r="F393" t="inlineStr">
        <is>
          <t>https://www.linsoul.com/products/heartfield-r1</t>
        </is>
      </c>
      <c r="G393" s="26" t="inlineStr">
        <is>
          <t>Output
3.5, 4.4</t>
        </is>
      </c>
      <c r="H393" t="inlineStr">
        <is>
          <t>2026-08-10</t>
        </is>
      </c>
    </row>
    <row r="394">
      <c r="A394" t="n">
        <v>64</v>
      </c>
      <c r="B394" t="inlineStr">
        <is>
          <t>Heartfield</t>
        </is>
      </c>
      <c r="C394" t="inlineStr">
        <is>
          <t>R1</t>
        </is>
      </c>
      <c r="D394" t="inlineStr">
        <is>
          <t>2.5mm</t>
        </is>
      </c>
      <c r="E394" t="inlineStr">
        <is>
          <t>Non</t>
        </is>
      </c>
      <c r="F394" t="inlineStr">
        <is>
          <t>https://www.linsoul.com/products/heartfield-r1</t>
        </is>
      </c>
      <c r="G394" s="26" t="inlineStr">
        <is>
          <t>Output
3.5, 4.4</t>
        </is>
      </c>
      <c r="H394" t="inlineStr">
        <is>
          <t>2026-08-10</t>
        </is>
      </c>
    </row>
    <row r="395">
      <c r="A395" t="n">
        <v>64</v>
      </c>
      <c r="B395" t="inlineStr">
        <is>
          <t>Heartfield</t>
        </is>
      </c>
      <c r="C395" t="inlineStr">
        <is>
          <t>R1</t>
        </is>
      </c>
      <c r="D395" t="inlineStr">
        <is>
          <t>6.35mm</t>
        </is>
      </c>
      <c r="E395" t="inlineStr">
        <is>
          <t>Non</t>
        </is>
      </c>
      <c r="F395" t="inlineStr">
        <is>
          <t>https://www.linsoul.com/products/heartfield-r1</t>
        </is>
      </c>
      <c r="G395" s="26" t="inlineStr">
        <is>
          <t>Output
3.5, 4.4</t>
        </is>
      </c>
      <c r="H395" t="inlineStr">
        <is>
          <t>2026-08-10</t>
        </is>
      </c>
    </row>
    <row r="396">
      <c r="A396" t="n">
        <v>64</v>
      </c>
      <c r="B396" t="inlineStr">
        <is>
          <t>Heartfield</t>
        </is>
      </c>
      <c r="C396" t="inlineStr">
        <is>
          <t>R1</t>
        </is>
      </c>
      <c r="D396" t="inlineStr">
        <is>
          <t>XLR</t>
        </is>
      </c>
      <c r="E396" t="inlineStr">
        <is>
          <t>Non</t>
        </is>
      </c>
      <c r="F396" t="inlineStr">
        <is>
          <t>https://www.linsoul.com/products/heartfield-r1</t>
        </is>
      </c>
      <c r="G396" s="26" t="inlineStr">
        <is>
          <t>Output
3.5, 4.4</t>
        </is>
      </c>
      <c r="H396" t="inlineStr">
        <is>
          <t>2026-08-10</t>
        </is>
      </c>
    </row>
    <row r="397">
      <c r="A397" t="n">
        <v>65</v>
      </c>
      <c r="B397" t="inlineStr">
        <is>
          <t>iBasso</t>
        </is>
      </c>
      <c r="C397" t="inlineStr">
        <is>
          <t>PB5 Osprey</t>
        </is>
      </c>
      <c r="D397" t="inlineStr">
        <is>
          <t>Batterie</t>
        </is>
      </c>
      <c r="E397" t="inlineStr">
        <is>
          <t>Oui</t>
        </is>
      </c>
      <c r="F397" t="inlineStr">
        <is>
          <t>https://headfonics.com/ibasso-pb5-osprey-review/</t>
        </is>
      </c>
      <c r="G397" s="26" t="inlineStr">
        <is>
          <t>The PB5 Osprey's six-battery array is designed to deliver up to just over 10 hours of playback time with charging around 2.5 hours.</t>
        </is>
      </c>
      <c r="H397" t="inlineStr">
        <is>
          <t>2026-08-10</t>
        </is>
      </c>
    </row>
    <row r="398">
      <c r="A398" t="n">
        <v>65</v>
      </c>
      <c r="B398" t="inlineStr">
        <is>
          <t>iBasso</t>
        </is>
      </c>
      <c r="C398" t="inlineStr">
        <is>
          <t>PB5 Osprey</t>
        </is>
      </c>
      <c r="D398" t="inlineStr">
        <is>
          <t>Bluetooth</t>
        </is>
      </c>
      <c r="E398" t="inlineStr">
        <is>
          <t>Non</t>
        </is>
      </c>
      <c r="F398" t="inlineStr">
        <is>
          <t>https://headfonics.com/ibasso-pb5-osprey-review/2/</t>
        </is>
      </c>
      <c r="G398" s="26" t="inlineStr">
        <is>
          <t>Input Port: 4.4mm TRRRS BAL</t>
        </is>
      </c>
      <c r="H398" t="inlineStr">
        <is>
          <t>2026-08-10</t>
        </is>
      </c>
    </row>
    <row r="399">
      <c r="A399" t="n">
        <v>65</v>
      </c>
      <c r="B399" t="inlineStr">
        <is>
          <t>iBasso</t>
        </is>
      </c>
      <c r="C399" t="inlineStr">
        <is>
          <t>PB5 Osprey</t>
        </is>
      </c>
      <c r="D399" t="inlineStr">
        <is>
          <t>3.5mm</t>
        </is>
      </c>
      <c r="E399" t="inlineStr">
        <is>
          <t>Oui</t>
        </is>
      </c>
      <c r="F399" t="inlineStr">
        <is>
          <t>https://headfonics.com/ibasso-pb5-osprey-review/2/</t>
        </is>
      </c>
      <c r="G399" s="26" t="inlineStr">
        <is>
          <t>Output Port: 4.4mm TRRRS BAL | 3.5mm TRRS SE</t>
        </is>
      </c>
      <c r="H399" t="inlineStr">
        <is>
          <t>2026-08-10</t>
        </is>
      </c>
    </row>
    <row r="400">
      <c r="A400" t="n">
        <v>65</v>
      </c>
      <c r="B400" t="inlineStr">
        <is>
          <t>iBasso</t>
        </is>
      </c>
      <c r="C400" t="inlineStr">
        <is>
          <t>PB5 Osprey</t>
        </is>
      </c>
      <c r="D400" t="inlineStr">
        <is>
          <t>4.4mm</t>
        </is>
      </c>
      <c r="E400" t="inlineStr">
        <is>
          <t>Oui</t>
        </is>
      </c>
      <c r="F400" t="inlineStr">
        <is>
          <t>https://headfonics.com/ibasso-pb5-osprey-review/2/</t>
        </is>
      </c>
      <c r="G400" s="26" t="inlineStr">
        <is>
          <t>Output Port: 4.4mm TRRRS BAL | 3.5mm TRRS SE</t>
        </is>
      </c>
      <c r="H400" t="inlineStr">
        <is>
          <t>2026-08-10</t>
        </is>
      </c>
    </row>
    <row r="401">
      <c r="A401" t="n">
        <v>65</v>
      </c>
      <c r="B401" t="inlineStr">
        <is>
          <t>iBasso</t>
        </is>
      </c>
      <c r="C401" t="inlineStr">
        <is>
          <t>PB5 Osprey</t>
        </is>
      </c>
      <c r="D401" t="inlineStr">
        <is>
          <t>2.5mm</t>
        </is>
      </c>
      <c r="E401" t="inlineStr">
        <is>
          <t>Non</t>
        </is>
      </c>
      <c r="F401" t="inlineStr">
        <is>
          <t>https://headfonics.com/ibasso-pb5-osprey-review/2/</t>
        </is>
      </c>
      <c r="G401" s="26" t="inlineStr">
        <is>
          <t>Output Port: 4.4mm TRRRS BAL | 3.5mm TRRS SE</t>
        </is>
      </c>
      <c r="H401" t="inlineStr">
        <is>
          <t>2026-08-10</t>
        </is>
      </c>
    </row>
    <row r="402">
      <c r="A402" t="n">
        <v>65</v>
      </c>
      <c r="B402" t="inlineStr">
        <is>
          <t>iBasso</t>
        </is>
      </c>
      <c r="C402" t="inlineStr">
        <is>
          <t>PB5 Osprey</t>
        </is>
      </c>
      <c r="D402" t="inlineStr">
        <is>
          <t>6.35mm</t>
        </is>
      </c>
      <c r="E402" t="inlineStr">
        <is>
          <t>Non</t>
        </is>
      </c>
      <c r="F402" t="inlineStr">
        <is>
          <t>https://headfonics.com/ibasso-pb5-osprey-review/2/</t>
        </is>
      </c>
      <c r="G402" s="26" t="inlineStr">
        <is>
          <t>Output Port: 4.4mm TRRRS BAL | 3.5mm TRRS SE</t>
        </is>
      </c>
      <c r="H402" t="inlineStr">
        <is>
          <t>2026-08-10</t>
        </is>
      </c>
    </row>
    <row r="403">
      <c r="A403" t="n">
        <v>65</v>
      </c>
      <c r="B403" t="inlineStr">
        <is>
          <t>iBasso</t>
        </is>
      </c>
      <c r="C403" t="inlineStr">
        <is>
          <t>PB5 Osprey</t>
        </is>
      </c>
      <c r="D403" t="inlineStr">
        <is>
          <t>XLR</t>
        </is>
      </c>
      <c r="E403" t="inlineStr">
        <is>
          <t>Non</t>
        </is>
      </c>
      <c r="F403" t="inlineStr">
        <is>
          <t>https://headfonics.com/ibasso-pb5-osprey-review/2/</t>
        </is>
      </c>
      <c r="G403" s="26" t="inlineStr">
        <is>
          <t>Output Port: 4.4mm TRRRS BAL | 3.5mm TRRS SE</t>
        </is>
      </c>
      <c r="H403" t="inlineStr">
        <is>
          <t>2026-08-10</t>
        </is>
      </c>
    </row>
    <row r="404">
      <c r="A404" t="n">
        <v>66</v>
      </c>
      <c r="B404" t="inlineStr">
        <is>
          <t>FiiO</t>
        </is>
      </c>
      <c r="C404" t="inlineStr">
        <is>
          <t>KA15</t>
        </is>
      </c>
      <c r="D404" t="inlineStr">
        <is>
          <t>3.5mm</t>
        </is>
      </c>
      <c r="E404" t="inlineStr">
        <is>
          <t>Oui</t>
        </is>
      </c>
      <c r="F404" t="inlineStr">
        <is>
          <t>https://www.audiophonics.fr/en/mobile-hp-amplifiers/fiio-ka15-black-p-19913.html</t>
        </is>
      </c>
      <c r="G404" s="26" t="inlineStr">
        <is>
          <t>1x Jack 3.5mm single-ended headphone output</t>
        </is>
      </c>
      <c r="H404" t="inlineStr">
        <is>
          <t>2026-08-10</t>
        </is>
      </c>
    </row>
    <row r="405">
      <c r="A405" t="n">
        <v>66</v>
      </c>
      <c r="B405" t="inlineStr">
        <is>
          <t>FiiO</t>
        </is>
      </c>
      <c r="C405" t="inlineStr">
        <is>
          <t>KA15</t>
        </is>
      </c>
      <c r="D405" t="inlineStr">
        <is>
          <t>4.4mm</t>
        </is>
      </c>
      <c r="E405" t="inlineStr">
        <is>
          <t>Oui</t>
        </is>
      </c>
      <c r="F405" t="inlineStr">
        <is>
          <t>https://www.audiophonics.fr/en/mobile-hp-amplifiers/fiio-ka15-black-p-19913.html</t>
        </is>
      </c>
      <c r="G405" s="26" t="inlineStr">
        <is>
          <t>1x Jack 4.4mm balanced headphone output</t>
        </is>
      </c>
      <c r="H405" t="inlineStr">
        <is>
          <t>2026-08-10</t>
        </is>
      </c>
    </row>
    <row r="406">
      <c r="A406" t="n">
        <v>66</v>
      </c>
      <c r="B406" t="inlineStr">
        <is>
          <t>FiiO</t>
        </is>
      </c>
      <c r="C406" t="inlineStr">
        <is>
          <t>KA15</t>
        </is>
      </c>
      <c r="D406" t="inlineStr">
        <is>
          <t>2.5mm</t>
        </is>
      </c>
      <c r="E406" t="inlineStr">
        <is>
          <t>Non</t>
        </is>
      </c>
      <c r="F406" t="inlineStr">
        <is>
          <t>https://www.fiio.com/ka15_parameters</t>
        </is>
      </c>
      <c r="G406" s="26" t="inlineStr">
        <is>
          <t>3.5mm jack: Single-ended/SPDIF output (shared) ; 4.4mm jack: Balanced output</t>
        </is>
      </c>
      <c r="H406" t="inlineStr">
        <is>
          <t>2026-08-10</t>
        </is>
      </c>
    </row>
    <row r="407">
      <c r="A407" t="n">
        <v>66</v>
      </c>
      <c r="B407" t="inlineStr">
        <is>
          <t>FiiO</t>
        </is>
      </c>
      <c r="C407" t="inlineStr">
        <is>
          <t>KA15</t>
        </is>
      </c>
      <c r="D407" t="inlineStr">
        <is>
          <t>6.35mm</t>
        </is>
      </c>
      <c r="E407" t="inlineStr">
        <is>
          <t>Non</t>
        </is>
      </c>
      <c r="F407" t="inlineStr">
        <is>
          <t>https://www.fiio.com/ka15_parameters</t>
        </is>
      </c>
      <c r="G407" s="26" t="inlineStr">
        <is>
          <t>3.5mm jack: Single-ended/SPDIF output (shared) ; 4.4mm jack: Balanced output</t>
        </is>
      </c>
      <c r="H407" t="inlineStr">
        <is>
          <t>2026-08-10</t>
        </is>
      </c>
    </row>
    <row r="408">
      <c r="A408" t="n">
        <v>66</v>
      </c>
      <c r="B408" t="inlineStr">
        <is>
          <t>FiiO</t>
        </is>
      </c>
      <c r="C408" t="inlineStr">
        <is>
          <t>KA15</t>
        </is>
      </c>
      <c r="D408" t="inlineStr">
        <is>
          <t>XLR</t>
        </is>
      </c>
      <c r="E408" t="inlineStr">
        <is>
          <t>Non</t>
        </is>
      </c>
      <c r="F408" t="inlineStr">
        <is>
          <t>https://www.fiio.com/ka15_parameters</t>
        </is>
      </c>
      <c r="G408" s="26" t="inlineStr">
        <is>
          <t>3.5mm jack: Single-ended/SPDIF output (shared) ; 4.4mm jack: Balanced output</t>
        </is>
      </c>
      <c r="H408" t="inlineStr">
        <is>
          <t>2026-08-10</t>
        </is>
      </c>
    </row>
    <row r="409">
      <c r="A409" t="n">
        <v>66</v>
      </c>
      <c r="B409" t="inlineStr">
        <is>
          <t>FiiO</t>
        </is>
      </c>
      <c r="C409" t="inlineStr">
        <is>
          <t>KA15</t>
        </is>
      </c>
      <c r="D409" t="inlineStr">
        <is>
          <t>DSP/PEQ</t>
        </is>
      </c>
      <c r="E409" t="inlineStr">
        <is>
          <t>Oui</t>
        </is>
      </c>
      <c r="F409" t="inlineStr">
        <is>
          <t>https://www.fiio.com/ka15</t>
        </is>
      </c>
      <c r="G409" s="26" t="inlineStr">
        <is>
          <t>10-band high-precision lossless PEQ</t>
        </is>
      </c>
      <c r="H409" t="inlineStr">
        <is>
          <t>2026-08-10</t>
        </is>
      </c>
    </row>
    <row r="410">
      <c r="A410" t="n">
        <v>67</v>
      </c>
      <c r="B410" t="inlineStr">
        <is>
          <t>TempoTec</t>
        </is>
      </c>
      <c r="C410" t="inlineStr">
        <is>
          <t>Sonata BHD Pro</t>
        </is>
      </c>
      <c r="D410" t="inlineStr">
        <is>
          <t>Batterie</t>
        </is>
      </c>
      <c r="E410" t="inlineStr">
        <is>
          <t>Non</t>
        </is>
      </c>
      <c r="F410" t="inlineStr">
        <is>
          <t>https://www.tempotec.net/products/sonata-bhd-pro-usb-dac</t>
        </is>
      </c>
      <c r="G410" s="26" t="inlineStr">
        <is>
          <t>Playing continuously 35 hours on mobile phone with 4000mAh battery</t>
        </is>
      </c>
      <c r="H410" t="inlineStr">
        <is>
          <t>2026-08-10</t>
        </is>
      </c>
    </row>
    <row r="411">
      <c r="A411" t="n">
        <v>67</v>
      </c>
      <c r="B411" t="inlineStr">
        <is>
          <t>TempoTec</t>
        </is>
      </c>
      <c r="C411" t="inlineStr">
        <is>
          <t>Sonata BHD Pro</t>
        </is>
      </c>
      <c r="D411" t="inlineStr">
        <is>
          <t>3.5mm</t>
        </is>
      </c>
      <c r="E411" t="inlineStr">
        <is>
          <t>Oui</t>
        </is>
      </c>
      <c r="F411" t="inlineStr">
        <is>
          <t>https://www.tempotec.net/products/sonata-bhd-pro-usb-dac</t>
        </is>
      </c>
      <c r="G411" s="26" t="inlineStr">
        <is>
          <t>Headphone ports ------ 4.4mm+3.5mm</t>
        </is>
      </c>
      <c r="H411" t="inlineStr">
        <is>
          <t>2026-08-10</t>
        </is>
      </c>
    </row>
    <row r="412">
      <c r="A412" t="n">
        <v>67</v>
      </c>
      <c r="B412" t="inlineStr">
        <is>
          <t>TempoTec</t>
        </is>
      </c>
      <c r="C412" t="inlineStr">
        <is>
          <t>Sonata BHD Pro</t>
        </is>
      </c>
      <c r="D412" t="inlineStr">
        <is>
          <t>4.4mm</t>
        </is>
      </c>
      <c r="E412" t="inlineStr">
        <is>
          <t>Oui</t>
        </is>
      </c>
      <c r="F412" t="inlineStr">
        <is>
          <t>https://www.tempotec.net/products/sonata-bhd-pro-usb-dac</t>
        </is>
      </c>
      <c r="G412" s="26" t="inlineStr">
        <is>
          <t>Headphone ports ------ 4.4mm+3.5mm</t>
        </is>
      </c>
      <c r="H412" t="inlineStr">
        <is>
          <t>2026-08-10</t>
        </is>
      </c>
    </row>
    <row r="413">
      <c r="A413" t="n">
        <v>67</v>
      </c>
      <c r="B413" t="inlineStr">
        <is>
          <t>TempoTec</t>
        </is>
      </c>
      <c r="C413" t="inlineStr">
        <is>
          <t>Sonata BHD Pro</t>
        </is>
      </c>
      <c r="D413" t="inlineStr">
        <is>
          <t>2.5mm</t>
        </is>
      </c>
      <c r="E413" t="inlineStr">
        <is>
          <t>Non</t>
        </is>
      </c>
      <c r="F413" t="inlineStr">
        <is>
          <t>https://www.tempotec.net/products/sonata-bhd-pro-usb-dac</t>
        </is>
      </c>
      <c r="G413" s="26" t="inlineStr">
        <is>
          <t>Headphone ports ------ 4.4mm+3.5mm</t>
        </is>
      </c>
      <c r="H413" t="inlineStr">
        <is>
          <t>2026-08-10</t>
        </is>
      </c>
    </row>
    <row r="414">
      <c r="A414" t="n">
        <v>67</v>
      </c>
      <c r="B414" t="inlineStr">
        <is>
          <t>TempoTec</t>
        </is>
      </c>
      <c r="C414" t="inlineStr">
        <is>
          <t>Sonata BHD Pro</t>
        </is>
      </c>
      <c r="D414" t="inlineStr">
        <is>
          <t>6.35mm</t>
        </is>
      </c>
      <c r="E414" t="inlineStr">
        <is>
          <t>Non</t>
        </is>
      </c>
      <c r="F414" t="inlineStr">
        <is>
          <t>https://www.tempotec.net/products/sonata-bhd-pro-usb-dac</t>
        </is>
      </c>
      <c r="G414" s="26" t="inlineStr">
        <is>
          <t>Headphone ports ------ 4.4mm+3.5mm</t>
        </is>
      </c>
      <c r="H414" t="inlineStr">
        <is>
          <t>2026-08-10</t>
        </is>
      </c>
    </row>
    <row r="415">
      <c r="A415" t="n">
        <v>67</v>
      </c>
      <c r="B415" t="inlineStr">
        <is>
          <t>TempoTec</t>
        </is>
      </c>
      <c r="C415" t="inlineStr">
        <is>
          <t>Sonata BHD Pro</t>
        </is>
      </c>
      <c r="D415" t="inlineStr">
        <is>
          <t>XLR</t>
        </is>
      </c>
      <c r="E415" t="inlineStr">
        <is>
          <t>Non</t>
        </is>
      </c>
      <c r="F415" t="inlineStr">
        <is>
          <t>https://www.tempotec.net/products/sonata-bhd-pro-usb-dac</t>
        </is>
      </c>
      <c r="G415" s="26" t="inlineStr">
        <is>
          <t>Headphone ports ------ 4.4mm+3.5mm</t>
        </is>
      </c>
      <c r="H415" t="inlineStr">
        <is>
          <t>2026-08-10</t>
        </is>
      </c>
    </row>
    <row r="416">
      <c r="A416" t="n">
        <v>68</v>
      </c>
      <c r="B416" t="inlineStr">
        <is>
          <t>iBasso</t>
        </is>
      </c>
      <c r="C416" t="inlineStr">
        <is>
          <t>D16 Taipan</t>
        </is>
      </c>
      <c r="D416" t="inlineStr">
        <is>
          <t>Batterie</t>
        </is>
      </c>
      <c r="E416" t="inlineStr">
        <is>
          <t>Oui</t>
        </is>
      </c>
      <c r="F416" t="inlineStr">
        <is>
          <t>https://www.headfonia.com/ibasso-d16-review/</t>
        </is>
      </c>
      <c r="G416" s="26" t="inlineStr">
        <is>
          <t>9hr Battery Life</t>
        </is>
      </c>
      <c r="H416" t="inlineStr">
        <is>
          <t>2026-08-10</t>
        </is>
      </c>
    </row>
    <row r="417">
      <c r="A417" t="n">
        <v>68</v>
      </c>
      <c r="B417" t="inlineStr">
        <is>
          <t>iBasso</t>
        </is>
      </c>
      <c r="C417" t="inlineStr">
        <is>
          <t>D16 Taipan</t>
        </is>
      </c>
      <c r="D417" t="inlineStr">
        <is>
          <t>Bluetooth</t>
        </is>
      </c>
      <c r="E417" t="inlineStr">
        <is>
          <t>Non</t>
        </is>
      </c>
      <c r="F417" t="inlineStr">
        <is>
          <t>https://www.headfonia.com/ibasso-d16-review/</t>
        </is>
      </c>
      <c r="G417" s="26" t="inlineStr">
        <is>
          <t>Note that it does not have Bluetooth, so you need a source device, such as a smartphone or a DAP, to use it.</t>
        </is>
      </c>
      <c r="H417" t="inlineStr">
        <is>
          <t>2026-08-10</t>
        </is>
      </c>
    </row>
    <row r="418">
      <c r="A418" t="n">
        <v>68</v>
      </c>
      <c r="B418" t="inlineStr">
        <is>
          <t>iBasso</t>
        </is>
      </c>
      <c r="C418" t="inlineStr">
        <is>
          <t>D16 Taipan</t>
        </is>
      </c>
      <c r="D418" t="inlineStr">
        <is>
          <t>3.5mm</t>
        </is>
      </c>
      <c r="E418" t="inlineStr">
        <is>
          <t>Oui</t>
        </is>
      </c>
      <c r="F418" t="inlineStr">
        <is>
          <t>https://www.headfonia.com/ibasso-d16-review/</t>
        </is>
      </c>
      <c r="G418" s="26" t="inlineStr">
        <is>
          <t>The D16's 4.4mm and 3.5mm HPOs can be set as line outs via the integrated menu.</t>
        </is>
      </c>
      <c r="H418" t="inlineStr">
        <is>
          <t>2026-08-10</t>
        </is>
      </c>
    </row>
    <row r="419">
      <c r="A419" t="n">
        <v>68</v>
      </c>
      <c r="B419" t="inlineStr">
        <is>
          <t>iBasso</t>
        </is>
      </c>
      <c r="C419" t="inlineStr">
        <is>
          <t>D16 Taipan</t>
        </is>
      </c>
      <c r="D419" t="inlineStr">
        <is>
          <t>4.4mm</t>
        </is>
      </c>
      <c r="E419" t="inlineStr">
        <is>
          <t>Oui</t>
        </is>
      </c>
      <c r="F419" t="inlineStr">
        <is>
          <t>https://www.headfonia.com/ibasso-d16-review/</t>
        </is>
      </c>
      <c r="G419" s="26" t="inlineStr">
        <is>
          <t>The D16's 4.4mm and 3.5mm HPOs can be set as line outs via the integrated menu.</t>
        </is>
      </c>
      <c r="H419" t="inlineStr">
        <is>
          <t>2026-08-10</t>
        </is>
      </c>
    </row>
    <row r="420">
      <c r="A420" t="n">
        <v>69</v>
      </c>
      <c r="B420" t="inlineStr">
        <is>
          <t>7Hz</t>
        </is>
      </c>
      <c r="C420" t="inlineStr">
        <is>
          <t>Artemis39</t>
        </is>
      </c>
      <c r="D420" t="inlineStr">
        <is>
          <t>Batterie</t>
        </is>
      </c>
      <c r="E420" t="inlineStr">
        <is>
          <t>Oui</t>
        </is>
      </c>
      <c r="F420" t="inlineStr">
        <is>
          <t>https://www.audiophonics.fr/en/portable-dac-and-mobile/7hz-artemis39-p-20719.html</t>
        </is>
      </c>
      <c r="G420" s="26" t="inlineStr">
        <is>
          <t>1100mAh</t>
        </is>
      </c>
      <c r="H420" t="inlineStr">
        <is>
          <t>2026-08-10</t>
        </is>
      </c>
    </row>
    <row r="421">
      <c r="A421" t="n">
        <v>69</v>
      </c>
      <c r="B421" t="inlineStr">
        <is>
          <t>7Hz</t>
        </is>
      </c>
      <c r="C421" t="inlineStr">
        <is>
          <t>Artemis39</t>
        </is>
      </c>
      <c r="D421" t="inlineStr">
        <is>
          <t>Bluetooth</t>
        </is>
      </c>
      <c r="E421" t="inlineStr">
        <is>
          <t>Oui</t>
        </is>
      </c>
      <c r="F421" t="inlineStr">
        <is>
          <t>https://www.audiophonics.fr/en/portable-dac-and-mobile/7hz-artemis39-p-20719.html</t>
        </is>
      </c>
      <c r="G421" s="26" t="inlineStr">
        <is>
          <t>SBC, AAC, aptX, aptX LL, aptX HD, LDAC</t>
        </is>
      </c>
      <c r="H421" t="inlineStr">
        <is>
          <t>2026-08-10</t>
        </is>
      </c>
    </row>
    <row r="422">
      <c r="A422" t="n">
        <v>69</v>
      </c>
      <c r="B422" t="inlineStr">
        <is>
          <t>7Hz</t>
        </is>
      </c>
      <c r="C422" t="inlineStr">
        <is>
          <t>Artemis39</t>
        </is>
      </c>
      <c r="D422" t="inlineStr">
        <is>
          <t>3.5mm</t>
        </is>
      </c>
      <c r="E422" t="inlineStr">
        <is>
          <t>Oui</t>
        </is>
      </c>
      <c r="F422" t="inlineStr">
        <is>
          <t>https://www.audiophonics.fr/en/portable-dac-and-mobile/7hz-artemis39-p-20719.html</t>
        </is>
      </c>
      <c r="G422" s="26" t="inlineStr">
        <is>
          <t>3.5mm jack: 2x 320mW @ 32Ohm</t>
        </is>
      </c>
      <c r="H422" t="inlineStr">
        <is>
          <t>2026-08-10</t>
        </is>
      </c>
    </row>
    <row r="423">
      <c r="A423" t="n">
        <v>69</v>
      </c>
      <c r="B423" t="inlineStr">
        <is>
          <t>7Hz</t>
        </is>
      </c>
      <c r="C423" t="inlineStr">
        <is>
          <t>Artemis39</t>
        </is>
      </c>
      <c r="D423" t="inlineStr">
        <is>
          <t>4.4mm</t>
        </is>
      </c>
      <c r="E423" t="inlineStr">
        <is>
          <t>Oui</t>
        </is>
      </c>
      <c r="F423" t="inlineStr">
        <is>
          <t>https://www.audiophonics.fr/en/portable-dac-and-mobile/7hz-artemis39-p-20719.html</t>
        </is>
      </c>
      <c r="G423" s="26" t="inlineStr">
        <is>
          <t>4.4mm jack: 2x 405mW @ 32Ohm</t>
        </is>
      </c>
      <c r="H423" t="inlineStr">
        <is>
          <t>2026-08-10</t>
        </is>
      </c>
    </row>
    <row r="424">
      <c r="A424" t="n">
        <v>69</v>
      </c>
      <c r="B424" t="inlineStr">
        <is>
          <t>7Hz</t>
        </is>
      </c>
      <c r="C424" t="inlineStr">
        <is>
          <t>Artemis39</t>
        </is>
      </c>
      <c r="D424" t="inlineStr">
        <is>
          <t>2.5mm</t>
        </is>
      </c>
      <c r="E424" t="inlineStr">
        <is>
          <t>Non</t>
        </is>
      </c>
      <c r="F424" t="inlineStr">
        <is>
          <t>https://www.audiophonics.fr/en/portable-dac-and-mobile/7hz-artemis39-p-20719.html</t>
        </is>
      </c>
      <c r="G424" s="26" t="inlineStr">
        <is>
          <t>3.5mm jack: 2x 320mW @ 32Ohm ; 4.4mm jack: 2x 405mW @ 32Ohm</t>
        </is>
      </c>
      <c r="H424" t="inlineStr">
        <is>
          <t>2026-08-10</t>
        </is>
      </c>
    </row>
    <row r="425">
      <c r="A425" t="n">
        <v>69</v>
      </c>
      <c r="B425" t="inlineStr">
        <is>
          <t>7Hz</t>
        </is>
      </c>
      <c r="C425" t="inlineStr">
        <is>
          <t>Artemis39</t>
        </is>
      </c>
      <c r="D425" t="inlineStr">
        <is>
          <t>6.35mm</t>
        </is>
      </c>
      <c r="E425" t="inlineStr">
        <is>
          <t>Non</t>
        </is>
      </c>
      <c r="F425" t="inlineStr">
        <is>
          <t>https://www.audiophonics.fr/en/portable-dac-and-mobile/7hz-artemis39-p-20719.html</t>
        </is>
      </c>
      <c r="G425" s="26" t="inlineStr">
        <is>
          <t>3.5mm jack: 2x 320mW @ 32Ohm ; 4.4mm jack: 2x 405mW @ 32Ohm</t>
        </is>
      </c>
      <c r="H425" t="inlineStr">
        <is>
          <t>2026-08-10</t>
        </is>
      </c>
    </row>
    <row r="426">
      <c r="A426" t="n">
        <v>69</v>
      </c>
      <c r="B426" t="inlineStr">
        <is>
          <t>7Hz</t>
        </is>
      </c>
      <c r="C426" t="inlineStr">
        <is>
          <t>Artemis39</t>
        </is>
      </c>
      <c r="D426" t="inlineStr">
        <is>
          <t>XLR</t>
        </is>
      </c>
      <c r="E426" t="inlineStr">
        <is>
          <t>Non</t>
        </is>
      </c>
      <c r="F426" t="inlineStr">
        <is>
          <t>https://www.audiophonics.fr/en/portable-dac-and-mobile/7hz-artemis39-p-20719.html</t>
        </is>
      </c>
      <c r="G426" s="26" t="inlineStr">
        <is>
          <t>3.5mm jack: 2x 320mW @ 32Ohm ; 4.4mm jack: 2x 405mW @ 32Ohm</t>
        </is>
      </c>
      <c r="H426" t="inlineStr">
        <is>
          <t>2026-08-10</t>
        </is>
      </c>
    </row>
    <row r="427">
      <c r="A427" t="n">
        <v>70</v>
      </c>
      <c r="B427" t="inlineStr">
        <is>
          <t>SMSL</t>
        </is>
      </c>
      <c r="C427" t="inlineStr">
        <is>
          <t>D10</t>
        </is>
      </c>
      <c r="D427" t="inlineStr">
        <is>
          <t>3.5mm</t>
        </is>
      </c>
      <c r="E427" t="inlineStr">
        <is>
          <t>Oui</t>
        </is>
      </c>
      <c r="F427" t="inlineStr">
        <is>
          <t>https://headfonics.com/smsl-d10-review/</t>
        </is>
      </c>
      <c r="G427" s="26" t="inlineStr">
        <is>
          <t>The two ports consist of a single-ended 3.5mm tap and a 4.4mm balanced tap.</t>
        </is>
      </c>
      <c r="H427" t="inlineStr">
        <is>
          <t>2026-08-10</t>
        </is>
      </c>
    </row>
    <row r="428">
      <c r="A428" t="n">
        <v>70</v>
      </c>
      <c r="B428" t="inlineStr">
        <is>
          <t>SMSL</t>
        </is>
      </c>
      <c r="C428" t="inlineStr">
        <is>
          <t>D10</t>
        </is>
      </c>
      <c r="D428" t="inlineStr">
        <is>
          <t>4.4mm</t>
        </is>
      </c>
      <c r="E428" t="inlineStr">
        <is>
          <t>Oui</t>
        </is>
      </c>
      <c r="F428" t="inlineStr">
        <is>
          <t>https://www.smsl-audio.com/portal/product/detail/id/884.html</t>
        </is>
      </c>
      <c r="G428" s="26" t="inlineStr">
        <is>
          <t>4.4mm balanced headphone output</t>
        </is>
      </c>
      <c r="H428" t="inlineStr">
        <is>
          <t>2026-08-10</t>
        </is>
      </c>
    </row>
    <row r="429">
      <c r="A429" t="n">
        <v>70</v>
      </c>
      <c r="B429" t="inlineStr">
        <is>
          <t>SMSL</t>
        </is>
      </c>
      <c r="C429" t="inlineStr">
        <is>
          <t>D10</t>
        </is>
      </c>
      <c r="D429" t="inlineStr">
        <is>
          <t>2.5mm</t>
        </is>
      </c>
      <c r="E429" t="inlineStr">
        <is>
          <t>Non</t>
        </is>
      </c>
      <c r="F429" t="inlineStr">
        <is>
          <t>https://headfonics.com/smsl-d10-review/</t>
        </is>
      </c>
      <c r="G429" s="26" t="inlineStr">
        <is>
          <t>a pair of headphone outputs. That's it. The two ports consist of a single-ended 3.5mm tap and a 4.4mm balanced tap.</t>
        </is>
      </c>
      <c r="H429" t="inlineStr">
        <is>
          <t>2026-08-10</t>
        </is>
      </c>
    </row>
    <row r="430">
      <c r="A430" t="n">
        <v>70</v>
      </c>
      <c r="B430" t="inlineStr">
        <is>
          <t>SMSL</t>
        </is>
      </c>
      <c r="C430" t="inlineStr">
        <is>
          <t>D10</t>
        </is>
      </c>
      <c r="D430" t="inlineStr">
        <is>
          <t>6.35mm</t>
        </is>
      </c>
      <c r="E430" t="inlineStr">
        <is>
          <t>Non</t>
        </is>
      </c>
      <c r="F430" t="inlineStr">
        <is>
          <t>https://headfonics.com/smsl-d10-review/</t>
        </is>
      </c>
      <c r="G430" s="26" t="inlineStr">
        <is>
          <t>a pair of headphone outputs. That's it. The two ports consist of a single-ended 3.5mm tap and a 4.4mm balanced tap.</t>
        </is>
      </c>
      <c r="H430" t="inlineStr">
        <is>
          <t>2026-08-10</t>
        </is>
      </c>
    </row>
    <row r="431">
      <c r="A431" t="n">
        <v>70</v>
      </c>
      <c r="B431" t="inlineStr">
        <is>
          <t>SMSL</t>
        </is>
      </c>
      <c r="C431" t="inlineStr">
        <is>
          <t>D10</t>
        </is>
      </c>
      <c r="D431" t="inlineStr">
        <is>
          <t>XLR</t>
        </is>
      </c>
      <c r="E431" t="inlineStr">
        <is>
          <t>Non</t>
        </is>
      </c>
      <c r="F431" t="inlineStr">
        <is>
          <t>https://headfonics.com/smsl-d10-review/</t>
        </is>
      </c>
      <c r="G431" s="26" t="inlineStr">
        <is>
          <t>a pair of headphone outputs. That's it. The two ports consist of a single-ended 3.5mm tap and a 4.4mm balanced tap.</t>
        </is>
      </c>
      <c r="H431" t="inlineStr">
        <is>
          <t>2026-08-10</t>
        </is>
      </c>
    </row>
    <row r="432">
      <c r="A432" t="n">
        <v>71</v>
      </c>
      <c r="B432" t="inlineStr">
        <is>
          <t>FiiO</t>
        </is>
      </c>
      <c r="C432" t="inlineStr">
        <is>
          <t>JA11</t>
        </is>
      </c>
      <c r="D432" t="inlineStr">
        <is>
          <t>3.5mm</t>
        </is>
      </c>
      <c r="E432" t="inlineStr">
        <is>
          <t>Oui</t>
        </is>
      </c>
      <c r="F432" t="inlineStr">
        <is>
          <t>https://headfonics.com/fiio-ja11-review/</t>
        </is>
      </c>
      <c r="G432" s="26" t="inlineStr">
        <is>
          <t>The FiiO JA11 is meant for portable use so it only offers a 3.5mm TRS single-ended output.</t>
        </is>
      </c>
      <c r="H432" t="inlineStr">
        <is>
          <t>2026-08-10</t>
        </is>
      </c>
    </row>
    <row r="433">
      <c r="A433" t="n">
        <v>71</v>
      </c>
      <c r="B433" t="inlineStr">
        <is>
          <t>FiiO</t>
        </is>
      </c>
      <c r="C433" t="inlineStr">
        <is>
          <t>JA11</t>
        </is>
      </c>
      <c r="D433" t="inlineStr">
        <is>
          <t>4.4mm</t>
        </is>
      </c>
      <c r="E433" t="inlineStr">
        <is>
          <t>Non</t>
        </is>
      </c>
      <c r="F433" t="inlineStr">
        <is>
          <t>https://headfonics.com/fiio-ja11-review/</t>
        </is>
      </c>
      <c r="G433" s="26" t="inlineStr">
        <is>
          <t>There's no 4.4mm or 2.5mm for balanced users.</t>
        </is>
      </c>
      <c r="H433" t="inlineStr">
        <is>
          <t>2026-08-10</t>
        </is>
      </c>
    </row>
    <row r="434">
      <c r="A434" t="n">
        <v>71</v>
      </c>
      <c r="B434" t="inlineStr">
        <is>
          <t>FiiO</t>
        </is>
      </c>
      <c r="C434" t="inlineStr">
        <is>
          <t>JA11</t>
        </is>
      </c>
      <c r="D434" t="inlineStr">
        <is>
          <t>2.5mm</t>
        </is>
      </c>
      <c r="E434" t="inlineStr">
        <is>
          <t>Non</t>
        </is>
      </c>
      <c r="F434" t="inlineStr">
        <is>
          <t>https://headfonics.com/fiio-ja11-review/</t>
        </is>
      </c>
      <c r="G434" s="26" t="inlineStr">
        <is>
          <t>There's no 4.4mm or 2.5mm for balanced users.</t>
        </is>
      </c>
      <c r="H434" t="inlineStr">
        <is>
          <t>2026-08-10</t>
        </is>
      </c>
    </row>
    <row r="435">
      <c r="A435" t="n">
        <v>71</v>
      </c>
      <c r="B435" t="inlineStr">
        <is>
          <t>FiiO</t>
        </is>
      </c>
      <c r="C435" t="inlineStr">
        <is>
          <t>JA11</t>
        </is>
      </c>
      <c r="D435" t="inlineStr">
        <is>
          <t>6.35mm</t>
        </is>
      </c>
      <c r="E435" t="inlineStr">
        <is>
          <t>Non</t>
        </is>
      </c>
      <c r="F435" t="inlineStr">
        <is>
          <t>https://headfonics.com/fiio-ja11-review/</t>
        </is>
      </c>
      <c r="G435" s="26" t="inlineStr">
        <is>
          <t>it only offers a 3.5mm TRS single-ended output</t>
        </is>
      </c>
      <c r="H435" t="inlineStr">
        <is>
          <t>2026-08-10</t>
        </is>
      </c>
    </row>
    <row r="436">
      <c r="A436" t="n">
        <v>71</v>
      </c>
      <c r="B436" t="inlineStr">
        <is>
          <t>FiiO</t>
        </is>
      </c>
      <c r="C436" t="inlineStr">
        <is>
          <t>JA11</t>
        </is>
      </c>
      <c r="D436" t="inlineStr">
        <is>
          <t>XLR</t>
        </is>
      </c>
      <c r="E436" t="inlineStr">
        <is>
          <t>Non</t>
        </is>
      </c>
      <c r="F436" t="inlineStr">
        <is>
          <t>https://headfonics.com/fiio-ja11-review/</t>
        </is>
      </c>
      <c r="G436" s="26" t="inlineStr">
        <is>
          <t>it only offers a 3.5mm TRS single-ended output</t>
        </is>
      </c>
      <c r="H436" t="inlineStr">
        <is>
          <t>2026-08-10</t>
        </is>
      </c>
    </row>
    <row r="437">
      <c r="A437" t="n">
        <v>71</v>
      </c>
      <c r="B437" t="inlineStr">
        <is>
          <t>FiiO</t>
        </is>
      </c>
      <c r="C437" t="inlineStr">
        <is>
          <t>JA11</t>
        </is>
      </c>
      <c r="D437" t="inlineStr">
        <is>
          <t>DSP/PEQ</t>
        </is>
      </c>
      <c r="E437" t="inlineStr">
        <is>
          <t>Oui</t>
        </is>
      </c>
      <c r="F437" t="inlineStr">
        <is>
          <t>https://fiio.uk/products/fiio-jade-audio-ja11-dongle-dac-and-headphone-amp</t>
        </is>
      </c>
      <c r="G437" s="26" t="inlineStr">
        <is>
          <t>With a built-in professional DSP, the ability to set custom PEQ curves, and even access to PEQ curves recommended and shared by others, you can have fun dialing in the sound exactly the way you want it.</t>
        </is>
      </c>
      <c r="H437" t="inlineStr">
        <is>
          <t>2026-08-10</t>
        </is>
      </c>
    </row>
    <row r="438">
      <c r="A438" t="n">
        <v>72</v>
      </c>
      <c r="B438" t="inlineStr">
        <is>
          <t>Shanling</t>
        </is>
      </c>
      <c r="C438" t="inlineStr">
        <is>
          <t>H2</t>
        </is>
      </c>
      <c r="D438" t="inlineStr">
        <is>
          <t>Batterie</t>
        </is>
      </c>
      <c r="E438" t="inlineStr">
        <is>
          <t>Oui</t>
        </is>
      </c>
      <c r="F438" t="inlineStr">
        <is>
          <t>https://www.audiophonics.fr/en/portable-dac-and-mobile/shanling-h2-black-p-18619.html</t>
        </is>
      </c>
      <c r="G438" s="26" t="inlineStr">
        <is>
          <t>2100mAh battery</t>
        </is>
      </c>
      <c r="H438" t="inlineStr">
        <is>
          <t>2026-08-10</t>
        </is>
      </c>
    </row>
    <row r="439">
      <c r="A439" t="n">
        <v>72</v>
      </c>
      <c r="B439" t="inlineStr">
        <is>
          <t>Shanling</t>
        </is>
      </c>
      <c r="C439" t="inlineStr">
        <is>
          <t>H2</t>
        </is>
      </c>
      <c r="D439" t="inlineStr">
        <is>
          <t>Bluetooth</t>
        </is>
      </c>
      <c r="E439" t="inlineStr">
        <is>
          <t>Oui</t>
        </is>
      </c>
      <c r="F439" t="inlineStr">
        <is>
          <t>https://www.audiophonics.fr/en/portable-dac-and-mobile/shanling-h2-black-p-18619.html</t>
        </is>
      </c>
      <c r="G439" s="26" t="inlineStr">
        <is>
          <t>SBC / AAC / LDAC</t>
        </is>
      </c>
      <c r="H439" t="inlineStr">
        <is>
          <t>2026-08-10</t>
        </is>
      </c>
    </row>
    <row r="440">
      <c r="A440" t="n">
        <v>72</v>
      </c>
      <c r="B440" t="inlineStr">
        <is>
          <t>Shanling</t>
        </is>
      </c>
      <c r="C440" t="inlineStr">
        <is>
          <t>H2</t>
        </is>
      </c>
      <c r="D440" t="inlineStr">
        <is>
          <t>3.5mm</t>
        </is>
      </c>
      <c r="E440" t="inlineStr">
        <is>
          <t>Oui</t>
        </is>
      </c>
      <c r="F440" t="inlineStr">
        <is>
          <t>https://www.audiophonics.fr/en/portable-dac-and-mobile/shanling-h2-black-p-18619.html</t>
        </is>
      </c>
      <c r="G440" s="26" t="inlineStr">
        <is>
          <t>1x 3.5mm jack</t>
        </is>
      </c>
      <c r="H440" t="inlineStr">
        <is>
          <t>2026-08-10</t>
        </is>
      </c>
    </row>
    <row r="441">
      <c r="A441" t="n">
        <v>72</v>
      </c>
      <c r="B441" t="inlineStr">
        <is>
          <t>Shanling</t>
        </is>
      </c>
      <c r="C441" t="inlineStr">
        <is>
          <t>H2</t>
        </is>
      </c>
      <c r="D441" t="inlineStr">
        <is>
          <t>4.4mm</t>
        </is>
      </c>
      <c r="E441" t="inlineStr">
        <is>
          <t>Oui</t>
        </is>
      </c>
      <c r="F441" t="inlineStr">
        <is>
          <t>https://www.audiophonics.fr/en/portable-dac-and-mobile/shanling-h2-black-p-18619.html</t>
        </is>
      </c>
      <c r="G441" s="26" t="inlineStr">
        <is>
          <t>1x 4.4mm jack</t>
        </is>
      </c>
      <c r="H441" t="inlineStr">
        <is>
          <t>2026-08-10</t>
        </is>
      </c>
    </row>
    <row r="442">
      <c r="A442" t="n">
        <v>72</v>
      </c>
      <c r="B442" t="inlineStr">
        <is>
          <t>Shanling</t>
        </is>
      </c>
      <c r="C442" t="inlineStr">
        <is>
          <t>H2</t>
        </is>
      </c>
      <c r="D442" t="inlineStr">
        <is>
          <t>2.5mm</t>
        </is>
      </c>
      <c r="E442" t="inlineStr">
        <is>
          <t>Non</t>
        </is>
      </c>
      <c r="F442" t="inlineStr">
        <is>
          <t>https://www.audiophonics.fr/en/portable-dac-and-mobile/shanling-h2-black-p-18619.html</t>
        </is>
      </c>
      <c r="G442" s="26" t="inlineStr">
        <is>
          <t>1x 3.5mm jack ; 1x 4.4mm jack</t>
        </is>
      </c>
      <c r="H442" t="inlineStr">
        <is>
          <t>2026-08-10</t>
        </is>
      </c>
    </row>
    <row r="443">
      <c r="A443" t="n">
        <v>72</v>
      </c>
      <c r="B443" t="inlineStr">
        <is>
          <t>Shanling</t>
        </is>
      </c>
      <c r="C443" t="inlineStr">
        <is>
          <t>H2</t>
        </is>
      </c>
      <c r="D443" t="inlineStr">
        <is>
          <t>6.35mm</t>
        </is>
      </c>
      <c r="E443" t="inlineStr">
        <is>
          <t>Non</t>
        </is>
      </c>
      <c r="F443" t="inlineStr">
        <is>
          <t>https://www.audiophonics.fr/en/portable-dac-and-mobile/shanling-h2-black-p-18619.html</t>
        </is>
      </c>
      <c r="G443" s="26" t="inlineStr">
        <is>
          <t>1x 3.5mm jack ; 1x 4.4mm jack</t>
        </is>
      </c>
      <c r="H443" t="inlineStr">
        <is>
          <t>2026-08-10</t>
        </is>
      </c>
    </row>
    <row r="444">
      <c r="A444" t="n">
        <v>72</v>
      </c>
      <c r="B444" t="inlineStr">
        <is>
          <t>Shanling</t>
        </is>
      </c>
      <c r="C444" t="inlineStr">
        <is>
          <t>H2</t>
        </is>
      </c>
      <c r="D444" t="inlineStr">
        <is>
          <t>XLR</t>
        </is>
      </c>
      <c r="E444" t="inlineStr">
        <is>
          <t>Non</t>
        </is>
      </c>
      <c r="F444" t="inlineStr">
        <is>
          <t>https://www.audiophonics.fr/en/portable-dac-and-mobile/shanling-h2-black-p-18619.html</t>
        </is>
      </c>
      <c r="G444" s="26" t="inlineStr">
        <is>
          <t>1x 3.5mm jack ; 1x 4.4mm jack</t>
        </is>
      </c>
      <c r="H444" t="inlineStr">
        <is>
          <t>2026-08-10</t>
        </is>
      </c>
    </row>
    <row r="445">
      <c r="A445" t="n">
        <v>73</v>
      </c>
      <c r="B445" t="inlineStr">
        <is>
          <t>LETSHUOER</t>
        </is>
      </c>
      <c r="C445" t="inlineStr">
        <is>
          <t>DT03</t>
        </is>
      </c>
      <c r="D445" t="inlineStr">
        <is>
          <t>3.5mm</t>
        </is>
      </c>
      <c r="E445" t="inlineStr">
        <is>
          <t>Oui</t>
        </is>
      </c>
      <c r="F445" t="inlineStr">
        <is>
          <t>https://headfonics.com/letshuoer-dt03-review/</t>
        </is>
      </c>
      <c r="G445" s="26" t="inlineStr">
        <is>
          <t>3.5mm SE and a 4.4mm balanced output</t>
        </is>
      </c>
      <c r="H445" t="inlineStr">
        <is>
          <t>2026-08-10</t>
        </is>
      </c>
    </row>
    <row r="446">
      <c r="A446" t="n">
        <v>73</v>
      </c>
      <c r="B446" t="inlineStr">
        <is>
          <t>LETSHUOER</t>
        </is>
      </c>
      <c r="C446" t="inlineStr">
        <is>
          <t>DT03</t>
        </is>
      </c>
      <c r="D446" t="inlineStr">
        <is>
          <t>4.4mm</t>
        </is>
      </c>
      <c r="E446" t="inlineStr">
        <is>
          <t>Oui</t>
        </is>
      </c>
      <c r="F446" t="inlineStr">
        <is>
          <t>https://headfonics.com/letshuoer-dt03-review/</t>
        </is>
      </c>
      <c r="G446" s="26" t="inlineStr">
        <is>
          <t>3.5mm SE and a 4.4mm balanced output</t>
        </is>
      </c>
      <c r="H446" t="inlineStr">
        <is>
          <t>2026-08-10</t>
        </is>
      </c>
    </row>
    <row r="447">
      <c r="A447" t="n">
        <v>74</v>
      </c>
      <c r="B447" t="inlineStr">
        <is>
          <t>Kiwi Ears</t>
        </is>
      </c>
      <c r="C447" t="inlineStr">
        <is>
          <t>Allegro</t>
        </is>
      </c>
      <c r="D447" t="inlineStr">
        <is>
          <t>3.5mm</t>
        </is>
      </c>
      <c r="E447" t="inlineStr">
        <is>
          <t>Oui</t>
        </is>
      </c>
      <c r="F447" t="inlineStr">
        <is>
          <t>https://en.pifferia.com/products/kiwi-ears-allegro-dac</t>
        </is>
      </c>
      <c r="G447" s="26" t="inlineStr">
        <is>
          <t>Allegro features dual output options: a 3.5mm single-ended and a 4.4mm balanced output.</t>
        </is>
      </c>
      <c r="H447" t="inlineStr">
        <is>
          <t>2026-08-10</t>
        </is>
      </c>
    </row>
    <row r="448">
      <c r="A448" t="n">
        <v>74</v>
      </c>
      <c r="B448" t="inlineStr">
        <is>
          <t>Kiwi Ears</t>
        </is>
      </c>
      <c r="C448" t="inlineStr">
        <is>
          <t>Allegro</t>
        </is>
      </c>
      <c r="D448" t="inlineStr">
        <is>
          <t>4.4mm</t>
        </is>
      </c>
      <c r="E448" t="inlineStr">
        <is>
          <t>Oui</t>
        </is>
      </c>
      <c r="F448" t="inlineStr">
        <is>
          <t>https://en.pifferia.com/products/kiwi-ears-allegro-dac</t>
        </is>
      </c>
      <c r="G448" s="26" t="inlineStr">
        <is>
          <t>Allegro features dual output options: a 3.5mm single-ended and a 4.4mm balanced output.</t>
        </is>
      </c>
      <c r="H448" t="inlineStr">
        <is>
          <t>2026-08-10</t>
        </is>
      </c>
    </row>
    <row r="449">
      <c r="A449" t="n">
        <v>74</v>
      </c>
      <c r="B449" t="inlineStr">
        <is>
          <t>Kiwi Ears</t>
        </is>
      </c>
      <c r="C449" t="inlineStr">
        <is>
          <t>Allegro</t>
        </is>
      </c>
      <c r="D449" t="inlineStr">
        <is>
          <t>2.5mm</t>
        </is>
      </c>
      <c r="E449" t="inlineStr">
        <is>
          <t>Non</t>
        </is>
      </c>
      <c r="F449" t="inlineStr">
        <is>
          <t>https://en.pifferia.com/products/kiwi-ears-allegro-dac</t>
        </is>
      </c>
      <c r="G449" s="26" t="inlineStr">
        <is>
          <t>Allegro features dual output options: a 3.5mm single-ended and a 4.4mm balanced output.</t>
        </is>
      </c>
      <c r="H449" t="inlineStr">
        <is>
          <t>2026-08-10</t>
        </is>
      </c>
    </row>
    <row r="450">
      <c r="A450" t="n">
        <v>74</v>
      </c>
      <c r="B450" t="inlineStr">
        <is>
          <t>Kiwi Ears</t>
        </is>
      </c>
      <c r="C450" t="inlineStr">
        <is>
          <t>Allegro</t>
        </is>
      </c>
      <c r="D450" t="inlineStr">
        <is>
          <t>6.35mm</t>
        </is>
      </c>
      <c r="E450" t="inlineStr">
        <is>
          <t>Non</t>
        </is>
      </c>
      <c r="F450" t="inlineStr">
        <is>
          <t>https://en.pifferia.com/products/kiwi-ears-allegro-dac</t>
        </is>
      </c>
      <c r="G450" s="26" t="inlineStr">
        <is>
          <t>Allegro features dual output options: a 3.5mm single-ended and a 4.4mm balanced output.</t>
        </is>
      </c>
      <c r="H450" t="inlineStr">
        <is>
          <t>2026-08-10</t>
        </is>
      </c>
    </row>
    <row r="451">
      <c r="A451" t="n">
        <v>74</v>
      </c>
      <c r="B451" t="inlineStr">
        <is>
          <t>Kiwi Ears</t>
        </is>
      </c>
      <c r="C451" t="inlineStr">
        <is>
          <t>Allegro</t>
        </is>
      </c>
      <c r="D451" t="inlineStr">
        <is>
          <t>XLR</t>
        </is>
      </c>
      <c r="E451" t="inlineStr">
        <is>
          <t>Non</t>
        </is>
      </c>
      <c r="F451" t="inlineStr">
        <is>
          <t>https://en.pifferia.com/products/kiwi-ears-allegro-dac</t>
        </is>
      </c>
      <c r="G451" s="26" t="inlineStr">
        <is>
          <t>Allegro features dual output options: a 3.5mm single-ended and a 4.4mm balanced output.</t>
        </is>
      </c>
      <c r="H451" t="inlineStr">
        <is>
          <t>2026-08-10</t>
        </is>
      </c>
    </row>
    <row r="452">
      <c r="A452" t="n">
        <v>75</v>
      </c>
      <c r="B452" t="inlineStr">
        <is>
          <t>Hidizs</t>
        </is>
      </c>
      <c r="C452" t="inlineStr">
        <is>
          <t>S8 Pro Robin</t>
        </is>
      </c>
      <c r="D452" t="inlineStr">
        <is>
          <t>Batterie</t>
        </is>
      </c>
      <c r="E452" t="inlineStr">
        <is>
          <t>Non</t>
        </is>
      </c>
      <c r="F452" t="inlineStr">
        <is>
          <t>https://www.hidizs.net/products/hidizs-s8-pro-robin-hifi-balanced-dongle-dac</t>
        </is>
      </c>
      <c r="G452" s="26" t="inlineStr">
        <is>
          <t>No need to charge. Plug and play</t>
        </is>
      </c>
      <c r="H452" t="inlineStr">
        <is>
          <t>2026-08-10</t>
        </is>
      </c>
    </row>
    <row r="453">
      <c r="A453" t="n">
        <v>75</v>
      </c>
      <c r="B453" t="inlineStr">
        <is>
          <t>Hidizs</t>
        </is>
      </c>
      <c r="C453" t="inlineStr">
        <is>
          <t>S8 Pro Robin</t>
        </is>
      </c>
      <c r="D453" t="inlineStr">
        <is>
          <t>3.5mm</t>
        </is>
      </c>
      <c r="E453" t="inlineStr">
        <is>
          <t>Oui</t>
        </is>
      </c>
      <c r="F453" t="inlineStr">
        <is>
          <t>https://www.hidizs.net/products/hidizs-s8-pro-robin-hifi-balanced-dongle-dac</t>
        </is>
      </c>
      <c r="G453" s="26" t="inlineStr">
        <is>
          <t>80mW+80mW SE 3.5mm / 160mW+160mW BAL 4.4mm</t>
        </is>
      </c>
      <c r="H453" t="inlineStr">
        <is>
          <t>2026-08-10</t>
        </is>
      </c>
    </row>
    <row r="454">
      <c r="A454" t="n">
        <v>75</v>
      </c>
      <c r="B454" t="inlineStr">
        <is>
          <t>Hidizs</t>
        </is>
      </c>
      <c r="C454" t="inlineStr">
        <is>
          <t>S8 Pro Robin</t>
        </is>
      </c>
      <c r="D454" t="inlineStr">
        <is>
          <t>4.4mm</t>
        </is>
      </c>
      <c r="E454" t="inlineStr">
        <is>
          <t>Oui</t>
        </is>
      </c>
      <c r="F454" t="inlineStr">
        <is>
          <t>https://www.hidizs.net/products/hidizs-s8-pro-robin-hifi-balanced-dongle-dac</t>
        </is>
      </c>
      <c r="G454" s="26" t="inlineStr">
        <is>
          <t>80mW+80mW SE 3.5mm / 160mW+160mW BAL 4.4mm</t>
        </is>
      </c>
      <c r="H454" t="inlineStr">
        <is>
          <t>2026-08-10</t>
        </is>
      </c>
    </row>
    <row r="455">
      <c r="A455" t="n">
        <v>75</v>
      </c>
      <c r="B455" t="inlineStr">
        <is>
          <t>Hidizs</t>
        </is>
      </c>
      <c r="C455" t="inlineStr">
        <is>
          <t>S8 Pro Robin</t>
        </is>
      </c>
      <c r="D455" t="inlineStr">
        <is>
          <t>2.5mm</t>
        </is>
      </c>
      <c r="E455" t="inlineStr">
        <is>
          <t>Non</t>
        </is>
      </c>
      <c r="F455" t="inlineStr">
        <is>
          <t>https://www.hidizs.net/products/hidizs-s8-pro-robin-hifi-balanced-dongle-dac</t>
        </is>
      </c>
      <c r="G455" s="26" t="inlineStr">
        <is>
          <t>80mW+80mW SE 3.5mm / 160mW+160mW BAL 4.4mm</t>
        </is>
      </c>
      <c r="H455" t="inlineStr">
        <is>
          <t>2026-08-10</t>
        </is>
      </c>
    </row>
    <row r="456">
      <c r="A456" t="n">
        <v>75</v>
      </c>
      <c r="B456" t="inlineStr">
        <is>
          <t>Hidizs</t>
        </is>
      </c>
      <c r="C456" t="inlineStr">
        <is>
          <t>S8 Pro Robin</t>
        </is>
      </c>
      <c r="D456" t="inlineStr">
        <is>
          <t>6.35mm</t>
        </is>
      </c>
      <c r="E456" t="inlineStr">
        <is>
          <t>Non</t>
        </is>
      </c>
      <c r="F456" t="inlineStr">
        <is>
          <t>https://www.hidizs.net/products/hidizs-s8-pro-robin-hifi-balanced-dongle-dac</t>
        </is>
      </c>
      <c r="G456" s="26" t="inlineStr">
        <is>
          <t>80mW+80mW SE 3.5mm / 160mW+160mW BAL 4.4mm</t>
        </is>
      </c>
      <c r="H456" t="inlineStr">
        <is>
          <t>2026-08-10</t>
        </is>
      </c>
    </row>
    <row r="457">
      <c r="A457" t="n">
        <v>75</v>
      </c>
      <c r="B457" t="inlineStr">
        <is>
          <t>Hidizs</t>
        </is>
      </c>
      <c r="C457" t="inlineStr">
        <is>
          <t>S8 Pro Robin</t>
        </is>
      </c>
      <c r="D457" t="inlineStr">
        <is>
          <t>XLR</t>
        </is>
      </c>
      <c r="E457" t="inlineStr">
        <is>
          <t>Non</t>
        </is>
      </c>
      <c r="F457" t="inlineStr">
        <is>
          <t>https://www.hidizs.net/products/hidizs-s8-pro-robin-hifi-balanced-dongle-dac</t>
        </is>
      </c>
      <c r="G457" s="26" t="inlineStr">
        <is>
          <t>80mW+80mW SE 3.5mm / 160mW+160mW BAL 4.4mm</t>
        </is>
      </c>
      <c r="H457" t="inlineStr">
        <is>
          <t>2026-08-10</t>
        </is>
      </c>
    </row>
    <row r="458">
      <c r="A458" t="n">
        <v>76</v>
      </c>
      <c r="B458" t="inlineStr">
        <is>
          <t>iFi audio</t>
        </is>
      </c>
      <c r="C458" t="inlineStr">
        <is>
          <t>GO bar Kensei</t>
        </is>
      </c>
      <c r="D458" t="inlineStr">
        <is>
          <t>Bluetooth</t>
        </is>
      </c>
      <c r="E458" t="inlineStr">
        <is>
          <t>Non</t>
        </is>
      </c>
      <c r="F458" t="inlineStr">
        <is>
          <t>https://ifi-audio.com/products/go-bar-kensei/</t>
        </is>
      </c>
      <c r="G458" s="26" t="inlineStr">
        <is>
          <t>INPUT: USB-C</t>
        </is>
      </c>
      <c r="H458" t="inlineStr">
        <is>
          <t>2026-08-10</t>
        </is>
      </c>
    </row>
    <row r="459">
      <c r="A459" t="n">
        <v>76</v>
      </c>
      <c r="B459" t="inlineStr">
        <is>
          <t>iFi audio</t>
        </is>
      </c>
      <c r="C459" t="inlineStr">
        <is>
          <t>GO bar Kensei</t>
        </is>
      </c>
      <c r="D459" t="inlineStr">
        <is>
          <t>3.5mm</t>
        </is>
      </c>
      <c r="E459" t="inlineStr">
        <is>
          <t>Oui</t>
        </is>
      </c>
      <c r="F459" t="inlineStr">
        <is>
          <t>https://ifi-audio.com/products/go-bar-kensei/</t>
        </is>
      </c>
      <c r="G459" s="26" t="inlineStr">
        <is>
          <t>a 3.5mm output channelling iFi's 'S Balanced' technology</t>
        </is>
      </c>
      <c r="H459" t="inlineStr">
        <is>
          <t>2026-08-10</t>
        </is>
      </c>
    </row>
    <row r="460">
      <c r="A460" t="n">
        <v>76</v>
      </c>
      <c r="B460" t="inlineStr">
        <is>
          <t>iFi audio</t>
        </is>
      </c>
      <c r="C460" t="inlineStr">
        <is>
          <t>GO bar Kensei</t>
        </is>
      </c>
      <c r="D460" t="inlineStr">
        <is>
          <t>4.4mm</t>
        </is>
      </c>
      <c r="E460" t="inlineStr">
        <is>
          <t>Oui</t>
        </is>
      </c>
      <c r="F460" t="inlineStr">
        <is>
          <t>https://ifi-audio.com/products/go-bar-kensei/</t>
        </is>
      </c>
      <c r="G460" s="26" t="inlineStr">
        <is>
          <t>balanced 4.4mm output</t>
        </is>
      </c>
      <c r="H460" t="inlineStr">
        <is>
          <t>2026-08-10</t>
        </is>
      </c>
    </row>
    <row r="461">
      <c r="A461" t="n">
        <v>76</v>
      </c>
      <c r="B461" t="inlineStr">
        <is>
          <t>iFi audio</t>
        </is>
      </c>
      <c r="C461" t="inlineStr">
        <is>
          <t>GO bar Kensei</t>
        </is>
      </c>
      <c r="D461" t="inlineStr">
        <is>
          <t>2.5mm</t>
        </is>
      </c>
      <c r="E461" t="inlineStr">
        <is>
          <t>Non</t>
        </is>
      </c>
      <c r="F461" t="inlineStr">
        <is>
          <t>https://ifi-audio.com/products/go-bar-kensei/</t>
        </is>
      </c>
      <c r="G461" s="26" t="inlineStr">
        <is>
          <t>RMS OUTPUT POWER: Balanced: 477mW@32Ohm; 7.2V@600Ohm / S-Bal: 300mW@32Ohm; 3.8V@600Ohm</t>
        </is>
      </c>
      <c r="H461" t="inlineStr">
        <is>
          <t>2026-08-10</t>
        </is>
      </c>
    </row>
    <row r="462">
      <c r="A462" t="n">
        <v>76</v>
      </c>
      <c r="B462" t="inlineStr">
        <is>
          <t>iFi audio</t>
        </is>
      </c>
      <c r="C462" t="inlineStr">
        <is>
          <t>GO bar Kensei</t>
        </is>
      </c>
      <c r="D462" t="inlineStr">
        <is>
          <t>6.35mm</t>
        </is>
      </c>
      <c r="E462" t="inlineStr">
        <is>
          <t>Non</t>
        </is>
      </c>
      <c r="F462" t="inlineStr">
        <is>
          <t>https://ifi-audio.com/products/go-bar-kensei/</t>
        </is>
      </c>
      <c r="G462" s="26" t="inlineStr">
        <is>
          <t>RMS OUTPUT POWER: Balanced: 477mW@32Ohm; 7.2V@600Ohm / S-Bal: 300mW@32Ohm; 3.8V@600Ohm</t>
        </is>
      </c>
      <c r="H462" t="inlineStr">
        <is>
          <t>2026-08-10</t>
        </is>
      </c>
    </row>
    <row r="463">
      <c r="A463" t="n">
        <v>76</v>
      </c>
      <c r="B463" t="inlineStr">
        <is>
          <t>iFi audio</t>
        </is>
      </c>
      <c r="C463" t="inlineStr">
        <is>
          <t>GO bar Kensei</t>
        </is>
      </c>
      <c r="D463" t="inlineStr">
        <is>
          <t>XLR</t>
        </is>
      </c>
      <c r="E463" t="inlineStr">
        <is>
          <t>Non</t>
        </is>
      </c>
      <c r="F463" t="inlineStr">
        <is>
          <t>https://ifi-audio.com/products/go-bar-kensei/</t>
        </is>
      </c>
      <c r="G463" s="26" t="inlineStr">
        <is>
          <t>RMS OUTPUT POWER: Balanced: 477mW@32Ohm; 7.2V@600Ohm / S-Bal: 300mW@32Ohm; 3.8V@600Ohm</t>
        </is>
      </c>
      <c r="H463" t="inlineStr">
        <is>
          <t>2026-08-10</t>
        </is>
      </c>
    </row>
    <row r="464">
      <c r="A464" t="n">
        <v>77</v>
      </c>
      <c r="B464" t="inlineStr">
        <is>
          <t>ONIX</t>
        </is>
      </c>
      <c r="C464" t="inlineStr">
        <is>
          <t>Mystic XP1</t>
        </is>
      </c>
      <c r="D464" t="inlineStr">
        <is>
          <t>Batterie</t>
        </is>
      </c>
      <c r="E464" t="inlineStr">
        <is>
          <t>Oui</t>
        </is>
      </c>
      <c r="F464" t="inlineStr">
        <is>
          <t>https://www.headphonezone.in/products/onix-mystic-xp1</t>
        </is>
      </c>
      <c r="G464" s="26" t="inlineStr">
        <is>
          <t>7000 mAh, dedicated USB-C charging port</t>
        </is>
      </c>
      <c r="H464" t="inlineStr">
        <is>
          <t>2026-08-10</t>
        </is>
      </c>
    </row>
    <row r="465">
      <c r="A465" t="n">
        <v>77</v>
      </c>
      <c r="B465" t="inlineStr">
        <is>
          <t>ONIX</t>
        </is>
      </c>
      <c r="C465" t="inlineStr">
        <is>
          <t>Mystic XP1</t>
        </is>
      </c>
      <c r="D465" t="inlineStr">
        <is>
          <t>Bluetooth</t>
        </is>
      </c>
      <c r="E465" t="inlineStr">
        <is>
          <t>Oui</t>
        </is>
      </c>
      <c r="F465" t="inlineStr">
        <is>
          <t>https://www.headphonezone.in/products/onix-mystic-xp1</t>
        </is>
      </c>
      <c r="G465" s="26" t="inlineStr">
        <is>
          <t>LDAC / aptX HD/ aptX/SBC/AAC</t>
        </is>
      </c>
      <c r="H465" t="inlineStr">
        <is>
          <t>2026-08-10</t>
        </is>
      </c>
    </row>
    <row r="466">
      <c r="A466" t="n">
        <v>77</v>
      </c>
      <c r="B466" t="inlineStr">
        <is>
          <t>ONIX</t>
        </is>
      </c>
      <c r="C466" t="inlineStr">
        <is>
          <t>Mystic XP1</t>
        </is>
      </c>
      <c r="D466" t="inlineStr">
        <is>
          <t>3.5mm</t>
        </is>
      </c>
      <c r="E466" t="inlineStr">
        <is>
          <t>Oui</t>
        </is>
      </c>
      <c r="F466" t="inlineStr">
        <is>
          <t>https://www.headphonezone.in/products/onix-mystic-xp1</t>
        </is>
      </c>
      <c r="G466" s="26" t="inlineStr">
        <is>
          <t>3.5mm &amp; 6.5mm Single-Ended, 4.4mm Balanced</t>
        </is>
      </c>
      <c r="H466" t="inlineStr">
        <is>
          <t>2026-08-10</t>
        </is>
      </c>
    </row>
    <row r="467">
      <c r="A467" t="n">
        <v>77</v>
      </c>
      <c r="B467" t="inlineStr">
        <is>
          <t>ONIX</t>
        </is>
      </c>
      <c r="C467" t="inlineStr">
        <is>
          <t>Mystic XP1</t>
        </is>
      </c>
      <c r="D467" t="inlineStr">
        <is>
          <t>4.4mm</t>
        </is>
      </c>
      <c r="E467" t="inlineStr">
        <is>
          <t>Oui</t>
        </is>
      </c>
      <c r="F467" t="inlineStr">
        <is>
          <t>https://www.headphonezone.in/products/onix-mystic-xp1</t>
        </is>
      </c>
      <c r="G467" s="26" t="inlineStr">
        <is>
          <t>3.5mm &amp; 6.5mm Single-Ended, 4.4mm Balanced</t>
        </is>
      </c>
      <c r="H467" t="inlineStr">
        <is>
          <t>2026-08-10</t>
        </is>
      </c>
    </row>
    <row r="468">
      <c r="A468" t="n">
        <v>77</v>
      </c>
      <c r="B468" t="inlineStr">
        <is>
          <t>ONIX</t>
        </is>
      </c>
      <c r="C468" t="inlineStr">
        <is>
          <t>Mystic XP1</t>
        </is>
      </c>
      <c r="D468" t="inlineStr">
        <is>
          <t>2.5mm</t>
        </is>
      </c>
      <c r="E468" t="inlineStr">
        <is>
          <t>Non</t>
        </is>
      </c>
      <c r="F468" t="inlineStr">
        <is>
          <t>https://www.headphonezone.in/products/onix-mystic-xp1</t>
        </is>
      </c>
      <c r="G468" s="26" t="inlineStr">
        <is>
          <t>3.5mm &amp; 6.5mm Single-Ended, 4.4mm Balanced</t>
        </is>
      </c>
      <c r="H468" t="inlineStr">
        <is>
          <t>2026-08-10</t>
        </is>
      </c>
    </row>
    <row r="469">
      <c r="A469" t="n">
        <v>77</v>
      </c>
      <c r="B469" t="inlineStr">
        <is>
          <t>ONIX</t>
        </is>
      </c>
      <c r="C469" t="inlineStr">
        <is>
          <t>Mystic XP1</t>
        </is>
      </c>
      <c r="D469" t="inlineStr">
        <is>
          <t>6.35mm</t>
        </is>
      </c>
      <c r="E469" t="inlineStr">
        <is>
          <t>Oui</t>
        </is>
      </c>
      <c r="F469" t="inlineStr">
        <is>
          <t>https://www.headphonezone.in/products/onix-mystic-xp1</t>
        </is>
      </c>
      <c r="G469" s="26" t="inlineStr">
        <is>
          <t>3.5mm &amp; 6.5mm Single-Ended, 4.4mm Balanced</t>
        </is>
      </c>
      <c r="H469" t="inlineStr">
        <is>
          <t>2026-08-10</t>
        </is>
      </c>
    </row>
    <row r="470">
      <c r="A470" t="n">
        <v>77</v>
      </c>
      <c r="B470" t="inlineStr">
        <is>
          <t>ONIX</t>
        </is>
      </c>
      <c r="C470" t="inlineStr">
        <is>
          <t>Mystic XP1</t>
        </is>
      </c>
      <c r="D470" t="inlineStr">
        <is>
          <t>XLR</t>
        </is>
      </c>
      <c r="E470" t="inlineStr">
        <is>
          <t>Non</t>
        </is>
      </c>
      <c r="F470" t="inlineStr">
        <is>
          <t>https://www.headphonezone.in/products/onix-mystic-xp1</t>
        </is>
      </c>
      <c r="G470" s="26" t="inlineStr">
        <is>
          <t>3.5mm &amp; 6.5mm Single-Ended, 4.4mm Balanced</t>
        </is>
      </c>
      <c r="H470" t="inlineStr">
        <is>
          <t>2026-08-10</t>
        </is>
      </c>
    </row>
    <row r="471">
      <c r="A471" t="n">
        <v>78</v>
      </c>
      <c r="B471" t="inlineStr">
        <is>
          <t>Shanling</t>
        </is>
      </c>
      <c r="C471" t="inlineStr">
        <is>
          <t>UA4</t>
        </is>
      </c>
      <c r="D471" t="inlineStr">
        <is>
          <t>3.5mm</t>
        </is>
      </c>
      <c r="E471" t="inlineStr">
        <is>
          <t>Oui</t>
        </is>
      </c>
      <c r="F471" t="inlineStr">
        <is>
          <t>https://www.audiophonics.fr/en/portable-dac-and-mobile/shanling-ua4-silver-p-18612.html</t>
        </is>
      </c>
      <c r="G471" s="26" t="inlineStr">
        <is>
          <t>1x Single-ended 3.5mm jack</t>
        </is>
      </c>
      <c r="H471" t="inlineStr">
        <is>
          <t>2026-08-10</t>
        </is>
      </c>
    </row>
    <row r="472">
      <c r="A472" t="n">
        <v>78</v>
      </c>
      <c r="B472" t="inlineStr">
        <is>
          <t>Shanling</t>
        </is>
      </c>
      <c r="C472" t="inlineStr">
        <is>
          <t>UA4</t>
        </is>
      </c>
      <c r="D472" t="inlineStr">
        <is>
          <t>4.4mm</t>
        </is>
      </c>
      <c r="E472" t="inlineStr">
        <is>
          <t>Oui</t>
        </is>
      </c>
      <c r="F472" t="inlineStr">
        <is>
          <t>https://www.audiophonics.fr/en/portable-dac-and-mobile/shanling-ua4-silver-p-18612.html</t>
        </is>
      </c>
      <c r="G472" s="26" t="inlineStr">
        <is>
          <t>1x Balanced 4.4mm jack</t>
        </is>
      </c>
      <c r="H472" t="inlineStr">
        <is>
          <t>2026-08-10</t>
        </is>
      </c>
    </row>
    <row r="473">
      <c r="A473" t="n">
        <v>78</v>
      </c>
      <c r="B473" t="inlineStr">
        <is>
          <t>Shanling</t>
        </is>
      </c>
      <c r="C473" t="inlineStr">
        <is>
          <t>UA4</t>
        </is>
      </c>
      <c r="D473" t="inlineStr">
        <is>
          <t>2.5mm</t>
        </is>
      </c>
      <c r="E473" t="inlineStr">
        <is>
          <t>Non</t>
        </is>
      </c>
      <c r="F473" t="inlineStr">
        <is>
          <t>https://www.audiophonics.fr/en/portable-dac-and-mobile/shanling-ua4-silver-p-18612.html</t>
        </is>
      </c>
      <c r="G473" s="26" t="inlineStr">
        <is>
          <t>1x Single-ended 3.5mm jack ; 1x Balanced 4.4mm jack</t>
        </is>
      </c>
      <c r="H473" t="inlineStr">
        <is>
          <t>2026-08-10</t>
        </is>
      </c>
    </row>
    <row r="474">
      <c r="A474" t="n">
        <v>78</v>
      </c>
      <c r="B474" t="inlineStr">
        <is>
          <t>Shanling</t>
        </is>
      </c>
      <c r="C474" t="inlineStr">
        <is>
          <t>UA4</t>
        </is>
      </c>
      <c r="D474" t="inlineStr">
        <is>
          <t>6.35mm</t>
        </is>
      </c>
      <c r="E474" t="inlineStr">
        <is>
          <t>Non</t>
        </is>
      </c>
      <c r="F474" t="inlineStr">
        <is>
          <t>https://www.audiophonics.fr/en/portable-dac-and-mobile/shanling-ua4-silver-p-18612.html</t>
        </is>
      </c>
      <c r="G474" s="26" t="inlineStr">
        <is>
          <t>1x Single-ended 3.5mm jack ; 1x Balanced 4.4mm jack</t>
        </is>
      </c>
      <c r="H474" t="inlineStr">
        <is>
          <t>2026-08-10</t>
        </is>
      </c>
    </row>
    <row r="475">
      <c r="A475" t="n">
        <v>78</v>
      </c>
      <c r="B475" t="inlineStr">
        <is>
          <t>Shanling</t>
        </is>
      </c>
      <c r="C475" t="inlineStr">
        <is>
          <t>UA4</t>
        </is>
      </c>
      <c r="D475" t="inlineStr">
        <is>
          <t>XLR</t>
        </is>
      </c>
      <c r="E475" t="inlineStr">
        <is>
          <t>Non</t>
        </is>
      </c>
      <c r="F475" t="inlineStr">
        <is>
          <t>https://www.audiophonics.fr/en/portable-dac-and-mobile/shanling-ua4-silver-p-18612.html</t>
        </is>
      </c>
      <c r="G475" s="26" t="inlineStr">
        <is>
          <t>1x Single-ended 3.5mm jack ; 1x Balanced 4.4mm jack</t>
        </is>
      </c>
      <c r="H475" t="inlineStr">
        <is>
          <t>2026-08-10</t>
        </is>
      </c>
    </row>
    <row r="476">
      <c r="A476" t="n">
        <v>79</v>
      </c>
      <c r="B476" t="inlineStr">
        <is>
          <t>FiiO</t>
        </is>
      </c>
      <c r="C476" t="inlineStr">
        <is>
          <t>KA11</t>
        </is>
      </c>
      <c r="D476" t="inlineStr">
        <is>
          <t>3.5mm</t>
        </is>
      </c>
      <c r="E476" t="inlineStr">
        <is>
          <t>Oui</t>
        </is>
      </c>
      <c r="F476" t="inlineStr">
        <is>
          <t>https://headfonics.com/fiio-ka11-review/</t>
        </is>
      </c>
      <c r="G476" s="26" t="inlineStr">
        <is>
          <t>The FiiO KA11 is single-ended only so it's just a single 3.5mm headphone jack with no balanced 4.4mm or 2.5mm support.</t>
        </is>
      </c>
      <c r="H476" t="inlineStr">
        <is>
          <t>2026-08-10</t>
        </is>
      </c>
    </row>
    <row r="477">
      <c r="A477" t="n">
        <v>79</v>
      </c>
      <c r="B477" t="inlineStr">
        <is>
          <t>FiiO</t>
        </is>
      </c>
      <c r="C477" t="inlineStr">
        <is>
          <t>KA11</t>
        </is>
      </c>
      <c r="D477" t="inlineStr">
        <is>
          <t>4.4mm</t>
        </is>
      </c>
      <c r="E477" t="inlineStr">
        <is>
          <t>Non</t>
        </is>
      </c>
      <c r="F477" t="inlineStr">
        <is>
          <t>https://headfonics.com/fiio-ka11-review/</t>
        </is>
      </c>
      <c r="G477" s="26" t="inlineStr">
        <is>
          <t>The FiiO KA11 is single-ended only so it's just a single 3.5mm headphone jack with no balanced 4.4mm or 2.5mm support.</t>
        </is>
      </c>
      <c r="H477" t="inlineStr">
        <is>
          <t>2026-08-10</t>
        </is>
      </c>
    </row>
    <row r="478">
      <c r="A478" t="n">
        <v>79</v>
      </c>
      <c r="B478" t="inlineStr">
        <is>
          <t>FiiO</t>
        </is>
      </c>
      <c r="C478" t="inlineStr">
        <is>
          <t>KA11</t>
        </is>
      </c>
      <c r="D478" t="inlineStr">
        <is>
          <t>2.5mm</t>
        </is>
      </c>
      <c r="E478" t="inlineStr">
        <is>
          <t>Non</t>
        </is>
      </c>
      <c r="F478" t="inlineStr">
        <is>
          <t>https://headfonics.com/fiio-ka11-review/</t>
        </is>
      </c>
      <c r="G478" s="26" t="inlineStr">
        <is>
          <t>The FiiO KA11 is single-ended only so it's just a single 3.5mm headphone jack with no balanced 4.4mm or 2.5mm support.</t>
        </is>
      </c>
      <c r="H478" t="inlineStr">
        <is>
          <t>2026-08-10</t>
        </is>
      </c>
    </row>
    <row r="479">
      <c r="A479" t="n">
        <v>79</v>
      </c>
      <c r="B479" t="inlineStr">
        <is>
          <t>FiiO</t>
        </is>
      </c>
      <c r="C479" t="inlineStr">
        <is>
          <t>KA11</t>
        </is>
      </c>
      <c r="D479" t="inlineStr">
        <is>
          <t>6.35mm</t>
        </is>
      </c>
      <c r="E479" t="inlineStr">
        <is>
          <t>Non</t>
        </is>
      </c>
      <c r="F479" t="inlineStr">
        <is>
          <t>https://headfonics.com/fiio-ka11-review/</t>
        </is>
      </c>
      <c r="G479" s="26" t="inlineStr">
        <is>
          <t>it's just a single 3.5mm headphone jack</t>
        </is>
      </c>
      <c r="H479" t="inlineStr">
        <is>
          <t>2026-08-10</t>
        </is>
      </c>
    </row>
    <row r="480">
      <c r="A480" t="n">
        <v>79</v>
      </c>
      <c r="B480" t="inlineStr">
        <is>
          <t>FiiO</t>
        </is>
      </c>
      <c r="C480" t="inlineStr">
        <is>
          <t>KA11</t>
        </is>
      </c>
      <c r="D480" t="inlineStr">
        <is>
          <t>XLR</t>
        </is>
      </c>
      <c r="E480" t="inlineStr">
        <is>
          <t>Non</t>
        </is>
      </c>
      <c r="F480" t="inlineStr">
        <is>
          <t>https://headfonics.com/fiio-ka11-review/</t>
        </is>
      </c>
      <c r="G480" s="26" t="inlineStr">
        <is>
          <t>it's just a single 3.5mm headphone jack</t>
        </is>
      </c>
      <c r="H480" t="inlineStr">
        <is>
          <t>2026-08-10</t>
        </is>
      </c>
    </row>
    <row r="481">
      <c r="A481" t="n">
        <v>80</v>
      </c>
      <c r="B481" t="inlineStr">
        <is>
          <t>FiiO</t>
        </is>
      </c>
      <c r="C481" t="inlineStr">
        <is>
          <t>KA17</t>
        </is>
      </c>
      <c r="D481" t="inlineStr">
        <is>
          <t>3.5mm</t>
        </is>
      </c>
      <c r="E481" t="inlineStr">
        <is>
          <t>Oui</t>
        </is>
      </c>
      <c r="F481" t="inlineStr">
        <is>
          <t>https://www.fiio.com/ka17_parameters</t>
        </is>
      </c>
      <c r="G481" s="26" t="inlineStr">
        <is>
          <t>Headphone Output: Standard 3.5mm port (PO/coaxial out shared)</t>
        </is>
      </c>
      <c r="H481" t="inlineStr">
        <is>
          <t>2026-08-10</t>
        </is>
      </c>
    </row>
    <row r="482">
      <c r="A482" t="n">
        <v>80</v>
      </c>
      <c r="B482" t="inlineStr">
        <is>
          <t>FiiO</t>
        </is>
      </c>
      <c r="C482" t="inlineStr">
        <is>
          <t>KA17</t>
        </is>
      </c>
      <c r="D482" t="inlineStr">
        <is>
          <t>4.4mm</t>
        </is>
      </c>
      <c r="E482" t="inlineStr">
        <is>
          <t>Oui</t>
        </is>
      </c>
      <c r="F482" t="inlineStr">
        <is>
          <t>https://www.fiio.com/ka17_parameters</t>
        </is>
      </c>
      <c r="G482" s="26" t="inlineStr">
        <is>
          <t>Balanced Output: Standard 4.4mm port</t>
        </is>
      </c>
      <c r="H482" t="inlineStr">
        <is>
          <t>2026-08-10</t>
        </is>
      </c>
    </row>
    <row r="483">
      <c r="A483" t="n">
        <v>80</v>
      </c>
      <c r="B483" t="inlineStr">
        <is>
          <t>FiiO</t>
        </is>
      </c>
      <c r="C483" t="inlineStr">
        <is>
          <t>KA17</t>
        </is>
      </c>
      <c r="D483" t="inlineStr">
        <is>
          <t>2.5mm</t>
        </is>
      </c>
      <c r="E483" t="inlineStr">
        <is>
          <t>Non</t>
        </is>
      </c>
      <c r="F483" t="inlineStr">
        <is>
          <t>https://www.fiio.com/ka17_parameters</t>
        </is>
      </c>
      <c r="G483" s="26" t="inlineStr">
        <is>
          <t>Headphone Output: Standard 3.5mm port (PO/coaxial out shared) ; Balanced Output: Standard 4.4mm port</t>
        </is>
      </c>
      <c r="H483" t="inlineStr">
        <is>
          <t>2026-08-10</t>
        </is>
      </c>
    </row>
    <row r="484">
      <c r="A484" t="n">
        <v>80</v>
      </c>
      <c r="B484" t="inlineStr">
        <is>
          <t>FiiO</t>
        </is>
      </c>
      <c r="C484" t="inlineStr">
        <is>
          <t>KA17</t>
        </is>
      </c>
      <c r="D484" t="inlineStr">
        <is>
          <t>6.35mm</t>
        </is>
      </c>
      <c r="E484" t="inlineStr">
        <is>
          <t>Non</t>
        </is>
      </c>
      <c r="F484" t="inlineStr">
        <is>
          <t>https://www.fiio.com/ka17_parameters</t>
        </is>
      </c>
      <c r="G484" s="26" t="inlineStr">
        <is>
          <t>Headphone Output: Standard 3.5mm port (PO/coaxial out shared) ; Balanced Output: Standard 4.4mm port</t>
        </is>
      </c>
      <c r="H484" t="inlineStr">
        <is>
          <t>2026-08-10</t>
        </is>
      </c>
    </row>
    <row r="485">
      <c r="A485" t="n">
        <v>80</v>
      </c>
      <c r="B485" t="inlineStr">
        <is>
          <t>FiiO</t>
        </is>
      </c>
      <c r="C485" t="inlineStr">
        <is>
          <t>KA17</t>
        </is>
      </c>
      <c r="D485" t="inlineStr">
        <is>
          <t>XLR</t>
        </is>
      </c>
      <c r="E485" t="inlineStr">
        <is>
          <t>Non</t>
        </is>
      </c>
      <c r="F485" t="inlineStr">
        <is>
          <t>https://www.fiio.com/ka17_parameters</t>
        </is>
      </c>
      <c r="G485" s="26" t="inlineStr">
        <is>
          <t>Headphone Output: Standard 3.5mm port (PO/coaxial out shared) ; Balanced Output: Standard 4.4mm port</t>
        </is>
      </c>
      <c r="H485" t="inlineStr">
        <is>
          <t>2026-08-10</t>
        </is>
      </c>
    </row>
    <row r="486">
      <c r="A486" t="n">
        <v>80</v>
      </c>
      <c r="B486" t="inlineStr">
        <is>
          <t>FiiO</t>
        </is>
      </c>
      <c r="C486" t="inlineStr">
        <is>
          <t>KA17</t>
        </is>
      </c>
      <c r="D486" t="inlineStr">
        <is>
          <t>DSP/PEQ</t>
        </is>
      </c>
      <c r="E486" t="inlineStr">
        <is>
          <t>Oui</t>
        </is>
      </c>
      <c r="F486" t="inlineStr">
        <is>
          <t>https://www.fiio.com/ka17</t>
        </is>
      </c>
      <c r="G486" s="26" t="inlineStr">
        <is>
          <t>Ten-segment high-precision PEQ adjustment</t>
        </is>
      </c>
      <c r="H486" t="inlineStr">
        <is>
          <t>2026-08-10</t>
        </is>
      </c>
    </row>
    <row r="487">
      <c r="A487" t="n">
        <v>81</v>
      </c>
      <c r="B487" t="inlineStr">
        <is>
          <t>Colorfly</t>
        </is>
      </c>
      <c r="C487" t="inlineStr">
        <is>
          <t>CDA-M2</t>
        </is>
      </c>
      <c r="D487" t="inlineStr">
        <is>
          <t>Bluetooth</t>
        </is>
      </c>
      <c r="E487" t="inlineStr">
        <is>
          <t>Non</t>
        </is>
      </c>
      <c r="F487" t="inlineStr">
        <is>
          <t>https://headfonics.com/colorfly-cda-m2-review/</t>
        </is>
      </c>
      <c r="G487" s="26" t="inlineStr">
        <is>
          <t>The Colorfly CDA-M2 features SE 3.5mm and 4.4mm output jack ports on one side and a USB-C port on the opposite side.</t>
        </is>
      </c>
      <c r="H487" t="inlineStr">
        <is>
          <t>2026-08-10</t>
        </is>
      </c>
    </row>
    <row r="488">
      <c r="A488" t="n">
        <v>81</v>
      </c>
      <c r="B488" t="inlineStr">
        <is>
          <t>Colorfly</t>
        </is>
      </c>
      <c r="C488" t="inlineStr">
        <is>
          <t>CDA-M2</t>
        </is>
      </c>
      <c r="D488" t="inlineStr">
        <is>
          <t>3.5mm</t>
        </is>
      </c>
      <c r="E488" t="inlineStr">
        <is>
          <t>Oui</t>
        </is>
      </c>
      <c r="F488" t="inlineStr">
        <is>
          <t>https://headfonics.com/colorfly-cda-m2-review/2/</t>
        </is>
      </c>
      <c r="G488" s="26" t="inlineStr">
        <is>
          <t>Headphone Jack: 3.5mm Unbalanced, 4.4mm Balanced</t>
        </is>
      </c>
      <c r="H488" t="inlineStr">
        <is>
          <t>2026-08-10</t>
        </is>
      </c>
    </row>
    <row r="489">
      <c r="A489" t="n">
        <v>81</v>
      </c>
      <c r="B489" t="inlineStr">
        <is>
          <t>Colorfly</t>
        </is>
      </c>
      <c r="C489" t="inlineStr">
        <is>
          <t>CDA-M2</t>
        </is>
      </c>
      <c r="D489" t="inlineStr">
        <is>
          <t>4.4mm</t>
        </is>
      </c>
      <c r="E489" t="inlineStr">
        <is>
          <t>Oui</t>
        </is>
      </c>
      <c r="F489" t="inlineStr">
        <is>
          <t>https://headfonics.com/colorfly-cda-m2-review/2/</t>
        </is>
      </c>
      <c r="G489" s="26" t="inlineStr">
        <is>
          <t>Headphone Jack: 3.5mm Unbalanced, 4.4mm Balanced</t>
        </is>
      </c>
      <c r="H489" t="inlineStr">
        <is>
          <t>2026-08-10</t>
        </is>
      </c>
    </row>
    <row r="490">
      <c r="A490" t="n">
        <v>81</v>
      </c>
      <c r="B490" t="inlineStr">
        <is>
          <t>Colorfly</t>
        </is>
      </c>
      <c r="C490" t="inlineStr">
        <is>
          <t>CDA-M2</t>
        </is>
      </c>
      <c r="D490" t="inlineStr">
        <is>
          <t>2.5mm</t>
        </is>
      </c>
      <c r="E490" t="inlineStr">
        <is>
          <t>Non</t>
        </is>
      </c>
      <c r="F490" t="inlineStr">
        <is>
          <t>https://headfonics.com/colorfly-cda-m2-review/2/</t>
        </is>
      </c>
      <c r="G490" s="26" t="inlineStr">
        <is>
          <t>Headphone Jack: 3.5mm Unbalanced, 4.4mm Balanced</t>
        </is>
      </c>
      <c r="H490" t="inlineStr">
        <is>
          <t>2026-08-10</t>
        </is>
      </c>
    </row>
    <row r="491">
      <c r="A491" t="n">
        <v>81</v>
      </c>
      <c r="B491" t="inlineStr">
        <is>
          <t>Colorfly</t>
        </is>
      </c>
      <c r="C491" t="inlineStr">
        <is>
          <t>CDA-M2</t>
        </is>
      </c>
      <c r="D491" t="inlineStr">
        <is>
          <t>6.35mm</t>
        </is>
      </c>
      <c r="E491" t="inlineStr">
        <is>
          <t>Non</t>
        </is>
      </c>
      <c r="F491" t="inlineStr">
        <is>
          <t>https://headfonics.com/colorfly-cda-m2-review/2/</t>
        </is>
      </c>
      <c r="G491" s="26" t="inlineStr">
        <is>
          <t>Headphone Jack: 3.5mm Unbalanced, 4.4mm Balanced</t>
        </is>
      </c>
      <c r="H491" t="inlineStr">
        <is>
          <t>2026-08-10</t>
        </is>
      </c>
    </row>
    <row r="492">
      <c r="A492" t="n">
        <v>81</v>
      </c>
      <c r="B492" t="inlineStr">
        <is>
          <t>Colorfly</t>
        </is>
      </c>
      <c r="C492" t="inlineStr">
        <is>
          <t>CDA-M2</t>
        </is>
      </c>
      <c r="D492" t="inlineStr">
        <is>
          <t>XLR</t>
        </is>
      </c>
      <c r="E492" t="inlineStr">
        <is>
          <t>Non</t>
        </is>
      </c>
      <c r="F492" t="inlineStr">
        <is>
          <t>https://headfonics.com/colorfly-cda-m2-review/2/</t>
        </is>
      </c>
      <c r="G492" s="26" t="inlineStr">
        <is>
          <t>Headphone Jack: 3.5mm Unbalanced, 4.4mm Balanced</t>
        </is>
      </c>
      <c r="H492" t="inlineStr">
        <is>
          <t>2026-08-10</t>
        </is>
      </c>
    </row>
    <row r="493">
      <c r="A493" t="n">
        <v>82</v>
      </c>
      <c r="B493" t="inlineStr">
        <is>
          <t>ddHiFi</t>
        </is>
      </c>
      <c r="C493" t="inlineStr">
        <is>
          <t>TC44Pro E2</t>
        </is>
      </c>
      <c r="D493" t="inlineStr">
        <is>
          <t>Bluetooth</t>
        </is>
      </c>
      <c r="E493" t="inlineStr">
        <is>
          <t>Non</t>
        </is>
      </c>
      <c r="F493" t="inlineStr">
        <is>
          <t>https://headfonics.com/ddhifi-tc44pro-e2-review/</t>
        </is>
      </c>
      <c r="G493" s="26" t="inlineStr">
        <is>
          <t>The Lightning connector at the top of the dongle serves as its sole input, while the 4.4mm balanced connector serves as its sole output.</t>
        </is>
      </c>
      <c r="H493" t="inlineStr">
        <is>
          <t>2026-08-10</t>
        </is>
      </c>
    </row>
    <row r="494">
      <c r="A494" t="n">
        <v>82</v>
      </c>
      <c r="B494" t="inlineStr">
        <is>
          <t>ddHiFi</t>
        </is>
      </c>
      <c r="C494" t="inlineStr">
        <is>
          <t>TC44Pro E2</t>
        </is>
      </c>
      <c r="D494" t="inlineStr">
        <is>
          <t>3.5mm</t>
        </is>
      </c>
      <c r="E494" t="inlineStr">
        <is>
          <t>Non</t>
        </is>
      </c>
      <c r="F494" t="inlineStr">
        <is>
          <t>https://headfonics.com/ddhifi-tc44pro-e2-review/</t>
        </is>
      </c>
      <c r="G494" s="26" t="inlineStr">
        <is>
          <t>The Lightning connector at the top of the dongle serves as its sole input, while the 4.4mm balanced connector serves as its sole output.</t>
        </is>
      </c>
      <c r="H494" t="inlineStr">
        <is>
          <t>2026-08-10</t>
        </is>
      </c>
    </row>
    <row r="495">
      <c r="A495" t="n">
        <v>82</v>
      </c>
      <c r="B495" t="inlineStr">
        <is>
          <t>ddHiFi</t>
        </is>
      </c>
      <c r="C495" t="inlineStr">
        <is>
          <t>TC44Pro E2</t>
        </is>
      </c>
      <c r="D495" t="inlineStr">
        <is>
          <t>4.4mm</t>
        </is>
      </c>
      <c r="E495" t="inlineStr">
        <is>
          <t>Oui</t>
        </is>
      </c>
      <c r="F495" t="inlineStr">
        <is>
          <t>https://headfonics.com/ddhifi-tc44pro-e2-review/</t>
        </is>
      </c>
      <c r="G495" s="26" t="inlineStr">
        <is>
          <t>The Lightning connector at the top of the dongle serves as its sole input, while the 4.4mm balanced connector serves as its sole output.</t>
        </is>
      </c>
      <c r="H495" t="inlineStr">
        <is>
          <t>2026-08-10</t>
        </is>
      </c>
    </row>
    <row r="496">
      <c r="A496" t="n">
        <v>82</v>
      </c>
      <c r="B496" t="inlineStr">
        <is>
          <t>ddHiFi</t>
        </is>
      </c>
      <c r="C496" t="inlineStr">
        <is>
          <t>TC44Pro E2</t>
        </is>
      </c>
      <c r="D496" t="inlineStr">
        <is>
          <t>2.5mm</t>
        </is>
      </c>
      <c r="E496" t="inlineStr">
        <is>
          <t>Non</t>
        </is>
      </c>
      <c r="F496" t="inlineStr">
        <is>
          <t>https://headfonics.com/ddhifi-tc44pro-e2-review/</t>
        </is>
      </c>
      <c r="G496" s="26" t="inlineStr">
        <is>
          <t>The Lightning connector at the top of the dongle serves as its sole input, while the 4.4mm balanced connector serves as its sole output.</t>
        </is>
      </c>
      <c r="H496" t="inlineStr">
        <is>
          <t>2026-08-10</t>
        </is>
      </c>
    </row>
    <row r="497">
      <c r="A497" t="n">
        <v>82</v>
      </c>
      <c r="B497" t="inlineStr">
        <is>
          <t>ddHiFi</t>
        </is>
      </c>
      <c r="C497" t="inlineStr">
        <is>
          <t>TC44Pro E2</t>
        </is>
      </c>
      <c r="D497" t="inlineStr">
        <is>
          <t>6.35mm</t>
        </is>
      </c>
      <c r="E497" t="inlineStr">
        <is>
          <t>Non</t>
        </is>
      </c>
      <c r="F497" t="inlineStr">
        <is>
          <t>https://headfonics.com/ddhifi-tc44pro-e2-review/</t>
        </is>
      </c>
      <c r="G497" s="26" t="inlineStr">
        <is>
          <t>The Lightning connector at the top of the dongle serves as its sole input, while the 4.4mm balanced connector serves as its sole output.</t>
        </is>
      </c>
      <c r="H497" t="inlineStr">
        <is>
          <t>2026-08-10</t>
        </is>
      </c>
    </row>
    <row r="498">
      <c r="A498" t="n">
        <v>82</v>
      </c>
      <c r="B498" t="inlineStr">
        <is>
          <t>ddHiFi</t>
        </is>
      </c>
      <c r="C498" t="inlineStr">
        <is>
          <t>TC44Pro E2</t>
        </is>
      </c>
      <c r="D498" t="inlineStr">
        <is>
          <t>XLR</t>
        </is>
      </c>
      <c r="E498" t="inlineStr">
        <is>
          <t>Non</t>
        </is>
      </c>
      <c r="F498" t="inlineStr">
        <is>
          <t>https://headfonics.com/ddhifi-tc44pro-e2-review/</t>
        </is>
      </c>
      <c r="G498" s="26" t="inlineStr">
        <is>
          <t>The Lightning connector at the top of the dongle serves as its sole input, while the 4.4mm balanced connector serves as its sole output.</t>
        </is>
      </c>
      <c r="H498" t="inlineStr">
        <is>
          <t>2026-08-10</t>
        </is>
      </c>
    </row>
    <row r="499">
      <c r="A499" t="n">
        <v>82</v>
      </c>
      <c r="B499" t="inlineStr">
        <is>
          <t>ddHiFi</t>
        </is>
      </c>
      <c r="C499" t="inlineStr">
        <is>
          <t>TC44Pro E2</t>
        </is>
      </c>
      <c r="D499" t="inlineStr">
        <is>
          <t>DSP/PEQ</t>
        </is>
      </c>
      <c r="E499" t="inlineStr">
        <is>
          <t>Non</t>
        </is>
      </c>
      <c r="F499" t="inlineStr">
        <is>
          <t>https://headfonics.com/ddhifi-tc44pro-e2-review/</t>
        </is>
      </c>
      <c r="G499" s="26" t="inlineStr">
        <is>
          <t>The device features no buttons or knobs, making it easy to set up without the need for any drivers or software.</t>
        </is>
      </c>
      <c r="H499" t="inlineStr">
        <is>
          <t>2026-08-10</t>
        </is>
      </c>
    </row>
    <row r="500">
      <c r="A500" t="n">
        <v>83</v>
      </c>
      <c r="B500" t="inlineStr">
        <is>
          <t>Hidizs</t>
        </is>
      </c>
      <c r="C500" t="inlineStr">
        <is>
          <t>SD2</t>
        </is>
      </c>
      <c r="D500" t="inlineStr">
        <is>
          <t>Bluetooth</t>
        </is>
      </c>
      <c r="E500" t="inlineStr">
        <is>
          <t>Non</t>
        </is>
      </c>
      <c r="F500" t="inlineStr">
        <is>
          <t>https://www.amazon.com/Hidizs-DAC-Dongle-Headphone-20Hz-40kHz/dp/B0FJXHYXBN</t>
        </is>
      </c>
      <c r="G500" s="26" t="inlineStr">
        <is>
          <t>| Transmission interface | Type-C interface |</t>
        </is>
      </c>
      <c r="H500" t="inlineStr">
        <is>
          <t>2026-08-10</t>
        </is>
      </c>
    </row>
    <row r="501">
      <c r="A501" t="n">
        <v>83</v>
      </c>
      <c r="B501" t="inlineStr">
        <is>
          <t>Hidizs</t>
        </is>
      </c>
      <c r="C501" t="inlineStr">
        <is>
          <t>SD2</t>
        </is>
      </c>
      <c r="D501" t="inlineStr">
        <is>
          <t>3.5mm</t>
        </is>
      </c>
      <c r="E501" t="inlineStr">
        <is>
          <t>Oui</t>
        </is>
      </c>
      <c r="F501" t="inlineStr">
        <is>
          <t>https://headfonics.com/hidizs-sd2-review/</t>
        </is>
      </c>
      <c r="G501" s="26" t="inlineStr">
        <is>
          <t>The Hidizs SD2 supports a 3.5mm headphone jack only. There is no balanced 4.4mm or 2.5mm support here.</t>
        </is>
      </c>
      <c r="H501" t="inlineStr">
        <is>
          <t>2026-08-10</t>
        </is>
      </c>
    </row>
    <row r="502">
      <c r="A502" t="n">
        <v>83</v>
      </c>
      <c r="B502" t="inlineStr">
        <is>
          <t>Hidizs</t>
        </is>
      </c>
      <c r="C502" t="inlineStr">
        <is>
          <t>SD2</t>
        </is>
      </c>
      <c r="D502" t="inlineStr">
        <is>
          <t>4.4mm</t>
        </is>
      </c>
      <c r="E502" t="inlineStr">
        <is>
          <t>Non</t>
        </is>
      </c>
      <c r="F502" t="inlineStr">
        <is>
          <t>https://headfonics.com/hidizs-sd2-review/</t>
        </is>
      </c>
      <c r="G502" s="26" t="inlineStr">
        <is>
          <t>The Hidizs SD2 supports a 3.5mm headphone jack only. There is no balanced 4.4mm or 2.5mm support here.</t>
        </is>
      </c>
      <c r="H502" t="inlineStr">
        <is>
          <t>2026-08-10</t>
        </is>
      </c>
    </row>
    <row r="503">
      <c r="A503" t="n">
        <v>83</v>
      </c>
      <c r="B503" t="inlineStr">
        <is>
          <t>Hidizs</t>
        </is>
      </c>
      <c r="C503" t="inlineStr">
        <is>
          <t>SD2</t>
        </is>
      </c>
      <c r="D503" t="inlineStr">
        <is>
          <t>2.5mm</t>
        </is>
      </c>
      <c r="E503" t="inlineStr">
        <is>
          <t>Non</t>
        </is>
      </c>
      <c r="F503" t="inlineStr">
        <is>
          <t>https://headfonics.com/hidizs-sd2-review/</t>
        </is>
      </c>
      <c r="G503" s="26" t="inlineStr">
        <is>
          <t>The Hidizs SD2 supports a 3.5mm headphone jack only. There is no balanced 4.4mm or 2.5mm support here.</t>
        </is>
      </c>
      <c r="H503" t="inlineStr">
        <is>
          <t>2026-08-10</t>
        </is>
      </c>
    </row>
    <row r="504">
      <c r="A504" t="n">
        <v>83</v>
      </c>
      <c r="B504" t="inlineStr">
        <is>
          <t>Hidizs</t>
        </is>
      </c>
      <c r="C504" t="inlineStr">
        <is>
          <t>SD2</t>
        </is>
      </c>
      <c r="D504" t="inlineStr">
        <is>
          <t>6.35mm</t>
        </is>
      </c>
      <c r="E504" t="inlineStr">
        <is>
          <t>Non</t>
        </is>
      </c>
      <c r="F504" t="inlineStr">
        <is>
          <t>https://www.hidizs.net/products/hidizs-sd2-hifi-type-c-to-3-5mm-adapter-dongle-dac</t>
        </is>
      </c>
      <c r="G504" s="26" t="inlineStr">
        <is>
          <t>Output | Single-ended 3.5mm</t>
        </is>
      </c>
      <c r="H504" t="inlineStr">
        <is>
          <t>2026-08-10</t>
        </is>
      </c>
    </row>
    <row r="505">
      <c r="A505" t="n">
        <v>83</v>
      </c>
      <c r="B505" t="inlineStr">
        <is>
          <t>Hidizs</t>
        </is>
      </c>
      <c r="C505" t="inlineStr">
        <is>
          <t>SD2</t>
        </is>
      </c>
      <c r="D505" t="inlineStr">
        <is>
          <t>XLR</t>
        </is>
      </c>
      <c r="E505" t="inlineStr">
        <is>
          <t>Non</t>
        </is>
      </c>
      <c r="F505" t="inlineStr">
        <is>
          <t>https://www.hidizs.net/products/hidizs-sd2-hifi-type-c-to-3-5mm-adapter-dongle-dac</t>
        </is>
      </c>
      <c r="G505" s="26" t="inlineStr">
        <is>
          <t>Output | Single-ended 3.5mm</t>
        </is>
      </c>
      <c r="H505" t="inlineStr">
        <is>
          <t>2026-08-10</t>
        </is>
      </c>
    </row>
    <row r="506">
      <c r="A506" t="n">
        <v>84</v>
      </c>
      <c r="B506" t="inlineStr">
        <is>
          <t>Colorfly</t>
        </is>
      </c>
      <c r="C506" t="inlineStr">
        <is>
          <t>CDA-M1P</t>
        </is>
      </c>
      <c r="D506" t="inlineStr">
        <is>
          <t>Bluetooth</t>
        </is>
      </c>
      <c r="E506" t="inlineStr">
        <is>
          <t>Non</t>
        </is>
      </c>
      <c r="F506" t="inlineStr">
        <is>
          <t>https://headfonics.com/colorfly-cda-m1p-review/2/</t>
        </is>
      </c>
      <c r="G506" s="26" t="inlineStr">
        <is>
          <t>The Colorfly CDA-M1P features both 3.5mm and 4.4mm PO ports to the front with a USB Type-C connector for charging, USB-DAC, and USB-OTG duties.</t>
        </is>
      </c>
      <c r="H506" t="inlineStr">
        <is>
          <t>2026-08-10</t>
        </is>
      </c>
    </row>
    <row r="507">
      <c r="A507" t="n">
        <v>84</v>
      </c>
      <c r="B507" t="inlineStr">
        <is>
          <t>Colorfly</t>
        </is>
      </c>
      <c r="C507" t="inlineStr">
        <is>
          <t>CDA-M1P</t>
        </is>
      </c>
      <c r="D507" t="inlineStr">
        <is>
          <t>3.5mm</t>
        </is>
      </c>
      <c r="E507" t="inlineStr">
        <is>
          <t>Oui</t>
        </is>
      </c>
      <c r="F507" t="inlineStr">
        <is>
          <t>https://headfonics.com/colorfly-cda-m1p-review/2/</t>
        </is>
      </c>
      <c r="G507" s="26" t="inlineStr">
        <is>
          <t>Headphone Jack: 3.5mm Unbalanced, 4.4mm Balanced</t>
        </is>
      </c>
      <c r="H507" t="inlineStr">
        <is>
          <t>2026-08-10</t>
        </is>
      </c>
    </row>
    <row r="508">
      <c r="A508" t="n">
        <v>84</v>
      </c>
      <c r="B508" t="inlineStr">
        <is>
          <t>Colorfly</t>
        </is>
      </c>
      <c r="C508" t="inlineStr">
        <is>
          <t>CDA-M1P</t>
        </is>
      </c>
      <c r="D508" t="inlineStr">
        <is>
          <t>4.4mm</t>
        </is>
      </c>
      <c r="E508" t="inlineStr">
        <is>
          <t>Oui</t>
        </is>
      </c>
      <c r="F508" t="inlineStr">
        <is>
          <t>https://headfonics.com/colorfly-cda-m1p-review/2/</t>
        </is>
      </c>
      <c r="G508" s="26" t="inlineStr">
        <is>
          <t>Headphone Jack: 3.5mm Unbalanced, 4.4mm Balanced</t>
        </is>
      </c>
      <c r="H508" t="inlineStr">
        <is>
          <t>2026-08-10</t>
        </is>
      </c>
    </row>
    <row r="509">
      <c r="A509" t="n">
        <v>84</v>
      </c>
      <c r="B509" t="inlineStr">
        <is>
          <t>Colorfly</t>
        </is>
      </c>
      <c r="C509" t="inlineStr">
        <is>
          <t>CDA-M1P</t>
        </is>
      </c>
      <c r="D509" t="inlineStr">
        <is>
          <t>2.5mm</t>
        </is>
      </c>
      <c r="E509" t="inlineStr">
        <is>
          <t>Non</t>
        </is>
      </c>
      <c r="F509" t="inlineStr">
        <is>
          <t>https://headfonics.com/colorfly-cda-m1p-review/2/</t>
        </is>
      </c>
      <c r="G509" s="26" t="inlineStr">
        <is>
          <t>Headphone Jack: 3.5mm Unbalanced, 4.4mm Balanced</t>
        </is>
      </c>
      <c r="H509" t="inlineStr">
        <is>
          <t>2026-08-10</t>
        </is>
      </c>
    </row>
    <row r="510">
      <c r="A510" t="n">
        <v>84</v>
      </c>
      <c r="B510" t="inlineStr">
        <is>
          <t>Colorfly</t>
        </is>
      </c>
      <c r="C510" t="inlineStr">
        <is>
          <t>CDA-M1P</t>
        </is>
      </c>
      <c r="D510" t="inlineStr">
        <is>
          <t>6.35mm</t>
        </is>
      </c>
      <c r="E510" t="inlineStr">
        <is>
          <t>Non</t>
        </is>
      </c>
      <c r="F510" t="inlineStr">
        <is>
          <t>https://headfonics.com/colorfly-cda-m1p-review/2/</t>
        </is>
      </c>
      <c r="G510" s="26" t="inlineStr">
        <is>
          <t>Headphone Jack: 3.5mm Unbalanced, 4.4mm Balanced</t>
        </is>
      </c>
      <c r="H510" t="inlineStr">
        <is>
          <t>2026-08-10</t>
        </is>
      </c>
    </row>
    <row r="511">
      <c r="A511" t="n">
        <v>84</v>
      </c>
      <c r="B511" t="inlineStr">
        <is>
          <t>Colorfly</t>
        </is>
      </c>
      <c r="C511" t="inlineStr">
        <is>
          <t>CDA-M1P</t>
        </is>
      </c>
      <c r="D511" t="inlineStr">
        <is>
          <t>XLR</t>
        </is>
      </c>
      <c r="E511" t="inlineStr">
        <is>
          <t>Non</t>
        </is>
      </c>
      <c r="F511" t="inlineStr">
        <is>
          <t>https://headfonics.com/colorfly-cda-m1p-review/2/</t>
        </is>
      </c>
      <c r="G511" s="26" t="inlineStr">
        <is>
          <t>Headphone Jack: 3.5mm Unbalanced, 4.4mm Balanced</t>
        </is>
      </c>
      <c r="H511" t="inlineStr">
        <is>
          <t>2026-08-10</t>
        </is>
      </c>
    </row>
    <row r="512">
      <c r="A512" t="n">
        <v>85</v>
      </c>
      <c r="B512" t="inlineStr">
        <is>
          <t>FiiO</t>
        </is>
      </c>
      <c r="C512" t="inlineStr">
        <is>
          <t>Q15</t>
        </is>
      </c>
      <c r="D512" t="inlineStr">
        <is>
          <t>Batterie</t>
        </is>
      </c>
      <c r="E512" t="inlineStr">
        <is>
          <t>Oui</t>
        </is>
      </c>
      <c r="F512" t="inlineStr">
        <is>
          <t>https://www.fiio.com/q15_parameters</t>
        </is>
      </c>
      <c r="G512" s="26" t="inlineStr">
        <is>
          <t>5500mAh lithium polymer battery</t>
        </is>
      </c>
      <c r="H512" t="inlineStr">
        <is>
          <t>2026-08-10</t>
        </is>
      </c>
    </row>
    <row r="513">
      <c r="A513" t="n">
        <v>85</v>
      </c>
      <c r="B513" t="inlineStr">
        <is>
          <t>FiiO</t>
        </is>
      </c>
      <c r="C513" t="inlineStr">
        <is>
          <t>Q15</t>
        </is>
      </c>
      <c r="D513" t="inlineStr">
        <is>
          <t>Bluetooth</t>
        </is>
      </c>
      <c r="E513" t="inlineStr">
        <is>
          <t>Oui</t>
        </is>
      </c>
      <c r="F513" t="inlineStr">
        <is>
          <t>https://www.fiio.com/q15_parameters</t>
        </is>
      </c>
      <c r="G513" s="26" t="inlineStr">
        <is>
          <t>AAC/SBC/aptX/aptX LL/aptX Adaptive/aptX HD/LDAC</t>
        </is>
      </c>
      <c r="H513" t="inlineStr">
        <is>
          <t>2026-08-10</t>
        </is>
      </c>
    </row>
    <row r="514">
      <c r="A514" t="n">
        <v>85</v>
      </c>
      <c r="B514" t="inlineStr">
        <is>
          <t>FiiO</t>
        </is>
      </c>
      <c r="C514" t="inlineStr">
        <is>
          <t>Q15</t>
        </is>
      </c>
      <c r="D514" t="inlineStr">
        <is>
          <t>3.5mm</t>
        </is>
      </c>
      <c r="E514" t="inlineStr">
        <is>
          <t>Oui</t>
        </is>
      </c>
      <c r="F514" t="inlineStr">
        <is>
          <t>https://www.fiio.com/q15_parameters</t>
        </is>
      </c>
      <c r="G514" s="26" t="inlineStr">
        <is>
          <t>Standard 3.5mm port</t>
        </is>
      </c>
      <c r="H514" t="inlineStr">
        <is>
          <t>2026-08-10</t>
        </is>
      </c>
    </row>
    <row r="515">
      <c r="A515" t="n">
        <v>85</v>
      </c>
      <c r="B515" t="inlineStr">
        <is>
          <t>FiiO</t>
        </is>
      </c>
      <c r="C515" t="inlineStr">
        <is>
          <t>Q15</t>
        </is>
      </c>
      <c r="D515" t="inlineStr">
        <is>
          <t>4.4mm</t>
        </is>
      </c>
      <c r="E515" t="inlineStr">
        <is>
          <t>Oui</t>
        </is>
      </c>
      <c r="F515" t="inlineStr">
        <is>
          <t>https://www.fiio.com/q15_parameters</t>
        </is>
      </c>
      <c r="G515" s="26" t="inlineStr">
        <is>
          <t>Standard 4.4mm port</t>
        </is>
      </c>
      <c r="H515" t="inlineStr">
        <is>
          <t>2026-08-10</t>
        </is>
      </c>
    </row>
    <row r="516">
      <c r="A516" t="n">
        <v>85</v>
      </c>
      <c r="B516" t="inlineStr">
        <is>
          <t>FiiO</t>
        </is>
      </c>
      <c r="C516" t="inlineStr">
        <is>
          <t>Q15</t>
        </is>
      </c>
      <c r="D516" t="inlineStr">
        <is>
          <t>2.5mm</t>
        </is>
      </c>
      <c r="E516" t="inlineStr">
        <is>
          <t>Non</t>
        </is>
      </c>
      <c r="F516" t="inlineStr">
        <is>
          <t>https://mobileaudiophile.com/dacs/fiio-q15-review/</t>
        </is>
      </c>
      <c r="G516" s="26" t="inlineStr">
        <is>
          <t>FiiO Q15 features dual headphone output ports, a 3.5mm single-ended port and another 4.4mm balanced output port.</t>
        </is>
      </c>
      <c r="H516" t="inlineStr">
        <is>
          <t>2026-08-10</t>
        </is>
      </c>
    </row>
    <row r="517">
      <c r="A517" t="n">
        <v>85</v>
      </c>
      <c r="B517" t="inlineStr">
        <is>
          <t>FiiO</t>
        </is>
      </c>
      <c r="C517" t="inlineStr">
        <is>
          <t>Q15</t>
        </is>
      </c>
      <c r="D517" t="inlineStr">
        <is>
          <t>6.35mm</t>
        </is>
      </c>
      <c r="E517" t="inlineStr">
        <is>
          <t>Non</t>
        </is>
      </c>
      <c r="F517" t="inlineStr">
        <is>
          <t>https://mobileaudiophile.com/dacs/fiio-q15-review/</t>
        </is>
      </c>
      <c r="G517" s="26" t="inlineStr">
        <is>
          <t>FiiO Q15 features dual headphone output ports, a 3.5mm single-ended port and another 4.4mm balanced output port.</t>
        </is>
      </c>
      <c r="H517" t="inlineStr">
        <is>
          <t>2026-08-10</t>
        </is>
      </c>
    </row>
    <row r="518">
      <c r="A518" t="n">
        <v>85</v>
      </c>
      <c r="B518" t="inlineStr">
        <is>
          <t>FiiO</t>
        </is>
      </c>
      <c r="C518" t="inlineStr">
        <is>
          <t>Q15</t>
        </is>
      </c>
      <c r="D518" t="inlineStr">
        <is>
          <t>XLR</t>
        </is>
      </c>
      <c r="E518" t="inlineStr">
        <is>
          <t>Non</t>
        </is>
      </c>
      <c r="F518" t="inlineStr">
        <is>
          <t>https://mobileaudiophile.com/dacs/fiio-q15-review/</t>
        </is>
      </c>
      <c r="G518" s="26" t="inlineStr">
        <is>
          <t>FiiO Q15 features dual headphone output ports, a 3.5mm single-ended port and another 4.4mm balanced output port.</t>
        </is>
      </c>
      <c r="H518" t="inlineStr">
        <is>
          <t>2026-08-10</t>
        </is>
      </c>
    </row>
    <row r="519">
      <c r="A519" t="n">
        <v>85</v>
      </c>
      <c r="B519" t="inlineStr">
        <is>
          <t>FiiO</t>
        </is>
      </c>
      <c r="C519" t="inlineStr">
        <is>
          <t>Q15</t>
        </is>
      </c>
      <c r="D519" t="inlineStr">
        <is>
          <t>DSP/PEQ</t>
        </is>
      </c>
      <c r="E519" t="inlineStr">
        <is>
          <t>Oui</t>
        </is>
      </c>
      <c r="F519" t="inlineStr">
        <is>
          <t>https://mobileaudiophile.com/dacs/fiio-q15-review/</t>
        </is>
      </c>
      <c r="G519" s="26" t="inlineStr">
        <is>
          <t>you also have Fiio's very nice EQ and PEQ which really do work like a charm. Once you set those EQ parameters then they will save to the device itself.</t>
        </is>
      </c>
      <c r="H519" t="inlineStr">
        <is>
          <t>2026-08-10</t>
        </is>
      </c>
    </row>
    <row r="520">
      <c r="A520" t="n">
        <v>86</v>
      </c>
      <c r="B520" t="inlineStr">
        <is>
          <t>iFi audio</t>
        </is>
      </c>
      <c r="C520" t="inlineStr">
        <is>
          <t>iDSD Diablo 2</t>
        </is>
      </c>
      <c r="D520" t="inlineStr">
        <is>
          <t>Batterie</t>
        </is>
      </c>
      <c r="E520" t="inlineStr">
        <is>
          <t>Oui</t>
        </is>
      </c>
      <c r="F520" t="inlineStr">
        <is>
          <t>https://ifi-audio.com/products/idsd-diablo-2/</t>
        </is>
      </c>
      <c r="G520" s="26" t="inlineStr">
        <is>
          <t>BATTERY | Lithium-polymer 4800mAh</t>
        </is>
      </c>
      <c r="H520" t="inlineStr">
        <is>
          <t>2026-08-10</t>
        </is>
      </c>
    </row>
    <row r="521">
      <c r="A521" t="n">
        <v>86</v>
      </c>
      <c r="B521" t="inlineStr">
        <is>
          <t>iFi audio</t>
        </is>
      </c>
      <c r="C521" t="inlineStr">
        <is>
          <t>iDSD Diablo 2</t>
        </is>
      </c>
      <c r="D521" t="inlineStr">
        <is>
          <t>Bluetooth</t>
        </is>
      </c>
      <c r="E521" t="inlineStr">
        <is>
          <t>Oui</t>
        </is>
      </c>
      <c r="F521" t="inlineStr">
        <is>
          <t>https://ifi-audio.com/products/idsd-diablo-2/</t>
        </is>
      </c>
      <c r="G521" s="26" t="inlineStr">
        <is>
          <t>BLUETOOTH FORMATS | aptX Lossless aptX Adaptive aptX LDAC LHDC/HWA AAC SBC</t>
        </is>
      </c>
      <c r="H521" t="inlineStr">
        <is>
          <t>2026-08-10</t>
        </is>
      </c>
    </row>
    <row r="522">
      <c r="A522" t="n">
        <v>86</v>
      </c>
      <c r="B522" t="inlineStr">
        <is>
          <t>iFi audio</t>
        </is>
      </c>
      <c r="C522" t="inlineStr">
        <is>
          <t>iDSD Diablo 2</t>
        </is>
      </c>
      <c r="D522" t="inlineStr">
        <is>
          <t>3.5mm</t>
        </is>
      </c>
      <c r="E522" t="inlineStr">
        <is>
          <t>Non</t>
        </is>
      </c>
      <c r="F522" t="inlineStr">
        <is>
          <t>https://ifi-audio.com/products/idsd-diablo-2/</t>
        </is>
      </c>
      <c r="G522" s="26" t="inlineStr">
        <is>
          <t>HEADPHONE OUTPUT | 1x balanced 4.4mm 1x 6.3mm</t>
        </is>
      </c>
      <c r="H522" t="inlineStr">
        <is>
          <t>2026-08-10</t>
        </is>
      </c>
    </row>
    <row r="523">
      <c r="A523" t="n">
        <v>86</v>
      </c>
      <c r="B523" t="inlineStr">
        <is>
          <t>iFi audio</t>
        </is>
      </c>
      <c r="C523" t="inlineStr">
        <is>
          <t>iDSD Diablo 2</t>
        </is>
      </c>
      <c r="D523" t="inlineStr">
        <is>
          <t>4.4mm</t>
        </is>
      </c>
      <c r="E523" t="inlineStr">
        <is>
          <t>Oui</t>
        </is>
      </c>
      <c r="F523" t="inlineStr">
        <is>
          <t>https://ifi-audio.com/products/idsd-diablo-2/</t>
        </is>
      </c>
      <c r="G523" s="26" t="inlineStr">
        <is>
          <t>HEADPHONE OUTPUT | 1x balanced 4.4mm 1x 6.3mm</t>
        </is>
      </c>
      <c r="H523" t="inlineStr">
        <is>
          <t>2026-08-10</t>
        </is>
      </c>
    </row>
    <row r="524">
      <c r="A524" t="n">
        <v>86</v>
      </c>
      <c r="B524" t="inlineStr">
        <is>
          <t>iFi audio</t>
        </is>
      </c>
      <c r="C524" t="inlineStr">
        <is>
          <t>iDSD Diablo 2</t>
        </is>
      </c>
      <c r="D524" t="inlineStr">
        <is>
          <t>2.5mm</t>
        </is>
      </c>
      <c r="E524" t="inlineStr">
        <is>
          <t>Non</t>
        </is>
      </c>
      <c r="F524" t="inlineStr">
        <is>
          <t>https://ifi-audio.com/products/idsd-diablo-2/</t>
        </is>
      </c>
      <c r="G524" s="26" t="inlineStr">
        <is>
          <t>HEADPHONE OUTPUT | 1x balanced 4.4mm 1x 6.3mm</t>
        </is>
      </c>
      <c r="H524" t="inlineStr">
        <is>
          <t>2026-08-10</t>
        </is>
      </c>
    </row>
    <row r="525">
      <c r="A525" t="n">
        <v>86</v>
      </c>
      <c r="B525" t="inlineStr">
        <is>
          <t>iFi audio</t>
        </is>
      </c>
      <c r="C525" t="inlineStr">
        <is>
          <t>iDSD Diablo 2</t>
        </is>
      </c>
      <c r="D525" t="inlineStr">
        <is>
          <t>6.35mm</t>
        </is>
      </c>
      <c r="E525" t="inlineStr">
        <is>
          <t>Oui</t>
        </is>
      </c>
      <c r="F525" t="inlineStr">
        <is>
          <t>https://ifi-audio.com/products/idsd-diablo-2/</t>
        </is>
      </c>
      <c r="G525" s="26" t="inlineStr">
        <is>
          <t>HEADPHONE OUTPUT | 1x balanced 4.4mm 1x 6.3mm</t>
        </is>
      </c>
      <c r="H525" t="inlineStr">
        <is>
          <t>2026-08-10</t>
        </is>
      </c>
    </row>
    <row r="526">
      <c r="A526" t="n">
        <v>86</v>
      </c>
      <c r="B526" t="inlineStr">
        <is>
          <t>iFi audio</t>
        </is>
      </c>
      <c r="C526" t="inlineStr">
        <is>
          <t>iDSD Diablo 2</t>
        </is>
      </c>
      <c r="D526" t="inlineStr">
        <is>
          <t>XLR</t>
        </is>
      </c>
      <c r="E526" t="inlineStr">
        <is>
          <t>Non</t>
        </is>
      </c>
      <c r="F526" t="inlineStr">
        <is>
          <t>https://ifi-audio.com/products/idsd-diablo-2/</t>
        </is>
      </c>
      <c r="G526" s="26" t="inlineStr">
        <is>
          <t>HEADPHONE OUTPUT | 1x balanced 4.4mm 1x 6.3mm</t>
        </is>
      </c>
      <c r="H526" t="inlineStr">
        <is>
          <t>2026-08-10</t>
        </is>
      </c>
    </row>
    <row r="527">
      <c r="A527" t="n">
        <v>87</v>
      </c>
      <c r="B527" t="inlineStr">
        <is>
          <t>ddHiFi</t>
        </is>
      </c>
      <c r="C527" t="inlineStr">
        <is>
          <t>TC35Pro Eye2 &amp; Mountain2</t>
        </is>
      </c>
      <c r="D527" t="inlineStr">
        <is>
          <t>Bluetooth</t>
        </is>
      </c>
      <c r="E527" t="inlineStr">
        <is>
          <t>Non</t>
        </is>
      </c>
      <c r="F527" t="inlineStr">
        <is>
          <t>https://headfonics.com/ddhifi-tc35pro-eye2-mountain2-review/</t>
        </is>
      </c>
      <c r="G527" s="26" t="inlineStr">
        <is>
          <t>The ddHiFi TC35Pro Eye2 and Mountain2 have a simple I/O. They have a USB-C/lightning connector on one end and a 3.5mm output on the other end.</t>
        </is>
      </c>
      <c r="H527" t="inlineStr">
        <is>
          <t>2026-08-10</t>
        </is>
      </c>
    </row>
    <row r="528">
      <c r="A528" t="n">
        <v>87</v>
      </c>
      <c r="B528" t="inlineStr">
        <is>
          <t>ddHiFi</t>
        </is>
      </c>
      <c r="C528" t="inlineStr">
        <is>
          <t>TC35Pro Eye2 &amp; Mountain2</t>
        </is>
      </c>
      <c r="D528" t="inlineStr">
        <is>
          <t>3.5mm</t>
        </is>
      </c>
      <c r="E528" t="inlineStr">
        <is>
          <t>Oui</t>
        </is>
      </c>
      <c r="F528" t="inlineStr">
        <is>
          <t>https://headfonics.com/ddhifi-tc35pro-eye2-mountain2-review/</t>
        </is>
      </c>
      <c r="G528" s="26" t="inlineStr">
        <is>
          <t>The ddHiFi TC35Pro Eye2 and Mountain2 have a simple I/O. They have a USB-C/lightning connector on one end and a 3.5mm output on the other end.</t>
        </is>
      </c>
      <c r="H528" t="inlineStr">
        <is>
          <t>2026-08-10</t>
        </is>
      </c>
    </row>
    <row r="529">
      <c r="A529" t="n">
        <v>87</v>
      </c>
      <c r="B529" t="inlineStr">
        <is>
          <t>ddHiFi</t>
        </is>
      </c>
      <c r="C529" t="inlineStr">
        <is>
          <t>TC35Pro Eye2 &amp; Mountain2</t>
        </is>
      </c>
      <c r="D529" t="inlineStr">
        <is>
          <t>4.4mm</t>
        </is>
      </c>
      <c r="E529" t="inlineStr">
        <is>
          <t>Non</t>
        </is>
      </c>
      <c r="F529" t="inlineStr">
        <is>
          <t>https://headfonics.com/ddhifi-tc35pro-eye2-mountain2-review/</t>
        </is>
      </c>
      <c r="G529" s="26" t="inlineStr">
        <is>
          <t>The ddHiFi TC35Pro Eye2 and Mountain2 have a simple I/O. They have a USB-C/lightning connector on one end and a 3.5mm output on the other end.</t>
        </is>
      </c>
      <c r="H529" t="inlineStr">
        <is>
          <t>2026-08-10</t>
        </is>
      </c>
    </row>
    <row r="530">
      <c r="A530" t="n">
        <v>87</v>
      </c>
      <c r="B530" t="inlineStr">
        <is>
          <t>ddHiFi</t>
        </is>
      </c>
      <c r="C530" t="inlineStr">
        <is>
          <t>TC35Pro Eye2 &amp; Mountain2</t>
        </is>
      </c>
      <c r="D530" t="inlineStr">
        <is>
          <t>2.5mm</t>
        </is>
      </c>
      <c r="E530" t="inlineStr">
        <is>
          <t>Non</t>
        </is>
      </c>
      <c r="F530" t="inlineStr">
        <is>
          <t>https://headfonics.com/ddhifi-tc35pro-eye2-mountain2-review/</t>
        </is>
      </c>
      <c r="G530" s="26" t="inlineStr">
        <is>
          <t>The ddHiFi TC35Pro Eye2 and Mountain2 have a simple I/O. They have a USB-C/lightning connector on one end and a 3.5mm output on the other end.</t>
        </is>
      </c>
      <c r="H530" t="inlineStr">
        <is>
          <t>2026-08-10</t>
        </is>
      </c>
    </row>
    <row r="531">
      <c r="A531" t="n">
        <v>87</v>
      </c>
      <c r="B531" t="inlineStr">
        <is>
          <t>ddHiFi</t>
        </is>
      </c>
      <c r="C531" t="inlineStr">
        <is>
          <t>TC35Pro Eye2 &amp; Mountain2</t>
        </is>
      </c>
      <c r="D531" t="inlineStr">
        <is>
          <t>6.35mm</t>
        </is>
      </c>
      <c r="E531" t="inlineStr">
        <is>
          <t>Non</t>
        </is>
      </c>
      <c r="F531" t="inlineStr">
        <is>
          <t>https://headfonics.com/ddhifi-tc35pro-eye2-mountain2-review/</t>
        </is>
      </c>
      <c r="G531" s="26" t="inlineStr">
        <is>
          <t>The ddHiFi TC35Pro Eye2 and Mountain2 have a simple I/O. They have a USB-C/lightning connector on one end and a 3.5mm output on the other end.</t>
        </is>
      </c>
      <c r="H531" t="inlineStr">
        <is>
          <t>2026-08-10</t>
        </is>
      </c>
    </row>
    <row r="532">
      <c r="A532" t="n">
        <v>87</v>
      </c>
      <c r="B532" t="inlineStr">
        <is>
          <t>ddHiFi</t>
        </is>
      </c>
      <c r="C532" t="inlineStr">
        <is>
          <t>TC35Pro Eye2 &amp; Mountain2</t>
        </is>
      </c>
      <c r="D532" t="inlineStr">
        <is>
          <t>XLR</t>
        </is>
      </c>
      <c r="E532" t="inlineStr">
        <is>
          <t>Non</t>
        </is>
      </c>
      <c r="F532" t="inlineStr">
        <is>
          <t>https://headfonics.com/ddhifi-tc35pro-eye2-mountain2-review/</t>
        </is>
      </c>
      <c r="G532" s="26" t="inlineStr">
        <is>
          <t>The ddHiFi TC35Pro Eye2 and Mountain2 have a simple I/O. They have a USB-C/lightning connector on one end and a 3.5mm output on the other end.</t>
        </is>
      </c>
      <c r="H532" t="inlineStr">
        <is>
          <t>2026-08-10</t>
        </is>
      </c>
    </row>
    <row r="533">
      <c r="A533" t="n">
        <v>88</v>
      </c>
      <c r="B533" t="inlineStr">
        <is>
          <t>Shanling</t>
        </is>
      </c>
      <c r="C533" t="inlineStr">
        <is>
          <t>UA1 Plus</t>
        </is>
      </c>
      <c r="D533" t="inlineStr">
        <is>
          <t>Bluetooth</t>
        </is>
      </c>
      <c r="E533" t="inlineStr">
        <is>
          <t>Non</t>
        </is>
      </c>
      <c r="F533" t="inlineStr">
        <is>
          <t>https://headfonics.com/shanling-ua1-plus-review/</t>
        </is>
      </c>
      <c r="G533" s="26" t="inlineStr">
        <is>
          <t>The UA1 Plus has 2 onboard connections. One is a 3.5mm single-ended connection that is capable of 1.6 volts or 80mW per side at 32Ω and the other is the USB-C input.</t>
        </is>
      </c>
      <c r="H533" t="inlineStr">
        <is>
          <t>2026-08-10</t>
        </is>
      </c>
    </row>
    <row r="534">
      <c r="A534" t="n">
        <v>88</v>
      </c>
      <c r="B534" t="inlineStr">
        <is>
          <t>Shanling</t>
        </is>
      </c>
      <c r="C534" t="inlineStr">
        <is>
          <t>UA1 Plus</t>
        </is>
      </c>
      <c r="D534" t="inlineStr">
        <is>
          <t>3.5mm</t>
        </is>
      </c>
      <c r="E534" t="inlineStr">
        <is>
          <t>Oui</t>
        </is>
      </c>
      <c r="F534" t="inlineStr">
        <is>
          <t>https://headfonics.com/shanling-ua1-plus-review/</t>
        </is>
      </c>
      <c r="G534" s="26" t="inlineStr">
        <is>
          <t>The UA1 Plus has 2 onboard connections. One is a 3.5mm single-ended connection that is capable of 1.6 volts or 80mW per side at 32Ω and the other is the USB-C input.</t>
        </is>
      </c>
      <c r="H534" t="inlineStr">
        <is>
          <t>2026-08-10</t>
        </is>
      </c>
    </row>
    <row r="535">
      <c r="A535" t="n">
        <v>88</v>
      </c>
      <c r="B535" t="inlineStr">
        <is>
          <t>Shanling</t>
        </is>
      </c>
      <c r="C535" t="inlineStr">
        <is>
          <t>UA1 Plus</t>
        </is>
      </c>
      <c r="D535" t="inlineStr">
        <is>
          <t>4.4mm</t>
        </is>
      </c>
      <c r="E535" t="inlineStr">
        <is>
          <t>Non</t>
        </is>
      </c>
      <c r="F535" t="inlineStr">
        <is>
          <t>https://headfonics.com/shanling-ua1-plus-review/</t>
        </is>
      </c>
      <c r="G535" s="26" t="inlineStr">
        <is>
          <t>There's no balanced connectivity onboard but in exchange, this model sports a removable cable while its similar cousins, the UA1 and the UA1s do not.</t>
        </is>
      </c>
      <c r="H535" t="inlineStr">
        <is>
          <t>2026-08-10</t>
        </is>
      </c>
    </row>
    <row r="536">
      <c r="A536" t="n">
        <v>88</v>
      </c>
      <c r="B536" t="inlineStr">
        <is>
          <t>Shanling</t>
        </is>
      </c>
      <c r="C536" t="inlineStr">
        <is>
          <t>UA1 Plus</t>
        </is>
      </c>
      <c r="D536" t="inlineStr">
        <is>
          <t>2.5mm</t>
        </is>
      </c>
      <c r="E536" t="inlineStr">
        <is>
          <t>Non</t>
        </is>
      </c>
      <c r="F536" t="inlineStr">
        <is>
          <t>https://headfonics.com/shanling-ua1-plus-review/</t>
        </is>
      </c>
      <c r="G536" s="26" t="inlineStr">
        <is>
          <t>There's no balanced connectivity onboard but in exchange, this model sports a removable cable while its similar cousins, the UA1 and the UA1s do not.</t>
        </is>
      </c>
      <c r="H536" t="inlineStr">
        <is>
          <t>2026-08-10</t>
        </is>
      </c>
    </row>
    <row r="537">
      <c r="A537" t="n">
        <v>88</v>
      </c>
      <c r="B537" t="inlineStr">
        <is>
          <t>Shanling</t>
        </is>
      </c>
      <c r="C537" t="inlineStr">
        <is>
          <t>UA1 Plus</t>
        </is>
      </c>
      <c r="D537" t="inlineStr">
        <is>
          <t>6.35mm</t>
        </is>
      </c>
      <c r="E537" t="inlineStr">
        <is>
          <t>Non</t>
        </is>
      </c>
      <c r="F537" t="inlineStr">
        <is>
          <t>https://headfonics.com/shanling-ua1-plus-review/</t>
        </is>
      </c>
      <c r="G537" s="26" t="inlineStr">
        <is>
          <t>The UA1 Plus has 2 onboard connections. One is a 3.5mm single-ended connection that is capable of 1.6 volts or 80mW per side at 32Ω and the other is the USB-C input.</t>
        </is>
      </c>
      <c r="H537" t="inlineStr">
        <is>
          <t>2026-08-10</t>
        </is>
      </c>
    </row>
    <row r="538">
      <c r="A538" t="n">
        <v>88</v>
      </c>
      <c r="B538" t="inlineStr">
        <is>
          <t>Shanling</t>
        </is>
      </c>
      <c r="C538" t="inlineStr">
        <is>
          <t>UA1 Plus</t>
        </is>
      </c>
      <c r="D538" t="inlineStr">
        <is>
          <t>XLR</t>
        </is>
      </c>
      <c r="E538" t="inlineStr">
        <is>
          <t>Non</t>
        </is>
      </c>
      <c r="F538" t="inlineStr">
        <is>
          <t>https://headfonics.com/shanling-ua1-plus-review/</t>
        </is>
      </c>
      <c r="G538" s="26" t="inlineStr">
        <is>
          <t>The UA1 Plus has 2 onboard connections. One is a 3.5mm single-ended connection that is capable of 1.6 volts or 80mW per side at 32Ω and the other is the USB-C input.</t>
        </is>
      </c>
      <c r="H538" t="inlineStr">
        <is>
          <t>2026-08-10</t>
        </is>
      </c>
    </row>
    <row r="539">
      <c r="A539" t="n">
        <v>89</v>
      </c>
      <c r="B539" t="inlineStr">
        <is>
          <t>iFi audio</t>
        </is>
      </c>
      <c r="C539" t="inlineStr">
        <is>
          <t>hip-dac 3</t>
        </is>
      </c>
      <c r="D539" t="inlineStr">
        <is>
          <t>Batterie</t>
        </is>
      </c>
      <c r="E539" t="inlineStr">
        <is>
          <t>Oui</t>
        </is>
      </c>
      <c r="F539" t="inlineStr">
        <is>
          <t>https://ifi-audio.com/products/hip-dac-3/</t>
        </is>
      </c>
      <c r="G539" s="26" t="inlineStr">
        <is>
          <t>BATTERY | Lithium-polymer 2,200mAh, up to 12 hours</t>
        </is>
      </c>
      <c r="H539" t="inlineStr">
        <is>
          <t>2026-08-10</t>
        </is>
      </c>
    </row>
    <row r="540">
      <c r="A540" t="n">
        <v>89</v>
      </c>
      <c r="B540" t="inlineStr">
        <is>
          <t>iFi audio</t>
        </is>
      </c>
      <c r="C540" t="inlineStr">
        <is>
          <t>hip-dac 3</t>
        </is>
      </c>
      <c r="D540" t="inlineStr">
        <is>
          <t>Bluetooth</t>
        </is>
      </c>
      <c r="E540" t="inlineStr">
        <is>
          <t>Non</t>
        </is>
      </c>
      <c r="F540" t="inlineStr">
        <is>
          <t>https://ifi-audio.com/products/hip-dac-3/</t>
        </is>
      </c>
      <c r="G540" s="26" t="inlineStr">
        <is>
          <t>INPUT | USB-C</t>
        </is>
      </c>
      <c r="H540" t="inlineStr">
        <is>
          <t>2026-08-10</t>
        </is>
      </c>
    </row>
    <row r="541">
      <c r="A541" t="n">
        <v>89</v>
      </c>
      <c r="B541" t="inlineStr">
        <is>
          <t>iFi audio</t>
        </is>
      </c>
      <c r="C541" t="inlineStr">
        <is>
          <t>hip-dac 3</t>
        </is>
      </c>
      <c r="D541" t="inlineStr">
        <is>
          <t>3.5mm</t>
        </is>
      </c>
      <c r="E541" t="inlineStr">
        <is>
          <t>Oui</t>
        </is>
      </c>
      <c r="F541" t="inlineStr">
        <is>
          <t>https://ifi-audio.com/products/hip-dac-3/</t>
        </is>
      </c>
      <c r="G541" s="26" t="inlineStr">
        <is>
          <t>HEADPHONE OUTPUT | 4.4mm; 3.5mm</t>
        </is>
      </c>
      <c r="H541" t="inlineStr">
        <is>
          <t>2026-08-10</t>
        </is>
      </c>
    </row>
    <row r="542">
      <c r="A542" t="n">
        <v>89</v>
      </c>
      <c r="B542" t="inlineStr">
        <is>
          <t>iFi audio</t>
        </is>
      </c>
      <c r="C542" t="inlineStr">
        <is>
          <t>hip-dac 3</t>
        </is>
      </c>
      <c r="D542" t="inlineStr">
        <is>
          <t>4.4mm</t>
        </is>
      </c>
      <c r="E542" t="inlineStr">
        <is>
          <t>Oui</t>
        </is>
      </c>
      <c r="F542" t="inlineStr">
        <is>
          <t>https://ifi-audio.com/products/hip-dac-3/</t>
        </is>
      </c>
      <c r="G542" s="26" t="inlineStr">
        <is>
          <t>HEADPHONE OUTPUT | 4.4mm; 3.5mm</t>
        </is>
      </c>
      <c r="H542" t="inlineStr">
        <is>
          <t>2026-08-10</t>
        </is>
      </c>
    </row>
    <row r="543">
      <c r="A543" t="n">
        <v>89</v>
      </c>
      <c r="B543" t="inlineStr">
        <is>
          <t>iFi audio</t>
        </is>
      </c>
      <c r="C543" t="inlineStr">
        <is>
          <t>hip-dac 3</t>
        </is>
      </c>
      <c r="D543" t="inlineStr">
        <is>
          <t>2.5mm</t>
        </is>
      </c>
      <c r="E543" t="inlineStr">
        <is>
          <t>Non</t>
        </is>
      </c>
      <c r="F543" t="inlineStr">
        <is>
          <t>https://ifi-audio.com/products/hip-dac-3/</t>
        </is>
      </c>
      <c r="G543" s="26" t="inlineStr">
        <is>
          <t>HEADPHONE OUTPUT | 4.4mm; 3.5mm</t>
        </is>
      </c>
      <c r="H543" t="inlineStr">
        <is>
          <t>2026-08-10</t>
        </is>
      </c>
    </row>
    <row r="544">
      <c r="A544" t="n">
        <v>89</v>
      </c>
      <c r="B544" t="inlineStr">
        <is>
          <t>iFi audio</t>
        </is>
      </c>
      <c r="C544" t="inlineStr">
        <is>
          <t>hip-dac 3</t>
        </is>
      </c>
      <c r="D544" t="inlineStr">
        <is>
          <t>6.35mm</t>
        </is>
      </c>
      <c r="E544" t="inlineStr">
        <is>
          <t>Non</t>
        </is>
      </c>
      <c r="F544" t="inlineStr">
        <is>
          <t>https://ifi-audio.com/products/hip-dac-3/</t>
        </is>
      </c>
      <c r="G544" s="26" t="inlineStr">
        <is>
          <t>HEADPHONE OUTPUT | 4.4mm; 3.5mm</t>
        </is>
      </c>
      <c r="H544" t="inlineStr">
        <is>
          <t>2026-08-10</t>
        </is>
      </c>
    </row>
    <row r="545">
      <c r="A545" t="n">
        <v>89</v>
      </c>
      <c r="B545" t="inlineStr">
        <is>
          <t>iFi audio</t>
        </is>
      </c>
      <c r="C545" t="inlineStr">
        <is>
          <t>hip-dac 3</t>
        </is>
      </c>
      <c r="D545" t="inlineStr">
        <is>
          <t>XLR</t>
        </is>
      </c>
      <c r="E545" t="inlineStr">
        <is>
          <t>Non</t>
        </is>
      </c>
      <c r="F545" t="inlineStr">
        <is>
          <t>https://ifi-audio.com/products/hip-dac-3/</t>
        </is>
      </c>
      <c r="G545" s="26" t="inlineStr">
        <is>
          <t>HEADPHONE OUTPUT | 4.4mm; 3.5mm</t>
        </is>
      </c>
      <c r="H545" t="inlineStr">
        <is>
          <t>2026-08-10</t>
        </is>
      </c>
    </row>
    <row r="546">
      <c r="A546" t="n">
        <v>90</v>
      </c>
      <c r="B546" t="inlineStr">
        <is>
          <t>Hidizs</t>
        </is>
      </c>
      <c r="C546" t="inlineStr">
        <is>
          <t>S9 Pro Plus Martha</t>
        </is>
      </c>
      <c r="D546" t="inlineStr">
        <is>
          <t>Bluetooth</t>
        </is>
      </c>
      <c r="E546" t="inlineStr">
        <is>
          <t>Non</t>
        </is>
      </c>
      <c r="F546" t="inlineStr">
        <is>
          <t>https://www.hidizs.net/products/hidizs-s9-pro-plus-martha-hifi-balanced-dongle-dac</t>
        </is>
      </c>
      <c r="G546" s="26" t="inlineStr">
        <is>
          <t>The S9 Pro Plus boasts a standard Type-C data interface, ensuring excellent compatibility across a wide range of platforms, including Windows, Mac OS, iPad OS, Android, iOS, and Harmony OS.</t>
        </is>
      </c>
      <c r="H546" t="inlineStr">
        <is>
          <t>2026-08-10</t>
        </is>
      </c>
    </row>
    <row r="547">
      <c r="A547" t="n">
        <v>90</v>
      </c>
      <c r="B547" t="inlineStr">
        <is>
          <t>Hidizs</t>
        </is>
      </c>
      <c r="C547" t="inlineStr">
        <is>
          <t>S9 Pro Plus Martha</t>
        </is>
      </c>
      <c r="D547" t="inlineStr">
        <is>
          <t>3.5mm</t>
        </is>
      </c>
      <c r="E547" t="inlineStr">
        <is>
          <t>Oui</t>
        </is>
      </c>
      <c r="F547" t="inlineStr">
        <is>
          <t>https://www.hidizs.net/products/hidizs-s9-pro-plus-martha-hifi-balanced-dongle-dac</t>
        </is>
      </c>
      <c r="G547" s="26" t="inlineStr">
        <is>
          <t>4.4mm Balanced &amp; 3.5mm Single-ended Output</t>
        </is>
      </c>
      <c r="H547" t="inlineStr">
        <is>
          <t>2026-08-10</t>
        </is>
      </c>
    </row>
    <row r="548">
      <c r="A548" t="n">
        <v>90</v>
      </c>
      <c r="B548" t="inlineStr">
        <is>
          <t>Hidizs</t>
        </is>
      </c>
      <c r="C548" t="inlineStr">
        <is>
          <t>S9 Pro Plus Martha</t>
        </is>
      </c>
      <c r="D548" t="inlineStr">
        <is>
          <t>4.4mm</t>
        </is>
      </c>
      <c r="E548" t="inlineStr">
        <is>
          <t>Oui</t>
        </is>
      </c>
      <c r="F548" t="inlineStr">
        <is>
          <t>https://www.hidizs.net/products/hidizs-s9-pro-plus-martha-hifi-balanced-dongle-dac</t>
        </is>
      </c>
      <c r="G548" s="26" t="inlineStr">
        <is>
          <t>4.4mm Balanced &amp; 3.5mm Single-ended Output</t>
        </is>
      </c>
      <c r="H548" t="inlineStr">
        <is>
          <t>2026-08-10</t>
        </is>
      </c>
    </row>
    <row r="549">
      <c r="A549" t="n">
        <v>90</v>
      </c>
      <c r="B549" t="inlineStr">
        <is>
          <t>Hidizs</t>
        </is>
      </c>
      <c r="C549" t="inlineStr">
        <is>
          <t>S9 Pro Plus Martha</t>
        </is>
      </c>
      <c r="D549" t="inlineStr">
        <is>
          <t>2.5mm</t>
        </is>
      </c>
      <c r="E549" t="inlineStr">
        <is>
          <t>Non</t>
        </is>
      </c>
      <c r="F549" t="inlineStr">
        <is>
          <t>https://www.hidizs.net/products/hidizs-s9-pro-plus-martha-hifi-balanced-dongle-dac</t>
        </is>
      </c>
      <c r="G549" s="26" t="inlineStr">
        <is>
          <t>Compatible with single-ended 3.5mm and balanced 4.4mm plug earphones</t>
        </is>
      </c>
      <c r="H549" t="inlineStr">
        <is>
          <t>2026-08-10</t>
        </is>
      </c>
    </row>
    <row r="550">
      <c r="A550" t="n">
        <v>90</v>
      </c>
      <c r="B550" t="inlineStr">
        <is>
          <t>Hidizs</t>
        </is>
      </c>
      <c r="C550" t="inlineStr">
        <is>
          <t>S9 Pro Plus Martha</t>
        </is>
      </c>
      <c r="D550" t="inlineStr">
        <is>
          <t>6.35mm</t>
        </is>
      </c>
      <c r="E550" t="inlineStr">
        <is>
          <t>Non</t>
        </is>
      </c>
      <c r="F550" t="inlineStr">
        <is>
          <t>https://www.hidizs.net/products/hidizs-s9-pro-plus-martha-hifi-balanced-dongle-dac</t>
        </is>
      </c>
      <c r="G550" s="26" t="inlineStr">
        <is>
          <t>Compatible with single-ended 3.5mm and balanced 4.4mm plug earphones</t>
        </is>
      </c>
      <c r="H550" t="inlineStr">
        <is>
          <t>2026-08-10</t>
        </is>
      </c>
    </row>
    <row r="551">
      <c r="A551" t="n">
        <v>90</v>
      </c>
      <c r="B551" t="inlineStr">
        <is>
          <t>Hidizs</t>
        </is>
      </c>
      <c r="C551" t="inlineStr">
        <is>
          <t>S9 Pro Plus Martha</t>
        </is>
      </c>
      <c r="D551" t="inlineStr">
        <is>
          <t>XLR</t>
        </is>
      </c>
      <c r="E551" t="inlineStr">
        <is>
          <t>Non</t>
        </is>
      </c>
      <c r="F551" t="inlineStr">
        <is>
          <t>https://www.hidizs.net/products/hidizs-s9-pro-plus-martha-hifi-balanced-dongle-dac</t>
        </is>
      </c>
      <c r="G551" s="26" t="inlineStr">
        <is>
          <t>Compatible with single-ended 3.5mm and balanced 4.4mm plug earphones</t>
        </is>
      </c>
      <c r="H551" t="inlineStr">
        <is>
          <t>2026-08-10</t>
        </is>
      </c>
    </row>
    <row r="552">
      <c r="A552" t="n">
        <v>91</v>
      </c>
      <c r="B552" t="inlineStr">
        <is>
          <t>xDuoo</t>
        </is>
      </c>
      <c r="C552" t="inlineStr">
        <is>
          <t>XD05 Pro</t>
        </is>
      </c>
      <c r="D552" t="inlineStr">
        <is>
          <t>Batterie</t>
        </is>
      </c>
      <c r="E552" t="inlineStr">
        <is>
          <t>Oui</t>
        </is>
      </c>
      <c r="F552" t="inlineStr">
        <is>
          <t>https://soundnews.net/reviews/sources/dacs/xduoo-xd05-pro-review-badassery-on-the-go/</t>
        </is>
      </c>
      <c r="G552" s="26" t="inlineStr">
        <is>
          <t>The overkill digital and analog sections required a massive battery and that's why xDuoo went with a giant 13600 mAh battery that contributes a lot to its thickness and weight.</t>
        </is>
      </c>
      <c r="H552" t="inlineStr">
        <is>
          <t>2026-08-10</t>
        </is>
      </c>
    </row>
    <row r="553">
      <c r="A553" t="n">
        <v>91</v>
      </c>
      <c r="B553" t="inlineStr">
        <is>
          <t>xDuoo</t>
        </is>
      </c>
      <c r="C553" t="inlineStr">
        <is>
          <t>XD05 Pro</t>
        </is>
      </c>
      <c r="D553" t="inlineStr">
        <is>
          <t>Bluetooth</t>
        </is>
      </c>
      <c r="E553" t="inlineStr">
        <is>
          <t>Oui</t>
        </is>
      </c>
      <c r="F553" t="inlineStr">
        <is>
          <t>https://soundnews.net/reviews/sources/dacs/xduoo-xd05-pro-review-badassery-on-the-go/</t>
        </is>
      </c>
      <c r="G553" s="26" t="inlineStr">
        <is>
          <t>xDuoo went with the highest-performance Bluetooth receiver, the QCC5125 of Qualcomm which supports all the latest audiophile-proof codecs, including AptX-Adaptive, AptX-Low Latency, LDAC, and many more.</t>
        </is>
      </c>
      <c r="H553" t="inlineStr">
        <is>
          <t>2026-08-10</t>
        </is>
      </c>
    </row>
    <row r="554">
      <c r="A554" t="n">
        <v>91</v>
      </c>
      <c r="B554" t="inlineStr">
        <is>
          <t>xDuoo</t>
        </is>
      </c>
      <c r="C554" t="inlineStr">
        <is>
          <t>XD05 Pro</t>
        </is>
      </c>
      <c r="D554" t="inlineStr">
        <is>
          <t>3.5mm</t>
        </is>
      </c>
      <c r="E554" t="inlineStr">
        <is>
          <t>Non</t>
        </is>
      </c>
      <c r="F554" t="inlineStr">
        <is>
          <t>https://soundnews.net/reviews/sources/dacs/xduoo-xd05-pro-review-badassery-on-the-go/</t>
        </is>
      </c>
      <c r="G554" s="26" t="inlineStr">
        <is>
          <t>Arbitrage de convention — Façade = 6,35 + 4,4 mm uniquement ; le 3,5 mm arrière est une entrée ou une sortie de niveau ligne selon réglage. Devient attesté sous la règle « sorties casque uniquement ».</t>
        </is>
      </c>
      <c r="H554" t="inlineStr">
        <is>
          <t>2026-08-10</t>
        </is>
      </c>
    </row>
    <row r="555">
      <c r="A555" t="n">
        <v>91</v>
      </c>
      <c r="B555" t="inlineStr">
        <is>
          <t>xDuoo</t>
        </is>
      </c>
      <c r="C555" t="inlineStr">
        <is>
          <t>XD05 Pro</t>
        </is>
      </c>
      <c r="D555" t="inlineStr">
        <is>
          <t>4.4mm</t>
        </is>
      </c>
      <c r="E555" t="inlineStr">
        <is>
          <t>Oui</t>
        </is>
      </c>
      <c r="F555" t="inlineStr">
        <is>
          <t>https://soundnews.net/reviews/sources/dacs/xduoo-xd05-pro-review-badassery-on-the-go/</t>
        </is>
      </c>
      <c r="G555" s="26" t="inlineStr">
        <is>
          <t>On its front, you can see a 6.35mm SE headphone jack and a balanced 4.4mm output, and a beautifully machined aluminum knob that offers satisfying physical resistance.</t>
        </is>
      </c>
      <c r="H555" t="inlineStr">
        <is>
          <t>2026-08-10</t>
        </is>
      </c>
    </row>
    <row r="556">
      <c r="A556" t="n">
        <v>91</v>
      </c>
      <c r="B556" t="inlineStr">
        <is>
          <t>xDuoo</t>
        </is>
      </c>
      <c r="C556" t="inlineStr">
        <is>
          <t>XD05 Pro</t>
        </is>
      </c>
      <c r="D556" t="inlineStr">
        <is>
          <t>2.5mm</t>
        </is>
      </c>
      <c r="E556" t="inlineStr">
        <is>
          <t>Non</t>
        </is>
      </c>
      <c r="F556" t="inlineStr">
        <is>
          <t>https://soundnews.net/reviews/sources/dacs/xduoo-xd05-pro-review-badassery-on-the-go/</t>
        </is>
      </c>
      <c r="G556" s="26" t="inlineStr">
        <is>
          <t>From left to right you have your 3.5mm optical/coaxial input, an AES input, a USB Type-C input, a single-ended 3.5mm input or output (depending on the settings), a balanced 4.4mm in or out, another USB Type-C used for charging and a tiny switch which changes its operation from battery power, AC power or charging mode.</t>
        </is>
      </c>
      <c r="H556" t="inlineStr">
        <is>
          <t>2026-08-10</t>
        </is>
      </c>
    </row>
    <row r="557">
      <c r="A557" t="n">
        <v>91</v>
      </c>
      <c r="B557" t="inlineStr">
        <is>
          <t>xDuoo</t>
        </is>
      </c>
      <c r="C557" t="inlineStr">
        <is>
          <t>XD05 Pro</t>
        </is>
      </c>
      <c r="D557" t="inlineStr">
        <is>
          <t>6.35mm</t>
        </is>
      </c>
      <c r="E557" t="inlineStr">
        <is>
          <t>Oui</t>
        </is>
      </c>
      <c r="F557" t="inlineStr">
        <is>
          <t>https://soundnews.net/reviews/sources/dacs/xduoo-xd05-pro-review-badassery-on-the-go/</t>
        </is>
      </c>
      <c r="G557" s="26" t="inlineStr">
        <is>
          <t>On its front, you can see a 6.35mm SE headphone jack and a balanced 4.4mm output, and a beautifully machined aluminum knob that offers satisfying physical resistance.</t>
        </is>
      </c>
      <c r="H557" t="inlineStr">
        <is>
          <t>2026-08-10</t>
        </is>
      </c>
    </row>
    <row r="558">
      <c r="A558" t="n">
        <v>91</v>
      </c>
      <c r="B558" t="inlineStr">
        <is>
          <t>xDuoo</t>
        </is>
      </c>
      <c r="C558" t="inlineStr">
        <is>
          <t>XD05 Pro</t>
        </is>
      </c>
      <c r="D558" t="inlineStr">
        <is>
          <t>XLR</t>
        </is>
      </c>
      <c r="E558" t="inlineStr">
        <is>
          <t>Non</t>
        </is>
      </c>
      <c r="F558" t="inlineStr">
        <is>
          <t>https://soundnews.net/reviews/sources/dacs/xduoo-xd05-pro-review-badassery-on-the-go/</t>
        </is>
      </c>
      <c r="G558" s="26" t="inlineStr">
        <is>
          <t>From left to right you have your 3.5mm optical/coaxial input, an AES input, a USB Type-C input, a single-ended 3.5mm input or output (depending on the settings), a balanced 4.4mm in or out, another USB Type-C used for charging and a tiny switch which changes its operation from battery power, AC power or charging mode.</t>
        </is>
      </c>
      <c r="H558" t="inlineStr">
        <is>
          <t>2026-08-10</t>
        </is>
      </c>
    </row>
    <row r="559">
      <c r="A559" t="n">
        <v>92</v>
      </c>
      <c r="B559" t="inlineStr">
        <is>
          <t>FiiO</t>
        </is>
      </c>
      <c r="C559" t="inlineStr">
        <is>
          <t>KA13</t>
        </is>
      </c>
      <c r="D559" t="inlineStr">
        <is>
          <t>Bluetooth</t>
        </is>
      </c>
      <c r="E559" t="inlineStr">
        <is>
          <t>Non</t>
        </is>
      </c>
      <c r="F559" t="inlineStr">
        <is>
          <t>https://headfonics.com/fiio-ka13-review/</t>
        </is>
      </c>
      <c r="G559" s="26" t="inlineStr">
        <is>
          <t>Following that trend, the FiiO KA13 uses the two most common connection types, a 3.5mm, and a 4.4mm balanced output. It also uses the common USB-C connection type for the input.</t>
        </is>
      </c>
      <c r="H559" t="inlineStr">
        <is>
          <t>2026-08-10</t>
        </is>
      </c>
    </row>
    <row r="560">
      <c r="A560" t="n">
        <v>92</v>
      </c>
      <c r="B560" t="inlineStr">
        <is>
          <t>FiiO</t>
        </is>
      </c>
      <c r="C560" t="inlineStr">
        <is>
          <t>KA13</t>
        </is>
      </c>
      <c r="D560" t="inlineStr">
        <is>
          <t>3.5mm</t>
        </is>
      </c>
      <c r="E560" t="inlineStr">
        <is>
          <t>Oui</t>
        </is>
      </c>
      <c r="F560" t="inlineStr">
        <is>
          <t>https://headfonics.com/fiio-ka13-review/</t>
        </is>
      </c>
      <c r="G560" s="26" t="inlineStr">
        <is>
          <t>Following that trend, the FiiO KA13 uses the two most common connection types, a 3.5mm, and a 4.4mm balanced output. It also uses the common USB-C connection type for the input.</t>
        </is>
      </c>
      <c r="H560" t="inlineStr">
        <is>
          <t>2026-08-10</t>
        </is>
      </c>
    </row>
    <row r="561">
      <c r="A561" t="n">
        <v>92</v>
      </c>
      <c r="B561" t="inlineStr">
        <is>
          <t>FiiO</t>
        </is>
      </c>
      <c r="C561" t="inlineStr">
        <is>
          <t>KA13</t>
        </is>
      </c>
      <c r="D561" t="inlineStr">
        <is>
          <t>4.4mm</t>
        </is>
      </c>
      <c r="E561" t="inlineStr">
        <is>
          <t>Oui</t>
        </is>
      </c>
      <c r="F561" t="inlineStr">
        <is>
          <t>https://headfonics.com/fiio-ka13-review/</t>
        </is>
      </c>
      <c r="G561" s="26" t="inlineStr">
        <is>
          <t>Following that trend, the FiiO KA13 uses the two most common connection types, a 3.5mm, and a 4.4mm balanced output. It also uses the common USB-C connection type for the input.</t>
        </is>
      </c>
      <c r="H561" t="inlineStr">
        <is>
          <t>2026-08-10</t>
        </is>
      </c>
    </row>
    <row r="562">
      <c r="A562" t="n">
        <v>92</v>
      </c>
      <c r="B562" t="inlineStr">
        <is>
          <t>FiiO</t>
        </is>
      </c>
      <c r="C562" t="inlineStr">
        <is>
          <t>KA13</t>
        </is>
      </c>
      <c r="D562" t="inlineStr">
        <is>
          <t>2.5mm</t>
        </is>
      </c>
      <c r="E562" t="inlineStr">
        <is>
          <t>Non</t>
        </is>
      </c>
      <c r="F562" t="inlineStr">
        <is>
          <t>https://headfonics.com/fiio-ka13-review/</t>
        </is>
      </c>
      <c r="G562" s="26" t="inlineStr">
        <is>
          <t>Following that trend, the FiiO KA13 uses the two most common connection types, a 3.5mm, and a 4.4mm balanced output. It also uses the common USB-C connection type for the input.</t>
        </is>
      </c>
      <c r="H562" t="inlineStr">
        <is>
          <t>2026-08-10</t>
        </is>
      </c>
    </row>
    <row r="563">
      <c r="A563" t="n">
        <v>92</v>
      </c>
      <c r="B563" t="inlineStr">
        <is>
          <t>FiiO</t>
        </is>
      </c>
      <c r="C563" t="inlineStr">
        <is>
          <t>KA13</t>
        </is>
      </c>
      <c r="D563" t="inlineStr">
        <is>
          <t>6.35mm</t>
        </is>
      </c>
      <c r="E563" t="inlineStr">
        <is>
          <t>Non</t>
        </is>
      </c>
      <c r="F563" t="inlineStr">
        <is>
          <t>https://headfonics.com/fiio-ka13-review/</t>
        </is>
      </c>
      <c r="G563" s="26" t="inlineStr">
        <is>
          <t>Following that trend, the FiiO KA13 uses the two most common connection types, a 3.5mm, and a 4.4mm balanced output. It also uses the common USB-C connection type for the input.</t>
        </is>
      </c>
      <c r="H563" t="inlineStr">
        <is>
          <t>2026-08-10</t>
        </is>
      </c>
    </row>
    <row r="564">
      <c r="A564" t="n">
        <v>92</v>
      </c>
      <c r="B564" t="inlineStr">
        <is>
          <t>FiiO</t>
        </is>
      </c>
      <c r="C564" t="inlineStr">
        <is>
          <t>KA13</t>
        </is>
      </c>
      <c r="D564" t="inlineStr">
        <is>
          <t>XLR</t>
        </is>
      </c>
      <c r="E564" t="inlineStr">
        <is>
          <t>Non</t>
        </is>
      </c>
      <c r="F564" t="inlineStr">
        <is>
          <t>https://headfonics.com/fiio-ka13-review/</t>
        </is>
      </c>
      <c r="G564" s="26" t="inlineStr">
        <is>
          <t>Following that trend, the FiiO KA13 uses the two most common connection types, a 3.5mm, and a 4.4mm balanced output. It also uses the common USB-C connection type for the input.</t>
        </is>
      </c>
      <c r="H564" t="inlineStr">
        <is>
          <t>2026-08-10</t>
        </is>
      </c>
    </row>
    <row r="565">
      <c r="A565" t="n">
        <v>92</v>
      </c>
      <c r="B565" t="inlineStr">
        <is>
          <t>FiiO</t>
        </is>
      </c>
      <c r="C565" t="inlineStr">
        <is>
          <t>KA13</t>
        </is>
      </c>
      <c r="D565" t="inlineStr">
        <is>
          <t>DSP/PEQ</t>
        </is>
      </c>
      <c r="E565" t="inlineStr">
        <is>
          <t>Non</t>
        </is>
      </c>
      <c r="F565" t="inlineStr">
        <is>
          <t>https://headfonics.com/fiio-ka13-review/</t>
        </is>
      </c>
      <c r="G565" s="26" t="inlineStr">
        <is>
          <t>You can use FiiO's Control app with the KA13 but it seems to limit its features on this model. You get to use some digital filters and play around with the RGB ambient light window LED on and off setting but not much else.</t>
        </is>
      </c>
      <c r="H565" t="inlineStr">
        <is>
          <t>2026-08-10</t>
        </is>
      </c>
    </row>
    <row r="566">
      <c r="A566" t="n">
        <v>93</v>
      </c>
      <c r="B566" t="inlineStr">
        <is>
          <t>Audirect</t>
        </is>
      </c>
      <c r="C566" t="inlineStr">
        <is>
          <t>Beam 4</t>
        </is>
      </c>
      <c r="D566" t="inlineStr">
        <is>
          <t>Batterie</t>
        </is>
      </c>
      <c r="E566" t="inlineStr">
        <is>
          <t>Oui</t>
        </is>
      </c>
      <c r="F566" t="inlineStr">
        <is>
          <t>https://headfonics.com/audirect-beam-4-review/</t>
        </is>
      </c>
      <c r="G566" s="26" t="inlineStr">
        <is>
          <t>Battery Capacity: 1200mAh.</t>
        </is>
      </c>
      <c r="H566" t="inlineStr">
        <is>
          <t>2026-08-10</t>
        </is>
      </c>
    </row>
    <row r="567">
      <c r="A567" t="n">
        <v>93</v>
      </c>
      <c r="B567" t="inlineStr">
        <is>
          <t>Audirect</t>
        </is>
      </c>
      <c r="C567" t="inlineStr">
        <is>
          <t>Beam 4</t>
        </is>
      </c>
      <c r="D567" t="inlineStr">
        <is>
          <t>Bluetooth</t>
        </is>
      </c>
      <c r="E567" t="inlineStr">
        <is>
          <t>Non</t>
        </is>
      </c>
      <c r="F567" t="inlineStr">
        <is>
          <t>https://headfonics.com/audirect-beam-4-review/</t>
        </is>
      </c>
      <c r="G567" s="26" t="inlineStr">
        <is>
          <t>The balanced and unbalanced ports can be seen at the top of the unit, while the USB-C port is at the opposite end.</t>
        </is>
      </c>
      <c r="H567" t="inlineStr">
        <is>
          <t>2026-08-10</t>
        </is>
      </c>
    </row>
    <row r="568">
      <c r="A568" t="n">
        <v>93</v>
      </c>
      <c r="B568" t="inlineStr">
        <is>
          <t>Audirect</t>
        </is>
      </c>
      <c r="C568" t="inlineStr">
        <is>
          <t>Beam 4</t>
        </is>
      </c>
      <c r="D568" t="inlineStr">
        <is>
          <t>3.5mm</t>
        </is>
      </c>
      <c r="E568" t="inlineStr">
        <is>
          <t>Oui</t>
        </is>
      </c>
      <c r="F568" t="inlineStr">
        <is>
          <t>https://headfonics.com/audirect-beam-4-review/</t>
        </is>
      </c>
      <c r="G568" s="26" t="inlineStr">
        <is>
          <t>Output: 3.5mm SE+4.4mm Bal.</t>
        </is>
      </c>
      <c r="H568" t="inlineStr">
        <is>
          <t>2026-08-10</t>
        </is>
      </c>
    </row>
    <row r="569">
      <c r="A569" t="n">
        <v>93</v>
      </c>
      <c r="B569" t="inlineStr">
        <is>
          <t>Audirect</t>
        </is>
      </c>
      <c r="C569" t="inlineStr">
        <is>
          <t>Beam 4</t>
        </is>
      </c>
      <c r="D569" t="inlineStr">
        <is>
          <t>4.4mm</t>
        </is>
      </c>
      <c r="E569" t="inlineStr">
        <is>
          <t>Oui</t>
        </is>
      </c>
      <c r="F569" t="inlineStr">
        <is>
          <t>https://headfonics.com/audirect-beam-4-review/</t>
        </is>
      </c>
      <c r="G569" s="26" t="inlineStr">
        <is>
          <t>Output: 3.5mm SE+4.4mm Bal.</t>
        </is>
      </c>
      <c r="H569" t="inlineStr">
        <is>
          <t>2026-08-10</t>
        </is>
      </c>
    </row>
    <row r="570">
      <c r="A570" t="n">
        <v>93</v>
      </c>
      <c r="B570" t="inlineStr">
        <is>
          <t>Audirect</t>
        </is>
      </c>
      <c r="C570" t="inlineStr">
        <is>
          <t>Beam 4</t>
        </is>
      </c>
      <c r="D570" t="inlineStr">
        <is>
          <t>2.5mm</t>
        </is>
      </c>
      <c r="E570" t="inlineStr">
        <is>
          <t>Non</t>
        </is>
      </c>
      <c r="F570" t="inlineStr">
        <is>
          <t>https://headfonics.com/audirect-beam-4-review/</t>
        </is>
      </c>
      <c r="G570" s="26" t="inlineStr">
        <is>
          <t>Output: 3.5mm SE+4.4mm Bal.</t>
        </is>
      </c>
      <c r="H570" t="inlineStr">
        <is>
          <t>2026-08-10</t>
        </is>
      </c>
    </row>
    <row r="571">
      <c r="A571" t="n">
        <v>93</v>
      </c>
      <c r="B571" t="inlineStr">
        <is>
          <t>Audirect</t>
        </is>
      </c>
      <c r="C571" t="inlineStr">
        <is>
          <t>Beam 4</t>
        </is>
      </c>
      <c r="D571" t="inlineStr">
        <is>
          <t>6.35mm</t>
        </is>
      </c>
      <c r="E571" t="inlineStr">
        <is>
          <t>Non</t>
        </is>
      </c>
      <c r="F571" t="inlineStr">
        <is>
          <t>https://headfonics.com/audirect-beam-4-review/</t>
        </is>
      </c>
      <c r="G571" s="26" t="inlineStr">
        <is>
          <t>Output: 3.5mm SE+4.4mm Bal.</t>
        </is>
      </c>
      <c r="H571" t="inlineStr">
        <is>
          <t>2026-08-10</t>
        </is>
      </c>
    </row>
    <row r="572">
      <c r="A572" t="n">
        <v>93</v>
      </c>
      <c r="B572" t="inlineStr">
        <is>
          <t>Audirect</t>
        </is>
      </c>
      <c r="C572" t="inlineStr">
        <is>
          <t>Beam 4</t>
        </is>
      </c>
      <c r="D572" t="inlineStr">
        <is>
          <t>XLR</t>
        </is>
      </c>
      <c r="E572" t="inlineStr">
        <is>
          <t>Non</t>
        </is>
      </c>
      <c r="F572" t="inlineStr">
        <is>
          <t>https://headfonics.com/audirect-beam-4-review/</t>
        </is>
      </c>
      <c r="G572" s="26" t="inlineStr">
        <is>
          <t>Output: 3.5mm SE+4.4mm Bal.</t>
        </is>
      </c>
      <c r="H572" t="inlineStr">
        <is>
          <t>2026-08-10</t>
        </is>
      </c>
    </row>
    <row r="573">
      <c r="A573" t="n">
        <v>94</v>
      </c>
      <c r="B573" t="inlineStr">
        <is>
          <t>ddHiFi</t>
        </is>
      </c>
      <c r="C573" t="inlineStr">
        <is>
          <t>TC44Pro</t>
        </is>
      </c>
      <c r="D573" t="inlineStr">
        <is>
          <t>3.5mm</t>
        </is>
      </c>
      <c r="E573" t="inlineStr">
        <is>
          <t>Non</t>
        </is>
      </c>
      <c r="F573" t="inlineStr">
        <is>
          <t>https://www.headfonia.com/ddhifi-tc44pro-review/</t>
        </is>
      </c>
      <c r="G573" s="26" t="inlineStr">
        <is>
          <t>Wider, thicker and a tad longer, the DAC owes its measurements to its single headphone output: a 4.4mm Pentaconn port instead of the classical 3.5mm one.</t>
        </is>
      </c>
      <c r="H573" t="inlineStr">
        <is>
          <t>2026-08-10</t>
        </is>
      </c>
    </row>
    <row r="574">
      <c r="A574" t="n">
        <v>94</v>
      </c>
      <c r="B574" t="inlineStr">
        <is>
          <t>ddHiFi</t>
        </is>
      </c>
      <c r="C574" t="inlineStr">
        <is>
          <t>TC44Pro</t>
        </is>
      </c>
      <c r="D574" t="inlineStr">
        <is>
          <t>4.4mm</t>
        </is>
      </c>
      <c r="E574" t="inlineStr">
        <is>
          <t>Oui</t>
        </is>
      </c>
      <c r="F574" t="inlineStr">
        <is>
          <t>https://www.headfonia.com/ddhifi-tc44pro-review/</t>
        </is>
      </c>
      <c r="G574" s="26" t="inlineStr">
        <is>
          <t>Wider, thicker and a tad longer, the DAC owes its measurements to its single headphone output: a 4.4mm Pentaconn port instead of the classical 3.5mm one.</t>
        </is>
      </c>
      <c r="H574" t="inlineStr">
        <is>
          <t>2026-08-10</t>
        </is>
      </c>
    </row>
    <row r="575">
      <c r="A575" t="n">
        <v>94</v>
      </c>
      <c r="B575" t="inlineStr">
        <is>
          <t>ddHiFi</t>
        </is>
      </c>
      <c r="C575" t="inlineStr">
        <is>
          <t>TC44Pro</t>
        </is>
      </c>
      <c r="D575" t="inlineStr">
        <is>
          <t>2.5mm</t>
        </is>
      </c>
      <c r="E575" t="inlineStr">
        <is>
          <t>Non</t>
        </is>
      </c>
      <c r="F575" t="inlineStr">
        <is>
          <t>https://www.headfonia.com/ddhifi-tc44pro-review/</t>
        </is>
      </c>
      <c r="G575" s="26" t="inlineStr">
        <is>
          <t>Wider, thicker and a tad longer, the DAC owes its measurements to its single headphone output: a 4.4mm Pentaconn port instead of the classical 3.5mm one.</t>
        </is>
      </c>
      <c r="H575" t="inlineStr">
        <is>
          <t>2026-08-10</t>
        </is>
      </c>
    </row>
    <row r="576">
      <c r="A576" t="n">
        <v>94</v>
      </c>
      <c r="B576" t="inlineStr">
        <is>
          <t>ddHiFi</t>
        </is>
      </c>
      <c r="C576" t="inlineStr">
        <is>
          <t>TC44Pro</t>
        </is>
      </c>
      <c r="D576" t="inlineStr">
        <is>
          <t>6.35mm</t>
        </is>
      </c>
      <c r="E576" t="inlineStr">
        <is>
          <t>Non</t>
        </is>
      </c>
      <c r="F576" t="inlineStr">
        <is>
          <t>https://www.headfonia.com/ddhifi-tc44pro-review/</t>
        </is>
      </c>
      <c r="G576" s="26" t="inlineStr">
        <is>
          <t>Wider, thicker and a tad longer, the DAC owes its measurements to its single headphone output: a 4.4mm Pentaconn port instead of the classical 3.5mm one.</t>
        </is>
      </c>
      <c r="H576" t="inlineStr">
        <is>
          <t>2026-08-10</t>
        </is>
      </c>
    </row>
    <row r="577">
      <c r="A577" t="n">
        <v>94</v>
      </c>
      <c r="B577" t="inlineStr">
        <is>
          <t>ddHiFi</t>
        </is>
      </c>
      <c r="C577" t="inlineStr">
        <is>
          <t>TC44Pro</t>
        </is>
      </c>
      <c r="D577" t="inlineStr">
        <is>
          <t>XLR</t>
        </is>
      </c>
      <c r="E577" t="inlineStr">
        <is>
          <t>Non</t>
        </is>
      </c>
      <c r="F577" t="inlineStr">
        <is>
          <t>https://www.headfonia.com/ddhifi-tc44pro-review/</t>
        </is>
      </c>
      <c r="G577" s="26" t="inlineStr">
        <is>
          <t>Wider, thicker and a tad longer, the DAC owes its measurements to its single headphone output: a 4.4mm Pentaconn port instead of the classical 3.5mm one.</t>
        </is>
      </c>
      <c r="H577" t="inlineStr">
        <is>
          <t>2026-08-10</t>
        </is>
      </c>
    </row>
    <row r="578">
      <c r="A578" t="n">
        <v>94</v>
      </c>
      <c r="B578" t="inlineStr">
        <is>
          <t>ddHiFi</t>
        </is>
      </c>
      <c r="C578" t="inlineStr">
        <is>
          <t>TC44Pro</t>
        </is>
      </c>
      <c r="D578" t="inlineStr">
        <is>
          <t>DSP/PEQ</t>
        </is>
      </c>
      <c r="E578" t="inlineStr">
        <is>
          <t>Non</t>
        </is>
      </c>
      <c r="F578" t="inlineStr">
        <is>
          <t>https://www.headfonia.com/ddhifi-tc44pro-review/</t>
        </is>
      </c>
      <c r="G578" s="26" t="inlineStr">
        <is>
          <t>Last but not least, you won't have access to any control, nor phone call support, just pure music.</t>
        </is>
      </c>
      <c r="H578" t="inlineStr">
        <is>
          <t>2026-08-10</t>
        </is>
      </c>
    </row>
    <row r="579">
      <c r="A579" t="n">
        <v>95</v>
      </c>
      <c r="B579" t="inlineStr">
        <is>
          <t>Moondrop</t>
        </is>
      </c>
      <c r="C579" t="inlineStr">
        <is>
          <t>Dawn Pro</t>
        </is>
      </c>
      <c r="D579" t="inlineStr">
        <is>
          <t>Bluetooth</t>
        </is>
      </c>
      <c r="E579" t="inlineStr">
        <is>
          <t>Non</t>
        </is>
      </c>
      <c r="F579" t="inlineStr">
        <is>
          <t>https://headfonics.com/moondrop-dawn-pro-review/</t>
        </is>
      </c>
      <c r="G579" s="26" t="inlineStr">
        <is>
          <t>A USB-C female port can be found on the input port while a 4.4mm balanced and 3.5mm SE is on the other end.</t>
        </is>
      </c>
      <c r="H579" t="inlineStr">
        <is>
          <t>2026-08-10</t>
        </is>
      </c>
    </row>
    <row r="580">
      <c r="A580" t="n">
        <v>95</v>
      </c>
      <c r="B580" t="inlineStr">
        <is>
          <t>Moondrop</t>
        </is>
      </c>
      <c r="C580" t="inlineStr">
        <is>
          <t>Dawn Pro</t>
        </is>
      </c>
      <c r="D580" t="inlineStr">
        <is>
          <t>3.5mm</t>
        </is>
      </c>
      <c r="E580" t="inlineStr">
        <is>
          <t>Oui</t>
        </is>
      </c>
      <c r="F580" t="inlineStr">
        <is>
          <t>https://moondroplab.com/en/products/dawn-pro</t>
        </is>
      </c>
      <c r="G580" s="26" t="inlineStr">
        <is>
          <t>Headphone Connector: 3.5 Single-ended, 4.4mm Balanced</t>
        </is>
      </c>
      <c r="H580" t="inlineStr">
        <is>
          <t>2026-08-10</t>
        </is>
      </c>
    </row>
    <row r="581">
      <c r="A581" t="n">
        <v>95</v>
      </c>
      <c r="B581" t="inlineStr">
        <is>
          <t>Moondrop</t>
        </is>
      </c>
      <c r="C581" t="inlineStr">
        <is>
          <t>Dawn Pro</t>
        </is>
      </c>
      <c r="D581" t="inlineStr">
        <is>
          <t>4.4mm</t>
        </is>
      </c>
      <c r="E581" t="inlineStr">
        <is>
          <t>Oui</t>
        </is>
      </c>
      <c r="F581" t="inlineStr">
        <is>
          <t>https://moondroplab.com/en/products/dawn-pro</t>
        </is>
      </c>
      <c r="G581" s="26" t="inlineStr">
        <is>
          <t>Headphone Connector: 3.5 Single-ended, 4.4mm Balanced</t>
        </is>
      </c>
      <c r="H581" t="inlineStr">
        <is>
          <t>2026-08-10</t>
        </is>
      </c>
    </row>
    <row r="582">
      <c r="A582" t="n">
        <v>95</v>
      </c>
      <c r="B582" t="inlineStr">
        <is>
          <t>Moondrop</t>
        </is>
      </c>
      <c r="C582" t="inlineStr">
        <is>
          <t>Dawn Pro</t>
        </is>
      </c>
      <c r="D582" t="inlineStr">
        <is>
          <t>2.5mm</t>
        </is>
      </c>
      <c r="E582" t="inlineStr">
        <is>
          <t>Non</t>
        </is>
      </c>
      <c r="F582" t="inlineStr">
        <is>
          <t>https://moondroplab.com/en/products/dawn-pro</t>
        </is>
      </c>
      <c r="G582" s="26" t="inlineStr">
        <is>
          <t>Headphone Connector: 3.5 Single-ended, 4.4mm Balanced</t>
        </is>
      </c>
      <c r="H582" t="inlineStr">
        <is>
          <t>2026-08-10</t>
        </is>
      </c>
    </row>
    <row r="583">
      <c r="A583" t="n">
        <v>95</v>
      </c>
      <c r="B583" t="inlineStr">
        <is>
          <t>Moondrop</t>
        </is>
      </c>
      <c r="C583" t="inlineStr">
        <is>
          <t>Dawn Pro</t>
        </is>
      </c>
      <c r="D583" t="inlineStr">
        <is>
          <t>6.35mm</t>
        </is>
      </c>
      <c r="E583" t="inlineStr">
        <is>
          <t>Non</t>
        </is>
      </c>
      <c r="F583" t="inlineStr">
        <is>
          <t>https://moondroplab.com/en/products/dawn-pro</t>
        </is>
      </c>
      <c r="G583" s="26" t="inlineStr">
        <is>
          <t>Headphone Connector: 3.5 Single-ended, 4.4mm Balanced</t>
        </is>
      </c>
      <c r="H583" t="inlineStr">
        <is>
          <t>2026-08-10</t>
        </is>
      </c>
    </row>
    <row r="584">
      <c r="A584" t="n">
        <v>95</v>
      </c>
      <c r="B584" t="inlineStr">
        <is>
          <t>Moondrop</t>
        </is>
      </c>
      <c r="C584" t="inlineStr">
        <is>
          <t>Dawn Pro</t>
        </is>
      </c>
      <c r="D584" t="inlineStr">
        <is>
          <t>XLR</t>
        </is>
      </c>
      <c r="E584" t="inlineStr">
        <is>
          <t>Non</t>
        </is>
      </c>
      <c r="F584" t="inlineStr">
        <is>
          <t>https://moondroplab.com/en/products/dawn-pro</t>
        </is>
      </c>
      <c r="G584" s="26" t="inlineStr">
        <is>
          <t>Headphone Connector: 3.5 Single-ended, 4.4mm Balanced</t>
        </is>
      </c>
      <c r="H584" t="inlineStr">
        <is>
          <t>2026-08-10</t>
        </is>
      </c>
    </row>
    <row r="585">
      <c r="A585" t="n">
        <v>96</v>
      </c>
      <c r="B585" t="inlineStr">
        <is>
          <t>Moondrop</t>
        </is>
      </c>
      <c r="C585" t="inlineStr">
        <is>
          <t>MoonRiver 2: Ti</t>
        </is>
      </c>
      <c r="D585" t="inlineStr">
        <is>
          <t>Bluetooth</t>
        </is>
      </c>
      <c r="E585" t="inlineStr">
        <is>
          <t>Non</t>
        </is>
      </c>
      <c r="F585" t="inlineStr">
        <is>
          <t>https://headfonics.com/moondrop-moonriver-2-ti-review/</t>
        </is>
      </c>
      <c r="G585" s="26" t="inlineStr">
        <is>
          <t>The sole USB input is handled by a CT7691 USB bridge from Comtrue along with 2 independent crystals directing the dual mono circuitry and component orchestra.</t>
        </is>
      </c>
      <c r="H585" t="inlineStr">
        <is>
          <t>2026-08-10</t>
        </is>
      </c>
    </row>
    <row r="586">
      <c r="A586" t="n">
        <v>96</v>
      </c>
      <c r="B586" t="inlineStr">
        <is>
          <t>Moondrop</t>
        </is>
      </c>
      <c r="C586" t="inlineStr">
        <is>
          <t>MoonRiver 2: Ti</t>
        </is>
      </c>
      <c r="D586" t="inlineStr">
        <is>
          <t>3.5mm</t>
        </is>
      </c>
      <c r="E586" t="inlineStr">
        <is>
          <t>Oui</t>
        </is>
      </c>
      <c r="F586" t="inlineStr">
        <is>
          <t>https://moondroplab.com/en/products/moonriver2-ti</t>
        </is>
      </c>
      <c r="G586" s="26" t="inlineStr">
        <is>
          <t>Headphone Plug: 3.5mm SE, 4.4mm BAL</t>
        </is>
      </c>
      <c r="H586" t="inlineStr">
        <is>
          <t>2026-08-10</t>
        </is>
      </c>
    </row>
    <row r="587">
      <c r="A587" t="n">
        <v>96</v>
      </c>
      <c r="B587" t="inlineStr">
        <is>
          <t>Moondrop</t>
        </is>
      </c>
      <c r="C587" t="inlineStr">
        <is>
          <t>MoonRiver 2: Ti</t>
        </is>
      </c>
      <c r="D587" t="inlineStr">
        <is>
          <t>4.4mm</t>
        </is>
      </c>
      <c r="E587" t="inlineStr">
        <is>
          <t>Oui</t>
        </is>
      </c>
      <c r="F587" t="inlineStr">
        <is>
          <t>https://moondroplab.com/en/products/moonriver2-ti</t>
        </is>
      </c>
      <c r="G587" s="26" t="inlineStr">
        <is>
          <t>Headphone Plug: 3.5mm SE, 4.4mm BAL</t>
        </is>
      </c>
      <c r="H587" t="inlineStr">
        <is>
          <t>2026-08-10</t>
        </is>
      </c>
    </row>
    <row r="588">
      <c r="A588" t="n">
        <v>96</v>
      </c>
      <c r="B588" t="inlineStr">
        <is>
          <t>Moondrop</t>
        </is>
      </c>
      <c r="C588" t="inlineStr">
        <is>
          <t>MoonRiver 2: Ti</t>
        </is>
      </c>
      <c r="D588" t="inlineStr">
        <is>
          <t>2.5mm</t>
        </is>
      </c>
      <c r="E588" t="inlineStr">
        <is>
          <t>Non</t>
        </is>
      </c>
      <c r="F588" t="inlineStr">
        <is>
          <t>https://moondroplab.com/en/products/moonriver2-ti</t>
        </is>
      </c>
      <c r="G588" s="26" t="inlineStr">
        <is>
          <t>Headphone Plug: 3.5mm SE, 4.4mm BAL</t>
        </is>
      </c>
      <c r="H588" t="inlineStr">
        <is>
          <t>2026-08-10</t>
        </is>
      </c>
    </row>
    <row r="589">
      <c r="A589" t="n">
        <v>96</v>
      </c>
      <c r="B589" t="inlineStr">
        <is>
          <t>Moondrop</t>
        </is>
      </c>
      <c r="C589" t="inlineStr">
        <is>
          <t>MoonRiver 2: Ti</t>
        </is>
      </c>
      <c r="D589" t="inlineStr">
        <is>
          <t>6.35mm</t>
        </is>
      </c>
      <c r="E589" t="inlineStr">
        <is>
          <t>Non</t>
        </is>
      </c>
      <c r="F589" t="inlineStr">
        <is>
          <t>https://moondroplab.com/en/products/moonriver2-ti</t>
        </is>
      </c>
      <c r="G589" s="26" t="inlineStr">
        <is>
          <t>Headphone Plug: 3.5mm SE, 4.4mm BAL</t>
        </is>
      </c>
      <c r="H589" t="inlineStr">
        <is>
          <t>2026-08-10</t>
        </is>
      </c>
    </row>
    <row r="590">
      <c r="A590" t="n">
        <v>96</v>
      </c>
      <c r="B590" t="inlineStr">
        <is>
          <t>Moondrop</t>
        </is>
      </c>
      <c r="C590" t="inlineStr">
        <is>
          <t>MoonRiver 2: Ti</t>
        </is>
      </c>
      <c r="D590" t="inlineStr">
        <is>
          <t>XLR</t>
        </is>
      </c>
      <c r="E590" t="inlineStr">
        <is>
          <t>Non</t>
        </is>
      </c>
      <c r="F590" t="inlineStr">
        <is>
          <t>https://moondroplab.com/en/products/moonriver2-ti</t>
        </is>
      </c>
      <c r="G590" s="26" t="inlineStr">
        <is>
          <t>Headphone Plug: 3.5mm SE, 4.4mm BAL</t>
        </is>
      </c>
      <c r="H590" t="inlineStr">
        <is>
          <t>2026-08-10</t>
        </is>
      </c>
    </row>
    <row r="591">
      <c r="A591" t="n">
        <v>96</v>
      </c>
      <c r="B591" t="inlineStr">
        <is>
          <t>Moondrop</t>
        </is>
      </c>
      <c r="C591" t="inlineStr">
        <is>
          <t>MoonRiver 2: Ti</t>
        </is>
      </c>
      <c r="D591" t="inlineStr">
        <is>
          <t>DSP/PEQ</t>
        </is>
      </c>
      <c r="E591" t="inlineStr">
        <is>
          <t>Non</t>
        </is>
      </c>
      <c r="F591" t="inlineStr">
        <is>
          <t>https://headfonics.com/moondrop-moonriver-2-ti-review/</t>
        </is>
      </c>
      <c r="G591" s="26" t="inlineStr">
        <is>
          <t>The MOONDROP app is a barebones app and offers some features but it's not a full-blown app. It has four DAC filters, a 100-step volume control, a 2-stage gain plus an LED on/off feature.</t>
        </is>
      </c>
      <c r="H591" t="inlineStr">
        <is>
          <t>2026-08-10</t>
        </is>
      </c>
    </row>
    <row r="592">
      <c r="A592" t="n">
        <v>97</v>
      </c>
      <c r="B592" t="inlineStr">
        <is>
          <t>HiBy</t>
        </is>
      </c>
      <c r="C592" t="inlineStr">
        <is>
          <t>FC6</t>
        </is>
      </c>
      <c r="D592" t="inlineStr">
        <is>
          <t>Batterie</t>
        </is>
      </c>
      <c r="E592" t="inlineStr">
        <is>
          <t>Non</t>
        </is>
      </c>
      <c r="F592" t="inlineStr">
        <is>
          <t>https://headfonics.com/hiby-fc6-review/</t>
        </is>
      </c>
      <c r="G592" s="26" t="inlineStr">
        <is>
          <t>Power will be drawn from the device at hand and total playing time will vary depending on the phone's or laptop's battery capacity if being used as a USB-DAC.</t>
        </is>
      </c>
      <c r="H592" t="inlineStr">
        <is>
          <t>2026-08-10</t>
        </is>
      </c>
    </row>
    <row r="593">
      <c r="A593" t="n">
        <v>97</v>
      </c>
      <c r="B593" t="inlineStr">
        <is>
          <t>HiBy</t>
        </is>
      </c>
      <c r="C593" t="inlineStr">
        <is>
          <t>FC6</t>
        </is>
      </c>
      <c r="D593" t="inlineStr">
        <is>
          <t>Bluetooth</t>
        </is>
      </c>
      <c r="E593" t="inlineStr">
        <is>
          <t>Non</t>
        </is>
      </c>
      <c r="F593" t="inlineStr">
        <is>
          <t>https://headfonics.com/hiby-fc6-review/</t>
        </is>
      </c>
      <c r="G593" s="26" t="inlineStr">
        <is>
          <t>Since the FC6 is a single-ended design the I/O is very simple with a single 3.5mm TRS gold-plated jack on one side and a USB-C port on the other for OTG digital audio receiving and power.</t>
        </is>
      </c>
      <c r="H593" t="inlineStr">
        <is>
          <t>2026-08-10</t>
        </is>
      </c>
    </row>
    <row r="594">
      <c r="A594" t="n">
        <v>97</v>
      </c>
      <c r="B594" t="inlineStr">
        <is>
          <t>HiBy</t>
        </is>
      </c>
      <c r="C594" t="inlineStr">
        <is>
          <t>FC6</t>
        </is>
      </c>
      <c r="D594" t="inlineStr">
        <is>
          <t>3.5mm</t>
        </is>
      </c>
      <c r="E594" t="inlineStr">
        <is>
          <t>Oui</t>
        </is>
      </c>
      <c r="F594" t="inlineStr">
        <is>
          <t>https://headfonics.com/hiby-fc6-review/</t>
        </is>
      </c>
      <c r="G594" s="26" t="inlineStr">
        <is>
          <t>the I/O is very simple with a single 3.5mm TRS gold-plated jack on one side and a USB-C port on the other</t>
        </is>
      </c>
      <c r="H594" t="inlineStr">
        <is>
          <t>2026-08-10</t>
        </is>
      </c>
    </row>
    <row r="595">
      <c r="A595" t="n">
        <v>97</v>
      </c>
      <c r="B595" t="inlineStr">
        <is>
          <t>HiBy</t>
        </is>
      </c>
      <c r="C595" t="inlineStr">
        <is>
          <t>FC6</t>
        </is>
      </c>
      <c r="D595" t="inlineStr">
        <is>
          <t>4.4mm</t>
        </is>
      </c>
      <c r="E595" t="inlineStr">
        <is>
          <t>Non</t>
        </is>
      </c>
      <c r="F595" t="inlineStr">
        <is>
          <t>https://headfonics.com/hiby-fc6-review/</t>
        </is>
      </c>
      <c r="G595" s="26" t="inlineStr">
        <is>
          <t>This is also a single-ended amplification circuit with no balanced output which might surprise a few potential owners looking at the FC6</t>
        </is>
      </c>
      <c r="H595" t="inlineStr">
        <is>
          <t>2026-08-10</t>
        </is>
      </c>
    </row>
    <row r="596">
      <c r="A596" t="n">
        <v>97</v>
      </c>
      <c r="B596" t="inlineStr">
        <is>
          <t>HiBy</t>
        </is>
      </c>
      <c r="C596" t="inlineStr">
        <is>
          <t>FC6</t>
        </is>
      </c>
      <c r="D596" t="inlineStr">
        <is>
          <t>2.5mm</t>
        </is>
      </c>
      <c r="E596" t="inlineStr">
        <is>
          <t>Non</t>
        </is>
      </c>
      <c r="F596" t="inlineStr">
        <is>
          <t>https://headfonics.com/hiby-fc6-review/</t>
        </is>
      </c>
      <c r="G596" s="26" t="inlineStr">
        <is>
          <t>This is also a single-ended amplification circuit with no balanced output which might surprise a few potential owners looking at the FC6</t>
        </is>
      </c>
      <c r="H596" t="inlineStr">
        <is>
          <t>2026-08-10</t>
        </is>
      </c>
    </row>
    <row r="597">
      <c r="A597" t="n">
        <v>97</v>
      </c>
      <c r="B597" t="inlineStr">
        <is>
          <t>HiBy</t>
        </is>
      </c>
      <c r="C597" t="inlineStr">
        <is>
          <t>FC6</t>
        </is>
      </c>
      <c r="D597" t="inlineStr">
        <is>
          <t>6.35mm</t>
        </is>
      </c>
      <c r="E597" t="inlineStr">
        <is>
          <t>Non</t>
        </is>
      </c>
      <c r="F597" t="inlineStr">
        <is>
          <t>https://headfonics.com/hiby-fc6-review/</t>
        </is>
      </c>
      <c r="G597" s="26" t="inlineStr">
        <is>
          <t>the I/O is very simple with a single 3.5mm TRS gold-plated jack on one side and a USB-C port on the other</t>
        </is>
      </c>
      <c r="H597" t="inlineStr">
        <is>
          <t>2026-08-10</t>
        </is>
      </c>
    </row>
    <row r="598">
      <c r="A598" t="n">
        <v>97</v>
      </c>
      <c r="B598" t="inlineStr">
        <is>
          <t>HiBy</t>
        </is>
      </c>
      <c r="C598" t="inlineStr">
        <is>
          <t>FC6</t>
        </is>
      </c>
      <c r="D598" t="inlineStr">
        <is>
          <t>XLR</t>
        </is>
      </c>
      <c r="E598" t="inlineStr">
        <is>
          <t>Non</t>
        </is>
      </c>
      <c r="F598" t="inlineStr">
        <is>
          <t>https://headfonics.com/hiby-fc6-review/</t>
        </is>
      </c>
      <c r="G598" s="26" t="inlineStr">
        <is>
          <t>the I/O is very simple with a single 3.5mm TRS gold-plated jack on one side and a USB-C port on the other</t>
        </is>
      </c>
      <c r="H598" t="inlineStr">
        <is>
          <t>2026-08-10</t>
        </is>
      </c>
    </row>
    <row r="599">
      <c r="A599" t="n">
        <v>98</v>
      </c>
      <c r="B599" t="inlineStr">
        <is>
          <t>ddHiFi</t>
        </is>
      </c>
      <c r="C599" t="inlineStr">
        <is>
          <t>TC35C</t>
        </is>
      </c>
      <c r="D599" t="inlineStr">
        <is>
          <t>Batterie</t>
        </is>
      </c>
      <c r="E599" t="inlineStr">
        <is>
          <t>Non</t>
        </is>
      </c>
      <c r="F599" t="inlineStr">
        <is>
          <t>https://headfonics.com/ddhifi-tc35c-review/</t>
        </is>
      </c>
      <c r="G599" s="26" t="inlineStr">
        <is>
          <t>At the center of the ddHiFi TC35C sits a Realtek ACL5686 USB-powered SoC audio decoder.</t>
        </is>
      </c>
      <c r="H599" t="inlineStr">
        <is>
          <t>2026-08-10</t>
        </is>
      </c>
    </row>
    <row r="600">
      <c r="A600" t="n">
        <v>98</v>
      </c>
      <c r="B600" t="inlineStr">
        <is>
          <t>ddHiFi</t>
        </is>
      </c>
      <c r="C600" t="inlineStr">
        <is>
          <t>TC35C</t>
        </is>
      </c>
      <c r="D600" t="inlineStr">
        <is>
          <t>Bluetooth</t>
        </is>
      </c>
      <c r="E600" t="inlineStr">
        <is>
          <t>Non</t>
        </is>
      </c>
      <c r="F600" t="inlineStr">
        <is>
          <t>https://headfonics.com/ddhifi-tc35c-review/</t>
        </is>
      </c>
      <c r="G600" s="26" t="inlineStr">
        <is>
          <t>The ddHiFi TC35C has two connections, one input, and one output. There's a USB-C connection on one side and a headphone jack on the other side. It's a very simple device.</t>
        </is>
      </c>
      <c r="H600" t="inlineStr">
        <is>
          <t>2026-08-10</t>
        </is>
      </c>
    </row>
    <row r="601">
      <c r="A601" t="n">
        <v>98</v>
      </c>
      <c r="B601" t="inlineStr">
        <is>
          <t>ddHiFi</t>
        </is>
      </c>
      <c r="C601" t="inlineStr">
        <is>
          <t>TC35C</t>
        </is>
      </c>
      <c r="D601" t="inlineStr">
        <is>
          <t>3.5mm</t>
        </is>
      </c>
      <c r="E601" t="inlineStr">
        <is>
          <t>Oui</t>
        </is>
      </c>
      <c r="F601" t="inlineStr">
        <is>
          <t>https://headfonics.com/ddhifi-tc35c-review/</t>
        </is>
      </c>
      <c r="G601" s="26" t="inlineStr">
        <is>
          <t>The headphone jack is a 3.5mm TRRS single-ended output jack with microphone capabilities.</t>
        </is>
      </c>
      <c r="H601" t="inlineStr">
        <is>
          <t>2026-08-10</t>
        </is>
      </c>
    </row>
    <row r="602">
      <c r="A602" t="n">
        <v>98</v>
      </c>
      <c r="B602" t="inlineStr">
        <is>
          <t>ddHiFi</t>
        </is>
      </c>
      <c r="C602" t="inlineStr">
        <is>
          <t>TC35C</t>
        </is>
      </c>
      <c r="D602" t="inlineStr">
        <is>
          <t>4.4mm</t>
        </is>
      </c>
      <c r="E602" t="inlineStr">
        <is>
          <t>Non</t>
        </is>
      </c>
      <c r="F602" t="inlineStr">
        <is>
          <t>https://headfonics.com/ddhifi-tc35c-review/</t>
        </is>
      </c>
      <c r="G602" s="26" t="inlineStr">
        <is>
          <t>The ddHiFi TC35C has two connections, one input, and one output. There's a USB-C connection on one side and a headphone jack on the other side.</t>
        </is>
      </c>
      <c r="H602" t="inlineStr">
        <is>
          <t>2026-08-10</t>
        </is>
      </c>
    </row>
    <row r="603">
      <c r="A603" t="n">
        <v>98</v>
      </c>
      <c r="B603" t="inlineStr">
        <is>
          <t>ddHiFi</t>
        </is>
      </c>
      <c r="C603" t="inlineStr">
        <is>
          <t>TC35C</t>
        </is>
      </c>
      <c r="D603" t="inlineStr">
        <is>
          <t>2.5mm</t>
        </is>
      </c>
      <c r="E603" t="inlineStr">
        <is>
          <t>Non</t>
        </is>
      </c>
      <c r="F603" t="inlineStr">
        <is>
          <t>https://headfonics.com/ddhifi-tc35c-review/</t>
        </is>
      </c>
      <c r="G603" s="26" t="inlineStr">
        <is>
          <t>The ddHiFi TC35C has two connections, one input, and one output. There's a USB-C connection on one side and a headphone jack on the other side.</t>
        </is>
      </c>
      <c r="H603" t="inlineStr">
        <is>
          <t>2026-08-10</t>
        </is>
      </c>
    </row>
    <row r="604">
      <c r="A604" t="n">
        <v>98</v>
      </c>
      <c r="B604" t="inlineStr">
        <is>
          <t>ddHiFi</t>
        </is>
      </c>
      <c r="C604" t="inlineStr">
        <is>
          <t>TC35C</t>
        </is>
      </c>
      <c r="D604" t="inlineStr">
        <is>
          <t>6.35mm</t>
        </is>
      </c>
      <c r="E604" t="inlineStr">
        <is>
          <t>Non</t>
        </is>
      </c>
      <c r="F604" t="inlineStr">
        <is>
          <t>https://headfonics.com/ddhifi-tc35c-review/</t>
        </is>
      </c>
      <c r="G604" s="26" t="inlineStr">
        <is>
          <t>The ddHiFi TC35C has two connections, one input, and one output. There's a USB-C connection on one side and a headphone jack on the other side.</t>
        </is>
      </c>
      <c r="H604" t="inlineStr">
        <is>
          <t>2026-08-10</t>
        </is>
      </c>
    </row>
    <row r="605">
      <c r="A605" t="n">
        <v>98</v>
      </c>
      <c r="B605" t="inlineStr">
        <is>
          <t>ddHiFi</t>
        </is>
      </c>
      <c r="C605" t="inlineStr">
        <is>
          <t>TC35C</t>
        </is>
      </c>
      <c r="D605" t="inlineStr">
        <is>
          <t>XLR</t>
        </is>
      </c>
      <c r="E605" t="inlineStr">
        <is>
          <t>Non</t>
        </is>
      </c>
      <c r="F605" t="inlineStr">
        <is>
          <t>https://headfonics.com/ddhifi-tc35c-review/</t>
        </is>
      </c>
      <c r="G605" s="26" t="inlineStr">
        <is>
          <t>The ddHiFi TC35C has two connections, one input, and one output. There's a USB-C connection on one side and a headphone jack on the other side.</t>
        </is>
      </c>
      <c r="H605" t="inlineStr">
        <is>
          <t>2026-08-10</t>
        </is>
      </c>
    </row>
    <row r="606">
      <c r="A606" t="n">
        <v>99</v>
      </c>
      <c r="B606" t="inlineStr">
        <is>
          <t>FiiO</t>
        </is>
      </c>
      <c r="C606" t="inlineStr">
        <is>
          <t>KA5</t>
        </is>
      </c>
      <c r="D606" t="inlineStr">
        <is>
          <t>Bluetooth</t>
        </is>
      </c>
      <c r="E606" t="inlineStr">
        <is>
          <t>Non</t>
        </is>
      </c>
      <c r="F606" t="inlineStr">
        <is>
          <t>https://headfonics.com/fiio-ka5-review/</t>
        </is>
      </c>
      <c r="G606" s="26" t="inlineStr">
        <is>
          <t>All the FiiO KA5 connectivity was placed on the end caps as usual, One end holds a USB-C female port which operates on either 2.0 mode or a selectable 1.0 mode. The other end cap has two headphone ports, one is a 3.5mm single-ended connection and the other is a 4.4mm Pentaconn balanced output connection.</t>
        </is>
      </c>
      <c r="H606" t="inlineStr">
        <is>
          <t>2026-08-10</t>
        </is>
      </c>
    </row>
    <row r="607">
      <c r="A607" t="n">
        <v>99</v>
      </c>
      <c r="B607" t="inlineStr">
        <is>
          <t>FiiO</t>
        </is>
      </c>
      <c r="C607" t="inlineStr">
        <is>
          <t>KA5</t>
        </is>
      </c>
      <c r="D607" t="inlineStr">
        <is>
          <t>3.5mm</t>
        </is>
      </c>
      <c r="E607" t="inlineStr">
        <is>
          <t>Oui</t>
        </is>
      </c>
      <c r="F607" t="inlineStr">
        <is>
          <t>https://headfonics.com/fiio-ka5-review/</t>
        </is>
      </c>
      <c r="G607" s="26" t="inlineStr">
        <is>
          <t>The other end cap has two headphone ports, one is a 3.5mm single-ended connection and the other is a 4.4mm Pentaconn balanced output connection.</t>
        </is>
      </c>
      <c r="H607" t="inlineStr">
        <is>
          <t>2026-08-10</t>
        </is>
      </c>
    </row>
    <row r="608">
      <c r="A608" t="n">
        <v>99</v>
      </c>
      <c r="B608" t="inlineStr">
        <is>
          <t>FiiO</t>
        </is>
      </c>
      <c r="C608" t="inlineStr">
        <is>
          <t>KA5</t>
        </is>
      </c>
      <c r="D608" t="inlineStr">
        <is>
          <t>4.4mm</t>
        </is>
      </c>
      <c r="E608" t="inlineStr">
        <is>
          <t>Oui</t>
        </is>
      </c>
      <c r="F608" t="inlineStr">
        <is>
          <t>https://headfonics.com/fiio-ka5-review/</t>
        </is>
      </c>
      <c r="G608" s="26" t="inlineStr">
        <is>
          <t>The other end cap has two headphone ports, one is a 3.5mm single-ended connection and the other is a 4.4mm Pentaconn balanced output connection.</t>
        </is>
      </c>
      <c r="H608" t="inlineStr">
        <is>
          <t>2026-08-10</t>
        </is>
      </c>
    </row>
    <row r="609">
      <c r="A609" t="n">
        <v>99</v>
      </c>
      <c r="B609" t="inlineStr">
        <is>
          <t>FiiO</t>
        </is>
      </c>
      <c r="C609" t="inlineStr">
        <is>
          <t>KA5</t>
        </is>
      </c>
      <c r="D609" t="inlineStr">
        <is>
          <t>2.5mm</t>
        </is>
      </c>
      <c r="E609" t="inlineStr">
        <is>
          <t>Non</t>
        </is>
      </c>
      <c r="F609" t="inlineStr">
        <is>
          <t>https://headfonics.com/fiio-ka5-review/</t>
        </is>
      </c>
      <c r="G609" s="26" t="inlineStr">
        <is>
          <t>The other end cap has two headphone ports, one is a 3.5mm single-ended connection and the other is a 4.4mm Pentaconn balanced output connection.</t>
        </is>
      </c>
      <c r="H609" t="inlineStr">
        <is>
          <t>2026-08-10</t>
        </is>
      </c>
    </row>
    <row r="610">
      <c r="A610" t="n">
        <v>99</v>
      </c>
      <c r="B610" t="inlineStr">
        <is>
          <t>FiiO</t>
        </is>
      </c>
      <c r="C610" t="inlineStr">
        <is>
          <t>KA5</t>
        </is>
      </c>
      <c r="D610" t="inlineStr">
        <is>
          <t>6.35mm</t>
        </is>
      </c>
      <c r="E610" t="inlineStr">
        <is>
          <t>Non</t>
        </is>
      </c>
      <c r="F610" t="inlineStr">
        <is>
          <t>https://headfonics.com/fiio-ka5-review/</t>
        </is>
      </c>
      <c r="G610" s="26" t="inlineStr">
        <is>
          <t>The other end cap has two headphone ports, one is a 3.5mm single-ended connection and the other is a 4.4mm Pentaconn balanced output connection.</t>
        </is>
      </c>
      <c r="H610" t="inlineStr">
        <is>
          <t>2026-08-10</t>
        </is>
      </c>
    </row>
    <row r="611">
      <c r="A611" t="n">
        <v>99</v>
      </c>
      <c r="B611" t="inlineStr">
        <is>
          <t>FiiO</t>
        </is>
      </c>
      <c r="C611" t="inlineStr">
        <is>
          <t>KA5</t>
        </is>
      </c>
      <c r="D611" t="inlineStr">
        <is>
          <t>XLR</t>
        </is>
      </c>
      <c r="E611" t="inlineStr">
        <is>
          <t>Non</t>
        </is>
      </c>
      <c r="F611" t="inlineStr">
        <is>
          <t>https://headfonics.com/fiio-ka5-review/</t>
        </is>
      </c>
      <c r="G611" s="26" t="inlineStr">
        <is>
          <t>The other end cap has two headphone ports, one is a 3.5mm single-ended connection and the other is a 4.4mm Pentaconn balanced output connection.</t>
        </is>
      </c>
      <c r="H611" t="inlineStr">
        <is>
          <t>2026-08-10</t>
        </is>
      </c>
    </row>
    <row r="612">
      <c r="A612" t="n">
        <v>99</v>
      </c>
      <c r="B612" t="inlineStr">
        <is>
          <t>FiiO</t>
        </is>
      </c>
      <c r="C612" t="inlineStr">
        <is>
          <t>KA5</t>
        </is>
      </c>
      <c r="D612" t="inlineStr">
        <is>
          <t>DSP/PEQ</t>
        </is>
      </c>
      <c r="E612" t="inlineStr">
        <is>
          <t>Non</t>
        </is>
      </c>
      <c r="F612" t="inlineStr">
        <is>
          <t>https://fiio-file.fiio.net/70%E4%B8%8A%E4%BC%A0%E7%9A%84%E6%96%87%E4%BB%B6/PEQ%20Settings%20Instructions%20for%20FiiO%20Portable%20DAC%26AMP.pdf</t>
        </is>
      </c>
      <c r="G612" s="26" t="inlineStr">
        <is>
          <t>FiiO products that support wired PEQ settings include: KA17, KA15, JA11, BTR13, BTR17, BTR15, K19, K17, Q7, Q15</t>
        </is>
      </c>
      <c r="H612" t="inlineStr">
        <is>
          <t>2026-08-10</t>
        </is>
      </c>
    </row>
    <row r="613">
      <c r="A613" t="n">
        <v>100</v>
      </c>
      <c r="B613" t="inlineStr">
        <is>
          <t>FiiO</t>
        </is>
      </c>
      <c r="C613" t="inlineStr">
        <is>
          <t>Q11</t>
        </is>
      </c>
      <c r="D613" t="inlineStr">
        <is>
          <t>Batterie</t>
        </is>
      </c>
      <c r="E613" t="inlineStr">
        <is>
          <t>Oui</t>
        </is>
      </c>
      <c r="F613" t="inlineStr">
        <is>
          <t>https://headfonics.com/fiio-q11-review/</t>
        </is>
      </c>
      <c r="G613" s="26" t="inlineStr">
        <is>
          <t>The FiiO Q11 has a built-in 2600mAh Lithium battery that is quickly charged by using a high-capacity charger of 2 amps or more in capability.</t>
        </is>
      </c>
      <c r="H613" t="inlineStr">
        <is>
          <t>2026-08-10</t>
        </is>
      </c>
    </row>
    <row r="614">
      <c r="A614" t="n">
        <v>100</v>
      </c>
      <c r="B614" t="inlineStr">
        <is>
          <t>FiiO</t>
        </is>
      </c>
      <c r="C614" t="inlineStr">
        <is>
          <t>Q11</t>
        </is>
      </c>
      <c r="D614" t="inlineStr">
        <is>
          <t>Bluetooth</t>
        </is>
      </c>
      <c r="E614" t="inlineStr">
        <is>
          <t>Non</t>
        </is>
      </c>
      <c r="F614" t="inlineStr">
        <is>
          <t>https://headfonics.com/fiio-q11-review/</t>
        </is>
      </c>
      <c r="G614" s="26" t="inlineStr">
        <is>
          <t>On the backside, there's a single female USB-C connection that supplies the input and charges the internal battery.</t>
        </is>
      </c>
      <c r="H614" t="inlineStr">
        <is>
          <t>2026-08-10</t>
        </is>
      </c>
    </row>
    <row r="615">
      <c r="A615" t="n">
        <v>100</v>
      </c>
      <c r="B615" t="inlineStr">
        <is>
          <t>FiiO</t>
        </is>
      </c>
      <c r="C615" t="inlineStr">
        <is>
          <t>Q11</t>
        </is>
      </c>
      <c r="D615" t="inlineStr">
        <is>
          <t>3.5mm</t>
        </is>
      </c>
      <c r="E615" t="inlineStr">
        <is>
          <t>Oui</t>
        </is>
      </c>
      <c r="F615" t="inlineStr">
        <is>
          <t>https://headfonics.com/fiio-q11-review/</t>
        </is>
      </c>
      <c r="G615" s="26" t="inlineStr">
        <is>
          <t>The two headphone connections consist of a 3.5mm single-ended jack plus an additional 4.4mm Pentaconn balanced output.</t>
        </is>
      </c>
      <c r="H615" t="inlineStr">
        <is>
          <t>2026-08-10</t>
        </is>
      </c>
    </row>
    <row r="616">
      <c r="A616" t="n">
        <v>100</v>
      </c>
      <c r="B616" t="inlineStr">
        <is>
          <t>FiiO</t>
        </is>
      </c>
      <c r="C616" t="inlineStr">
        <is>
          <t>Q11</t>
        </is>
      </c>
      <c r="D616" t="inlineStr">
        <is>
          <t>4.4mm</t>
        </is>
      </c>
      <c r="E616" t="inlineStr">
        <is>
          <t>Oui</t>
        </is>
      </c>
      <c r="F616" t="inlineStr">
        <is>
          <t>https://headfonics.com/fiio-q11-review/</t>
        </is>
      </c>
      <c r="G616" s="26" t="inlineStr">
        <is>
          <t>The two headphone connections consist of a 3.5mm single-ended jack plus an additional 4.4mm Pentaconn balanced output.</t>
        </is>
      </c>
      <c r="H616" t="inlineStr">
        <is>
          <t>2026-08-10</t>
        </is>
      </c>
    </row>
    <row r="617">
      <c r="A617" t="n">
        <v>100</v>
      </c>
      <c r="B617" t="inlineStr">
        <is>
          <t>FiiO</t>
        </is>
      </c>
      <c r="C617" t="inlineStr">
        <is>
          <t>Q11</t>
        </is>
      </c>
      <c r="D617" t="inlineStr">
        <is>
          <t>2.5mm</t>
        </is>
      </c>
      <c r="E617" t="inlineStr">
        <is>
          <t>Non</t>
        </is>
      </c>
      <c r="F617" t="inlineStr">
        <is>
          <t>https://headfonics.com/fiio-q11-review/</t>
        </is>
      </c>
      <c r="G617" s="26" t="inlineStr">
        <is>
          <t>The two headphone connections consist of a 3.5mm single-ended jack plus an additional 4.4mm Pentaconn balanced output.</t>
        </is>
      </c>
      <c r="H617" t="inlineStr">
        <is>
          <t>2026-08-10</t>
        </is>
      </c>
    </row>
    <row r="618">
      <c r="A618" t="n">
        <v>100</v>
      </c>
      <c r="B618" t="inlineStr">
        <is>
          <t>FiiO</t>
        </is>
      </c>
      <c r="C618" t="inlineStr">
        <is>
          <t>Q11</t>
        </is>
      </c>
      <c r="D618" t="inlineStr">
        <is>
          <t>6.35mm</t>
        </is>
      </c>
      <c r="E618" t="inlineStr">
        <is>
          <t>Non</t>
        </is>
      </c>
      <c r="F618" t="inlineStr">
        <is>
          <t>https://headfonics.com/fiio-q11-review/</t>
        </is>
      </c>
      <c r="G618" s="26" t="inlineStr">
        <is>
          <t>The two headphone connections consist of a 3.5mm single-ended jack plus an additional 4.4mm Pentaconn balanced output.</t>
        </is>
      </c>
      <c r="H618" t="inlineStr">
        <is>
          <t>2026-08-10</t>
        </is>
      </c>
    </row>
    <row r="619">
      <c r="A619" t="n">
        <v>100</v>
      </c>
      <c r="B619" t="inlineStr">
        <is>
          <t>FiiO</t>
        </is>
      </c>
      <c r="C619" t="inlineStr">
        <is>
          <t>Q11</t>
        </is>
      </c>
      <c r="D619" t="inlineStr">
        <is>
          <t>XLR</t>
        </is>
      </c>
      <c r="E619" t="inlineStr">
        <is>
          <t>Non</t>
        </is>
      </c>
      <c r="F619" t="inlineStr">
        <is>
          <t>https://headfonics.com/fiio-q11-review/</t>
        </is>
      </c>
      <c r="G619" s="26" t="inlineStr">
        <is>
          <t>The two headphone connections consist of a 3.5mm single-ended jack plus an additional 4.4mm Pentaconn balanced output.</t>
        </is>
      </c>
      <c r="H619" t="inlineStr">
        <is>
          <t>2026-08-10</t>
        </is>
      </c>
    </row>
    <row r="620">
      <c r="A620" t="n">
        <v>100</v>
      </c>
      <c r="B620" t="inlineStr">
        <is>
          <t>FiiO</t>
        </is>
      </c>
      <c r="C620" t="inlineStr">
        <is>
          <t>Q11</t>
        </is>
      </c>
      <c r="D620" t="inlineStr">
        <is>
          <t>DSP/PEQ</t>
        </is>
      </c>
      <c r="E620" t="inlineStr">
        <is>
          <t>Non</t>
        </is>
      </c>
      <c r="F620" t="inlineStr">
        <is>
          <t>https://headfonics.com/fiio-q11-review/</t>
        </is>
      </c>
      <c r="G620" s="26" t="inlineStr">
        <is>
          <t>The FiiO Q11 is compatible with their free-to-download FiiO Control app but it seems limited in function. With this app, you could only change DAC filters that don't do much audibly plus there's a user's guide and a couple of other features.</t>
        </is>
      </c>
      <c r="H620" t="inlineStr">
        <is>
          <t>2026-08-10</t>
        </is>
      </c>
    </row>
    <row r="621">
      <c r="A621" t="n">
        <v>101</v>
      </c>
      <c r="B621" t="inlineStr">
        <is>
          <t>iFi audio</t>
        </is>
      </c>
      <c r="C621" t="inlineStr">
        <is>
          <t>UNO</t>
        </is>
      </c>
      <c r="D621" t="inlineStr">
        <is>
          <t>Batterie</t>
        </is>
      </c>
      <c r="E621" t="inlineStr">
        <is>
          <t>Non</t>
        </is>
      </c>
      <c r="F621" t="inlineStr">
        <is>
          <t>https://headfonics.com/ifi-audio-uno-review/</t>
        </is>
      </c>
      <c r="G621" s="26" t="inlineStr">
        <is>
          <t>Today, we review the iFi Audio UNO, which is a compact USB-powered and OTG digital audio capable DAC and headphone amplifier.</t>
        </is>
      </c>
      <c r="H621" t="inlineStr">
        <is>
          <t>2026-08-10</t>
        </is>
      </c>
    </row>
    <row r="622">
      <c r="A622" t="n">
        <v>101</v>
      </c>
      <c r="B622" t="inlineStr">
        <is>
          <t>iFi audio</t>
        </is>
      </c>
      <c r="C622" t="inlineStr">
        <is>
          <t>UNO</t>
        </is>
      </c>
      <c r="D622" t="inlineStr">
        <is>
          <t>Bluetooth</t>
        </is>
      </c>
      <c r="E622" t="inlineStr">
        <is>
          <t>Non</t>
        </is>
      </c>
      <c r="F622" t="inlineStr">
        <is>
          <t>https://headfonics.com/ifi-audio-uno-review/</t>
        </is>
      </c>
      <c r="G622" s="26" t="inlineStr">
        <is>
          <t>The I/O is simple, one in and, two out. You have a rear-mounted 2.0 USB-C input that feeds the Comtrue CT 7601 USB bridge we mentioned earlier.</t>
        </is>
      </c>
      <c r="H622" t="inlineStr">
        <is>
          <t>2026-08-10</t>
        </is>
      </c>
    </row>
    <row r="623">
      <c r="A623" t="n">
        <v>101</v>
      </c>
      <c r="B623" t="inlineStr">
        <is>
          <t>iFi audio</t>
        </is>
      </c>
      <c r="C623" t="inlineStr">
        <is>
          <t>UNO</t>
        </is>
      </c>
      <c r="D623" t="inlineStr">
        <is>
          <t>3.5mm</t>
        </is>
      </c>
      <c r="E623" t="inlineStr">
        <is>
          <t>Oui</t>
        </is>
      </c>
      <c r="F623" t="inlineStr">
        <is>
          <t>https://headfonics.com/ifi-audio-uno-review/</t>
        </is>
      </c>
      <c r="G623" s="26" t="inlineStr">
        <is>
          <t>On the front panel, there's a single 3.5mm plug that seems to work with a balanced 3.5mm as well.</t>
        </is>
      </c>
      <c r="H623" t="inlineStr">
        <is>
          <t>2026-08-10</t>
        </is>
      </c>
    </row>
    <row r="624">
      <c r="A624" t="n">
        <v>101</v>
      </c>
      <c r="B624" t="inlineStr">
        <is>
          <t>iFi audio</t>
        </is>
      </c>
      <c r="C624" t="inlineStr">
        <is>
          <t>UNO</t>
        </is>
      </c>
      <c r="D624" t="inlineStr">
        <is>
          <t>4.4mm</t>
        </is>
      </c>
      <c r="E624" t="inlineStr">
        <is>
          <t>Non</t>
        </is>
      </c>
      <c r="F624" t="inlineStr">
        <is>
          <t>https://headfonics.com/ifi-audio-uno-review/</t>
        </is>
      </c>
      <c r="G624" s="26" t="inlineStr">
        <is>
          <t>The I/O is simple, one in and, two out.</t>
        </is>
      </c>
      <c r="H624" t="inlineStr">
        <is>
          <t>2026-08-10</t>
        </is>
      </c>
    </row>
    <row r="625">
      <c r="A625" t="n">
        <v>101</v>
      </c>
      <c r="B625" t="inlineStr">
        <is>
          <t>iFi audio</t>
        </is>
      </c>
      <c r="C625" t="inlineStr">
        <is>
          <t>UNO</t>
        </is>
      </c>
      <c r="D625" t="inlineStr">
        <is>
          <t>2.5mm</t>
        </is>
      </c>
      <c r="E625" t="inlineStr">
        <is>
          <t>Non</t>
        </is>
      </c>
      <c r="F625" t="inlineStr">
        <is>
          <t>https://headfonics.com/ifi-audio-uno-review/</t>
        </is>
      </c>
      <c r="G625" s="26" t="inlineStr">
        <is>
          <t>The I/O is simple, one in and, two out.</t>
        </is>
      </c>
      <c r="H625" t="inlineStr">
        <is>
          <t>2026-08-10</t>
        </is>
      </c>
    </row>
    <row r="626">
      <c r="A626" t="n">
        <v>101</v>
      </c>
      <c r="B626" t="inlineStr">
        <is>
          <t>iFi audio</t>
        </is>
      </c>
      <c r="C626" t="inlineStr">
        <is>
          <t>UNO</t>
        </is>
      </c>
      <c r="D626" t="inlineStr">
        <is>
          <t>6.35mm</t>
        </is>
      </c>
      <c r="E626" t="inlineStr">
        <is>
          <t>Non</t>
        </is>
      </c>
      <c r="F626" t="inlineStr">
        <is>
          <t>https://headfonics.com/ifi-audio-uno-review/</t>
        </is>
      </c>
      <c r="G626" s="26" t="inlineStr">
        <is>
          <t>The I/O is simple, one in and, two out.</t>
        </is>
      </c>
      <c r="H626" t="inlineStr">
        <is>
          <t>2026-08-10</t>
        </is>
      </c>
    </row>
    <row r="627">
      <c r="A627" t="n">
        <v>101</v>
      </c>
      <c r="B627" t="inlineStr">
        <is>
          <t>iFi audio</t>
        </is>
      </c>
      <c r="C627" t="inlineStr">
        <is>
          <t>UNO</t>
        </is>
      </c>
      <c r="D627" t="inlineStr">
        <is>
          <t>XLR</t>
        </is>
      </c>
      <c r="E627" t="inlineStr">
        <is>
          <t>Non</t>
        </is>
      </c>
      <c r="F627" t="inlineStr">
        <is>
          <t>https://headfonics.com/ifi-audio-uno-review/</t>
        </is>
      </c>
      <c r="G627" s="26" t="inlineStr">
        <is>
          <t>The I/O is simple, one in and, two out.</t>
        </is>
      </c>
      <c r="H627" t="inlineStr">
        <is>
          <t>2026-08-10</t>
        </is>
      </c>
    </row>
    <row r="628">
      <c r="A628" t="n">
        <v>102</v>
      </c>
      <c r="B628" t="inlineStr">
        <is>
          <t>7Hz</t>
        </is>
      </c>
      <c r="C628" t="inlineStr">
        <is>
          <t>SEVENHERTZ 71</t>
        </is>
      </c>
      <c r="D628" t="inlineStr">
        <is>
          <t>Bluetooth</t>
        </is>
      </c>
      <c r="E628" t="inlineStr">
        <is>
          <t>Non</t>
        </is>
      </c>
      <c r="F628" t="inlineStr">
        <is>
          <t>https://headfonics.com/7hz-sevenhertz-71-review/</t>
        </is>
      </c>
      <c r="G628" s="26" t="inlineStr">
        <is>
          <t>The USB-C male connector at the end of the attached ribbon cable is its sole input, whilst the 3.5mm SE out on the bottom of the metal housing is its sole output.</t>
        </is>
      </c>
      <c r="H628" t="inlineStr">
        <is>
          <t>2026-08-10</t>
        </is>
      </c>
    </row>
    <row r="629">
      <c r="A629" t="n">
        <v>102</v>
      </c>
      <c r="B629" t="inlineStr">
        <is>
          <t>7Hz</t>
        </is>
      </c>
      <c r="C629" t="inlineStr">
        <is>
          <t>SEVENHERTZ 71</t>
        </is>
      </c>
      <c r="D629" t="inlineStr">
        <is>
          <t>3.5mm</t>
        </is>
      </c>
      <c r="E629" t="inlineStr">
        <is>
          <t>Oui</t>
        </is>
      </c>
      <c r="F629" t="inlineStr">
        <is>
          <t>https://headfonics.com/7hz-sevenhertz-71-review/</t>
        </is>
      </c>
      <c r="G629" s="26" t="inlineStr">
        <is>
          <t>Output(s): 3.5mm SE</t>
        </is>
      </c>
      <c r="H629" t="inlineStr">
        <is>
          <t>2026-08-10</t>
        </is>
      </c>
    </row>
    <row r="630">
      <c r="A630" t="n">
        <v>102</v>
      </c>
      <c r="B630" t="inlineStr">
        <is>
          <t>7Hz</t>
        </is>
      </c>
      <c r="C630" t="inlineStr">
        <is>
          <t>SEVENHERTZ 71</t>
        </is>
      </c>
      <c r="D630" t="inlineStr">
        <is>
          <t>4.4mm</t>
        </is>
      </c>
      <c r="E630" t="inlineStr">
        <is>
          <t>Non</t>
        </is>
      </c>
      <c r="F630" t="inlineStr">
        <is>
          <t>https://headfonics.com/7hz-sevenhertz-71-review/</t>
        </is>
      </c>
      <c r="G630" s="26" t="inlineStr">
        <is>
          <t>Output(s): 3.5mm SE</t>
        </is>
      </c>
      <c r="H630" t="inlineStr">
        <is>
          <t>2026-08-10</t>
        </is>
      </c>
    </row>
    <row r="631">
      <c r="A631" t="n">
        <v>102</v>
      </c>
      <c r="B631" t="inlineStr">
        <is>
          <t>7Hz</t>
        </is>
      </c>
      <c r="C631" t="inlineStr">
        <is>
          <t>SEVENHERTZ 71</t>
        </is>
      </c>
      <c r="D631" t="inlineStr">
        <is>
          <t>2.5mm</t>
        </is>
      </c>
      <c r="E631" t="inlineStr">
        <is>
          <t>Non</t>
        </is>
      </c>
      <c r="F631" t="inlineStr">
        <is>
          <t>https://headfonics.com/7hz-sevenhertz-71-review/</t>
        </is>
      </c>
      <c r="G631" s="26" t="inlineStr">
        <is>
          <t>Output(s): 3.5mm SE</t>
        </is>
      </c>
      <c r="H631" t="inlineStr">
        <is>
          <t>2026-08-10</t>
        </is>
      </c>
    </row>
    <row r="632">
      <c r="A632" t="n">
        <v>102</v>
      </c>
      <c r="B632" t="inlineStr">
        <is>
          <t>7Hz</t>
        </is>
      </c>
      <c r="C632" t="inlineStr">
        <is>
          <t>SEVENHERTZ 71</t>
        </is>
      </c>
      <c r="D632" t="inlineStr">
        <is>
          <t>6.35mm</t>
        </is>
      </c>
      <c r="E632" t="inlineStr">
        <is>
          <t>Non</t>
        </is>
      </c>
      <c r="F632" t="inlineStr">
        <is>
          <t>https://headfonics.com/7hz-sevenhertz-71-review/</t>
        </is>
      </c>
      <c r="G632" s="26" t="inlineStr">
        <is>
          <t>Output(s): 3.5mm SE</t>
        </is>
      </c>
      <c r="H632" t="inlineStr">
        <is>
          <t>2026-08-10</t>
        </is>
      </c>
    </row>
    <row r="633">
      <c r="A633" t="n">
        <v>102</v>
      </c>
      <c r="B633" t="inlineStr">
        <is>
          <t>7Hz</t>
        </is>
      </c>
      <c r="C633" t="inlineStr">
        <is>
          <t>SEVENHERTZ 71</t>
        </is>
      </c>
      <c r="D633" t="inlineStr">
        <is>
          <t>XLR</t>
        </is>
      </c>
      <c r="E633" t="inlineStr">
        <is>
          <t>Non</t>
        </is>
      </c>
      <c r="F633" t="inlineStr">
        <is>
          <t>https://headfonics.com/7hz-sevenhertz-71-review/</t>
        </is>
      </c>
      <c r="G633" s="26" t="inlineStr">
        <is>
          <t>Output(s): 3.5mm SE</t>
        </is>
      </c>
      <c r="H633" t="inlineStr">
        <is>
          <t>2026-08-10</t>
        </is>
      </c>
    </row>
    <row r="634">
      <c r="A634" t="n">
        <v>103</v>
      </c>
      <c r="B634" t="inlineStr">
        <is>
          <t>Venture Electronics</t>
        </is>
      </c>
      <c r="C634" t="inlineStr">
        <is>
          <t>Megatron</t>
        </is>
      </c>
      <c r="D634" t="inlineStr">
        <is>
          <t>Batterie</t>
        </is>
      </c>
      <c r="E634" t="inlineStr">
        <is>
          <t>Non</t>
        </is>
      </c>
      <c r="F634" t="inlineStr">
        <is>
          <t>https://headfonics.com/venture-electronics-megatron-review/</t>
        </is>
      </c>
      <c r="G634" s="26" t="inlineStr">
        <is>
          <t>Despite its size and power specifications, the Megatron is completely bus powered.</t>
        </is>
      </c>
      <c r="H634" t="inlineStr">
        <is>
          <t>2026-08-10</t>
        </is>
      </c>
    </row>
    <row r="635">
      <c r="A635" t="n">
        <v>103</v>
      </c>
      <c r="B635" t="inlineStr">
        <is>
          <t>Venture Electronics</t>
        </is>
      </c>
      <c r="C635" t="inlineStr">
        <is>
          <t>Megatron</t>
        </is>
      </c>
      <c r="D635" t="inlineStr">
        <is>
          <t>Bluetooth</t>
        </is>
      </c>
      <c r="E635" t="inlineStr">
        <is>
          <t>Non</t>
        </is>
      </c>
      <c r="F635" t="inlineStr">
        <is>
          <t>https://headfonics.com/venture-electronics-megatron-review/</t>
        </is>
      </c>
      <c r="G635" s="26" t="inlineStr">
        <is>
          <t>the XD-05 has a wider array of inputs, supporting auxiliary, USB, and Coaxial inputs while the Megatron only supports USB input</t>
        </is>
      </c>
      <c r="H635" t="inlineStr">
        <is>
          <t>2026-08-10</t>
        </is>
      </c>
    </row>
    <row r="636">
      <c r="A636" t="n">
        <v>103</v>
      </c>
      <c r="B636" t="inlineStr">
        <is>
          <t>Venture Electronics</t>
        </is>
      </c>
      <c r="C636" t="inlineStr">
        <is>
          <t>Megatron</t>
        </is>
      </c>
      <c r="D636" t="inlineStr">
        <is>
          <t>3.5mm</t>
        </is>
      </c>
      <c r="E636" t="inlineStr">
        <is>
          <t>Oui</t>
        </is>
      </c>
      <c r="F636" t="inlineStr">
        <is>
          <t>https://headfonics.com/venture-electronics-megatron-review/</t>
        </is>
      </c>
      <c r="G636" s="26" t="inlineStr">
        <is>
          <t>Output(s): 3.5mm SE+ 2.5mm TRRS+ 4.4mm TRRRS + Line Out</t>
        </is>
      </c>
      <c r="H636" t="inlineStr">
        <is>
          <t>2026-08-10</t>
        </is>
      </c>
    </row>
    <row r="637">
      <c r="A637" t="n">
        <v>103</v>
      </c>
      <c r="B637" t="inlineStr">
        <is>
          <t>Venture Electronics</t>
        </is>
      </c>
      <c r="C637" t="inlineStr">
        <is>
          <t>Megatron</t>
        </is>
      </c>
      <c r="D637" t="inlineStr">
        <is>
          <t>4.4mm</t>
        </is>
      </c>
      <c r="E637" t="inlineStr">
        <is>
          <t>Oui</t>
        </is>
      </c>
      <c r="F637" t="inlineStr">
        <is>
          <t>https://headfonics.com/venture-electronics-megatron-review/</t>
        </is>
      </c>
      <c r="G637" s="26" t="inlineStr">
        <is>
          <t>Output(s): 3.5mm SE+ 2.5mm TRRS+ 4.4mm TRRRS + Line Out</t>
        </is>
      </c>
      <c r="H637" t="inlineStr">
        <is>
          <t>2026-08-10</t>
        </is>
      </c>
    </row>
    <row r="638">
      <c r="A638" t="n">
        <v>103</v>
      </c>
      <c r="B638" t="inlineStr">
        <is>
          <t>Venture Electronics</t>
        </is>
      </c>
      <c r="C638" t="inlineStr">
        <is>
          <t>Megatron</t>
        </is>
      </c>
      <c r="D638" t="inlineStr">
        <is>
          <t>2.5mm</t>
        </is>
      </c>
      <c r="E638" t="inlineStr">
        <is>
          <t>Oui</t>
        </is>
      </c>
      <c r="F638" t="inlineStr">
        <is>
          <t>https://headfonics.com/venture-electronics-megatron-review/</t>
        </is>
      </c>
      <c r="G638" s="26" t="inlineStr">
        <is>
          <t>Output(s): 3.5mm SE+ 2.5mm TRRS+ 4.4mm TRRRS + Line Out</t>
        </is>
      </c>
      <c r="H638" t="inlineStr">
        <is>
          <t>2026-08-10</t>
        </is>
      </c>
    </row>
    <row r="639">
      <c r="A639" t="n">
        <v>103</v>
      </c>
      <c r="B639" t="inlineStr">
        <is>
          <t>Venture Electronics</t>
        </is>
      </c>
      <c r="C639" t="inlineStr">
        <is>
          <t>Megatron</t>
        </is>
      </c>
      <c r="D639" t="inlineStr">
        <is>
          <t>6.35mm</t>
        </is>
      </c>
      <c r="E639" t="inlineStr">
        <is>
          <t>Non</t>
        </is>
      </c>
      <c r="F639" t="inlineStr">
        <is>
          <t>https://headfonics.com/venture-electronics-megatron-review/</t>
        </is>
      </c>
      <c r="G639" s="26" t="inlineStr">
        <is>
          <t>Output(s): 3.5mm SE+ 2.5mm TRRS+ 4.4mm TRRRS + Line Out</t>
        </is>
      </c>
      <c r="H639" t="inlineStr">
        <is>
          <t>2026-08-10</t>
        </is>
      </c>
    </row>
    <row r="640">
      <c r="A640" t="n">
        <v>103</v>
      </c>
      <c r="B640" t="inlineStr">
        <is>
          <t>Venture Electronics</t>
        </is>
      </c>
      <c r="C640" t="inlineStr">
        <is>
          <t>Megatron</t>
        </is>
      </c>
      <c r="D640" t="inlineStr">
        <is>
          <t>XLR</t>
        </is>
      </c>
      <c r="E640" t="inlineStr">
        <is>
          <t>Non</t>
        </is>
      </c>
      <c r="F640" t="inlineStr">
        <is>
          <t>https://headfonics.com/venture-electronics-megatron-review/</t>
        </is>
      </c>
      <c r="G640" s="26" t="inlineStr">
        <is>
          <t>Output(s): 3.5mm SE+ 2.5mm TRRS+ 4.4mm TRRRS + Line Out</t>
        </is>
      </c>
      <c r="H640" t="inlineStr">
        <is>
          <t>2026-08-10</t>
        </is>
      </c>
    </row>
    <row r="641">
      <c r="A641" t="n">
        <v>104</v>
      </c>
      <c r="B641" t="inlineStr">
        <is>
          <t>Shanling</t>
        </is>
      </c>
      <c r="C641" t="inlineStr">
        <is>
          <t>H7</t>
        </is>
      </c>
      <c r="D641" t="inlineStr">
        <is>
          <t>Batterie</t>
        </is>
      </c>
      <c r="E641" t="inlineStr">
        <is>
          <t>Oui</t>
        </is>
      </c>
      <c r="F641" t="inlineStr">
        <is>
          <t>https://en.shanling.com/article/101280</t>
        </is>
      </c>
      <c r="G641" s="26" t="inlineStr">
        <is>
          <t>Battery: 2x 18650 / Battery Capacity: 6800 mAh / Battery Life: Up to 10h SE / 8H BAL</t>
        </is>
      </c>
      <c r="H641" t="inlineStr">
        <is>
          <t>2026-08-10</t>
        </is>
      </c>
    </row>
    <row r="642">
      <c r="A642" t="n">
        <v>104</v>
      </c>
      <c r="B642" t="inlineStr">
        <is>
          <t>Shanling</t>
        </is>
      </c>
      <c r="C642" t="inlineStr">
        <is>
          <t>H7</t>
        </is>
      </c>
      <c r="D642" t="inlineStr">
        <is>
          <t>Bluetooth</t>
        </is>
      </c>
      <c r="E642" t="inlineStr">
        <is>
          <t>Oui</t>
        </is>
      </c>
      <c r="F642" t="inlineStr">
        <is>
          <t>https://en.shanling.com/article/101280</t>
        </is>
      </c>
      <c r="G642" s="26" t="inlineStr">
        <is>
          <t>Bluetooth 5.0 Receiver / Bluetooth Codec Support: LDAC / AAC / SBC</t>
        </is>
      </c>
      <c r="H642" t="inlineStr">
        <is>
          <t>2026-08-10</t>
        </is>
      </c>
    </row>
    <row r="643">
      <c r="A643" t="n">
        <v>104</v>
      </c>
      <c r="B643" t="inlineStr">
        <is>
          <t>Shanling</t>
        </is>
      </c>
      <c r="C643" t="inlineStr">
        <is>
          <t>H7</t>
        </is>
      </c>
      <c r="D643" t="inlineStr">
        <is>
          <t>3.5mm</t>
        </is>
      </c>
      <c r="E643" t="inlineStr">
        <is>
          <t>Oui</t>
        </is>
      </c>
      <c r="F643" t="inlineStr">
        <is>
          <t>https://en.shanling.com/article/101280</t>
        </is>
      </c>
      <c r="G643" s="26" t="inlineStr">
        <is>
          <t>Output Connectors: 6.35/4.4/3.5mm &amp; RCA</t>
        </is>
      </c>
      <c r="H643" t="inlineStr">
        <is>
          <t>2026-08-10</t>
        </is>
      </c>
    </row>
    <row r="644">
      <c r="A644" t="n">
        <v>104</v>
      </c>
      <c r="B644" t="inlineStr">
        <is>
          <t>Shanling</t>
        </is>
      </c>
      <c r="C644" t="inlineStr">
        <is>
          <t>H7</t>
        </is>
      </c>
      <c r="D644" t="inlineStr">
        <is>
          <t>4.4mm</t>
        </is>
      </c>
      <c r="E644" t="inlineStr">
        <is>
          <t>Oui</t>
        </is>
      </c>
      <c r="F644" t="inlineStr">
        <is>
          <t>https://en.shanling.com/article/101280</t>
        </is>
      </c>
      <c r="G644" s="26" t="inlineStr">
        <is>
          <t>Output Connectors: 6.35/4.4/3.5mm &amp; RCA</t>
        </is>
      </c>
      <c r="H644" t="inlineStr">
        <is>
          <t>2026-08-10</t>
        </is>
      </c>
    </row>
    <row r="645">
      <c r="A645" t="n">
        <v>104</v>
      </c>
      <c r="B645" t="inlineStr">
        <is>
          <t>Shanling</t>
        </is>
      </c>
      <c r="C645" t="inlineStr">
        <is>
          <t>H7</t>
        </is>
      </c>
      <c r="D645" t="inlineStr">
        <is>
          <t>2.5mm</t>
        </is>
      </c>
      <c r="E645" t="inlineStr">
        <is>
          <t>Non</t>
        </is>
      </c>
      <c r="F645" t="inlineStr">
        <is>
          <t>https://headfonics.com/shanling-h7-review/</t>
        </is>
      </c>
      <c r="G645" s="26" t="inlineStr">
        <is>
          <t>It's a similar approach to the FiiO Q7 though there is no 2.5mm TRRS option that would have completed the line-up.</t>
        </is>
      </c>
      <c r="H645" t="inlineStr">
        <is>
          <t>2026-08-10</t>
        </is>
      </c>
    </row>
    <row r="646">
      <c r="A646" t="n">
        <v>104</v>
      </c>
      <c r="B646" t="inlineStr">
        <is>
          <t>Shanling</t>
        </is>
      </c>
      <c r="C646" t="inlineStr">
        <is>
          <t>H7</t>
        </is>
      </c>
      <c r="D646" t="inlineStr">
        <is>
          <t>6.35mm</t>
        </is>
      </c>
      <c r="E646" t="inlineStr">
        <is>
          <t>Oui</t>
        </is>
      </c>
      <c r="F646" t="inlineStr">
        <is>
          <t>https://en.shanling.com/article/101280</t>
        </is>
      </c>
      <c r="G646" s="26" t="inlineStr">
        <is>
          <t>Output Connectors: 6.35/4.4/3.5mm &amp; RCA</t>
        </is>
      </c>
      <c r="H646" t="inlineStr">
        <is>
          <t>2026-08-10</t>
        </is>
      </c>
    </row>
    <row r="647">
      <c r="A647" t="n">
        <v>104</v>
      </c>
      <c r="B647" t="inlineStr">
        <is>
          <t>Shanling</t>
        </is>
      </c>
      <c r="C647" t="inlineStr">
        <is>
          <t>H7</t>
        </is>
      </c>
      <c r="D647" t="inlineStr">
        <is>
          <t>XLR</t>
        </is>
      </c>
      <c r="E647" t="inlineStr">
        <is>
          <t>Non</t>
        </is>
      </c>
      <c r="F647" t="inlineStr">
        <is>
          <t>https://en.shanling.com/article/101280</t>
        </is>
      </c>
      <c r="G647" s="26" t="inlineStr">
        <is>
          <t>Output Connectors: 6.35/4.4/3.5mm &amp; RCA</t>
        </is>
      </c>
      <c r="H647" t="inlineStr">
        <is>
          <t>2026-08-10</t>
        </is>
      </c>
    </row>
    <row r="648">
      <c r="A648" t="n">
        <v>105</v>
      </c>
      <c r="B648" t="inlineStr">
        <is>
          <t>iKKO</t>
        </is>
      </c>
      <c r="C648" t="inlineStr">
        <is>
          <t>Zerda ITM02</t>
        </is>
      </c>
      <c r="D648" t="inlineStr">
        <is>
          <t>Batterie</t>
        </is>
      </c>
      <c r="E648" t="inlineStr">
        <is>
          <t>Non</t>
        </is>
      </c>
      <c r="F648" t="inlineStr">
        <is>
          <t>https://headfonics.com/ikko-zerda-itm02-review/</t>
        </is>
      </c>
      <c r="G648" s="26" t="inlineStr">
        <is>
          <t>After all, it has no internal battery and it relies on your phone to power it.</t>
        </is>
      </c>
      <c r="H648" t="inlineStr">
        <is>
          <t>2026-08-10</t>
        </is>
      </c>
    </row>
    <row r="649">
      <c r="A649" t="n">
        <v>105</v>
      </c>
      <c r="B649" t="inlineStr">
        <is>
          <t>iKKO</t>
        </is>
      </c>
      <c r="C649" t="inlineStr">
        <is>
          <t>Zerda ITM02</t>
        </is>
      </c>
      <c r="D649" t="inlineStr">
        <is>
          <t>Bluetooth</t>
        </is>
      </c>
      <c r="E649" t="inlineStr">
        <is>
          <t>Non</t>
        </is>
      </c>
      <c r="F649" t="inlineStr">
        <is>
          <t>https://headfonics.com/ikko-zerda-itm02-review/</t>
        </is>
      </c>
      <c r="G649" s="26" t="inlineStr">
        <is>
          <t>There are no buttons on the Zerda ITM02, just one LED colored light to indicate if DSD and 32bit are active, or not. The bottom side has a single 3.5mm port and the top uses a standard USB-C connector.</t>
        </is>
      </c>
      <c r="H649" t="inlineStr">
        <is>
          <t>2026-08-10</t>
        </is>
      </c>
    </row>
    <row r="650">
      <c r="A650" t="n">
        <v>105</v>
      </c>
      <c r="B650" t="inlineStr">
        <is>
          <t>iKKO</t>
        </is>
      </c>
      <c r="C650" t="inlineStr">
        <is>
          <t>Zerda ITM02</t>
        </is>
      </c>
      <c r="D650" t="inlineStr">
        <is>
          <t>3.5mm</t>
        </is>
      </c>
      <c r="E650" t="inlineStr">
        <is>
          <t>Oui</t>
        </is>
      </c>
      <c r="F650" t="inlineStr">
        <is>
          <t>https://headfonics.com/ikko-zerda-itm02-review/</t>
        </is>
      </c>
      <c r="G650" s="26" t="inlineStr">
        <is>
          <t>Output: 3.5mm earphone jack</t>
        </is>
      </c>
      <c r="H650" t="inlineStr">
        <is>
          <t>2026-08-10</t>
        </is>
      </c>
    </row>
    <row r="651">
      <c r="A651" t="n">
        <v>105</v>
      </c>
      <c r="B651" t="inlineStr">
        <is>
          <t>iKKO</t>
        </is>
      </c>
      <c r="C651" t="inlineStr">
        <is>
          <t>Zerda ITM02</t>
        </is>
      </c>
      <c r="D651" t="inlineStr">
        <is>
          <t>4.4mm</t>
        </is>
      </c>
      <c r="E651" t="inlineStr">
        <is>
          <t>Non</t>
        </is>
      </c>
      <c r="F651" t="inlineStr">
        <is>
          <t>https://headfonics.com/ikko-zerda-itm02-review/</t>
        </is>
      </c>
      <c r="G651" s="26" t="inlineStr">
        <is>
          <t>Output: 3.5mm earphone jack</t>
        </is>
      </c>
      <c r="H651" t="inlineStr">
        <is>
          <t>2026-08-10</t>
        </is>
      </c>
    </row>
    <row r="652">
      <c r="A652" t="n">
        <v>105</v>
      </c>
      <c r="B652" t="inlineStr">
        <is>
          <t>iKKO</t>
        </is>
      </c>
      <c r="C652" t="inlineStr">
        <is>
          <t>Zerda ITM02</t>
        </is>
      </c>
      <c r="D652" t="inlineStr">
        <is>
          <t>2.5mm</t>
        </is>
      </c>
      <c r="E652" t="inlineStr">
        <is>
          <t>Non</t>
        </is>
      </c>
      <c r="F652" t="inlineStr">
        <is>
          <t>https://headfonics.com/ikko-zerda-itm02-review/</t>
        </is>
      </c>
      <c r="G652" s="26" t="inlineStr">
        <is>
          <t>Output: 3.5mm earphone jack</t>
        </is>
      </c>
      <c r="H652" t="inlineStr">
        <is>
          <t>2026-08-10</t>
        </is>
      </c>
    </row>
    <row r="653">
      <c r="A653" t="n">
        <v>105</v>
      </c>
      <c r="B653" t="inlineStr">
        <is>
          <t>iKKO</t>
        </is>
      </c>
      <c r="C653" t="inlineStr">
        <is>
          <t>Zerda ITM02</t>
        </is>
      </c>
      <c r="D653" t="inlineStr">
        <is>
          <t>6.35mm</t>
        </is>
      </c>
      <c r="E653" t="inlineStr">
        <is>
          <t>Non</t>
        </is>
      </c>
      <c r="F653" t="inlineStr">
        <is>
          <t>https://headfonics.com/ikko-zerda-itm02-review/</t>
        </is>
      </c>
      <c r="G653" s="26" t="inlineStr">
        <is>
          <t>Output: 3.5mm earphone jack</t>
        </is>
      </c>
      <c r="H653" t="inlineStr">
        <is>
          <t>2026-08-10</t>
        </is>
      </c>
    </row>
    <row r="654">
      <c r="A654" t="n">
        <v>105</v>
      </c>
      <c r="B654" t="inlineStr">
        <is>
          <t>iKKO</t>
        </is>
      </c>
      <c r="C654" t="inlineStr">
        <is>
          <t>Zerda ITM02</t>
        </is>
      </c>
      <c r="D654" t="inlineStr">
        <is>
          <t>XLR</t>
        </is>
      </c>
      <c r="E654" t="inlineStr">
        <is>
          <t>Non</t>
        </is>
      </c>
      <c r="F654" t="inlineStr">
        <is>
          <t>https://headfonics.com/ikko-zerda-itm02-review/</t>
        </is>
      </c>
      <c r="G654" s="26" t="inlineStr">
        <is>
          <t>Output: 3.5mm earphone jack</t>
        </is>
      </c>
      <c r="H654" t="inlineStr">
        <is>
          <t>2026-08-10</t>
        </is>
      </c>
    </row>
    <row r="655">
      <c r="A655" t="n">
        <v>106</v>
      </c>
      <c r="B655" t="inlineStr">
        <is>
          <t>Quloos</t>
        </is>
      </c>
      <c r="C655" t="inlineStr">
        <is>
          <t>QLS MC01</t>
        </is>
      </c>
      <c r="D655" t="inlineStr">
        <is>
          <t>Bluetooth</t>
        </is>
      </c>
      <c r="E655" t="inlineStr">
        <is>
          <t>Non</t>
        </is>
      </c>
      <c r="F655" t="inlineStr">
        <is>
          <t>https://headfonics.com/quloos-qls-mc01-review/</t>
        </is>
      </c>
      <c r="G655" s="26" t="inlineStr">
        <is>
          <t>The other end of the dongle shell has a single USB-C female connection which can be switched to operate at a USB UAC 1.0.</t>
        </is>
      </c>
      <c r="H655" t="inlineStr">
        <is>
          <t>2026-08-10</t>
        </is>
      </c>
    </row>
    <row r="656">
      <c r="A656" t="n">
        <v>106</v>
      </c>
      <c r="B656" t="inlineStr">
        <is>
          <t>Quloos</t>
        </is>
      </c>
      <c r="C656" t="inlineStr">
        <is>
          <t>QLS MC01</t>
        </is>
      </c>
      <c r="D656" t="inlineStr">
        <is>
          <t>3.5mm</t>
        </is>
      </c>
      <c r="E656" t="inlineStr">
        <is>
          <t>Oui</t>
        </is>
      </c>
      <c r="F656" t="inlineStr">
        <is>
          <t>https://headfonics.com/quloos-qls-mc01-review/</t>
        </is>
      </c>
      <c r="G656" s="26" t="inlineStr">
        <is>
          <t>The QLS MC01 has two, the 3.5mm and a balanced 4.4mm connection. Both headphone connections are at one end of the dongle and in a side-by-side traditional manner.</t>
        </is>
      </c>
      <c r="H656" t="inlineStr">
        <is>
          <t>2026-08-10</t>
        </is>
      </c>
    </row>
    <row r="657">
      <c r="A657" t="n">
        <v>106</v>
      </c>
      <c r="B657" t="inlineStr">
        <is>
          <t>Quloos</t>
        </is>
      </c>
      <c r="C657" t="inlineStr">
        <is>
          <t>QLS MC01</t>
        </is>
      </c>
      <c r="D657" t="inlineStr">
        <is>
          <t>4.4mm</t>
        </is>
      </c>
      <c r="E657" t="inlineStr">
        <is>
          <t>Oui</t>
        </is>
      </c>
      <c r="F657" t="inlineStr">
        <is>
          <t>https://headfonics.com/quloos-qls-mc01-review/</t>
        </is>
      </c>
      <c r="G657" s="26" t="inlineStr">
        <is>
          <t>The QLS MC01 has two, the 3.5mm and a balanced 4.4mm connection. Both headphone connections are at one end of the dongle and in a side-by-side traditional manner.</t>
        </is>
      </c>
      <c r="H657" t="inlineStr">
        <is>
          <t>2026-08-10</t>
        </is>
      </c>
    </row>
    <row r="658">
      <c r="A658" t="n">
        <v>106</v>
      </c>
      <c r="B658" t="inlineStr">
        <is>
          <t>Quloos</t>
        </is>
      </c>
      <c r="C658" t="inlineStr">
        <is>
          <t>QLS MC01</t>
        </is>
      </c>
      <c r="D658" t="inlineStr">
        <is>
          <t>2.5mm</t>
        </is>
      </c>
      <c r="E658" t="inlineStr">
        <is>
          <t>Non</t>
        </is>
      </c>
      <c r="F658" t="inlineStr">
        <is>
          <t>https://headfonics.com/quloos-qls-mc01-review/</t>
        </is>
      </c>
      <c r="G658" s="26" t="inlineStr">
        <is>
          <t>The QLS MC01 has two, the 3.5mm and a balanced 4.4mm connection.</t>
        </is>
      </c>
      <c r="H658" t="inlineStr">
        <is>
          <t>2026-08-10</t>
        </is>
      </c>
    </row>
    <row r="659">
      <c r="A659" t="n">
        <v>106</v>
      </c>
      <c r="B659" t="inlineStr">
        <is>
          <t>Quloos</t>
        </is>
      </c>
      <c r="C659" t="inlineStr">
        <is>
          <t>QLS MC01</t>
        </is>
      </c>
      <c r="D659" t="inlineStr">
        <is>
          <t>6.35mm</t>
        </is>
      </c>
      <c r="E659" t="inlineStr">
        <is>
          <t>Non</t>
        </is>
      </c>
      <c r="F659" t="inlineStr">
        <is>
          <t>https://headfonics.com/quloos-qls-mc01-review/</t>
        </is>
      </c>
      <c r="G659" s="26" t="inlineStr">
        <is>
          <t>The QLS MC01 has two, the 3.5mm and a balanced 4.4mm connection.</t>
        </is>
      </c>
      <c r="H659" t="inlineStr">
        <is>
          <t>2026-08-10</t>
        </is>
      </c>
    </row>
    <row r="660">
      <c r="A660" t="n">
        <v>106</v>
      </c>
      <c r="B660" t="inlineStr">
        <is>
          <t>Quloos</t>
        </is>
      </c>
      <c r="C660" t="inlineStr">
        <is>
          <t>QLS MC01</t>
        </is>
      </c>
      <c r="D660" t="inlineStr">
        <is>
          <t>XLR</t>
        </is>
      </c>
      <c r="E660" t="inlineStr">
        <is>
          <t>Non</t>
        </is>
      </c>
      <c r="F660" t="inlineStr">
        <is>
          <t>https://headfonics.com/quloos-qls-mc01-review/</t>
        </is>
      </c>
      <c r="G660" s="26" t="inlineStr">
        <is>
          <t>The QLS MC01 has two, the 3.5mm and a balanced 4.4mm connection.</t>
        </is>
      </c>
      <c r="H660" t="inlineStr">
        <is>
          <t>2026-08-10</t>
        </is>
      </c>
    </row>
    <row r="661">
      <c r="A661" t="n">
        <v>106</v>
      </c>
      <c r="B661" t="inlineStr">
        <is>
          <t>Quloos</t>
        </is>
      </c>
      <c r="C661" t="inlineStr">
        <is>
          <t>QLS MC01</t>
        </is>
      </c>
      <c r="D661" t="inlineStr">
        <is>
          <t>DSP/PEQ</t>
        </is>
      </c>
      <c r="E661" t="inlineStr">
        <is>
          <t>Non</t>
        </is>
      </c>
      <c r="F661" t="inlineStr">
        <is>
          <t>https://headfonics.com/quloos-qls-mc01-review/</t>
        </is>
      </c>
      <c r="G661" s="26" t="inlineStr">
        <is>
          <t>Besides that, there are also two gain levels, an OLED screen brightness adjustment and time out, a balance control, and a DAC filter selector. You could select between five which are LL fast, LL slow, fast, slow and Nos.</t>
        </is>
      </c>
      <c r="H661" t="inlineStr">
        <is>
          <t>2026-08-10</t>
        </is>
      </c>
    </row>
    <row r="662">
      <c r="A662" t="n">
        <v>107</v>
      </c>
      <c r="B662" t="inlineStr">
        <is>
          <t>Hidizs</t>
        </is>
      </c>
      <c r="C662" t="inlineStr">
        <is>
          <t>XO</t>
        </is>
      </c>
      <c r="D662" t="inlineStr">
        <is>
          <t>Bluetooth</t>
        </is>
      </c>
      <c r="E662" t="inlineStr">
        <is>
          <t>Non</t>
        </is>
      </c>
      <c r="F662" t="inlineStr">
        <is>
          <t>https://headfonics.com/hidizs-xo-review/</t>
        </is>
      </c>
      <c r="G662" s="26" t="inlineStr">
        <is>
          <t>The input port is a USB-C female port while the output port is a 3.5mm SE and a 2.5mm balanced.</t>
        </is>
      </c>
      <c r="H662" t="inlineStr">
        <is>
          <t>2026-08-10</t>
        </is>
      </c>
    </row>
    <row r="663">
      <c r="A663" t="n">
        <v>107</v>
      </c>
      <c r="B663" t="inlineStr">
        <is>
          <t>Hidizs</t>
        </is>
      </c>
      <c r="C663" t="inlineStr">
        <is>
          <t>XO</t>
        </is>
      </c>
      <c r="D663" t="inlineStr">
        <is>
          <t>3.5mm</t>
        </is>
      </c>
      <c r="E663" t="inlineStr">
        <is>
          <t>Oui</t>
        </is>
      </c>
      <c r="F663" t="inlineStr">
        <is>
          <t>https://headfonics.com/hidizs-xo-review/</t>
        </is>
      </c>
      <c r="G663" s="26" t="inlineStr">
        <is>
          <t>OUTPUT(S): 3.5mm TRS + 2.5mm TRRS</t>
        </is>
      </c>
      <c r="H663" t="inlineStr">
        <is>
          <t>2026-08-10</t>
        </is>
      </c>
    </row>
    <row r="664">
      <c r="A664" t="n">
        <v>107</v>
      </c>
      <c r="B664" t="inlineStr">
        <is>
          <t>Hidizs</t>
        </is>
      </c>
      <c r="C664" t="inlineStr">
        <is>
          <t>XO</t>
        </is>
      </c>
      <c r="D664" t="inlineStr">
        <is>
          <t>4.4mm</t>
        </is>
      </c>
      <c r="E664" t="inlineStr">
        <is>
          <t>Non</t>
        </is>
      </c>
      <c r="F664" t="inlineStr">
        <is>
          <t>https://headfonics.com/hidizs-xo-review/</t>
        </is>
      </c>
      <c r="G664" s="26" t="inlineStr">
        <is>
          <t>OUTPUT(S): 3.5mm TRS + 2.5mm TRRS</t>
        </is>
      </c>
      <c r="H664" t="inlineStr">
        <is>
          <t>2026-08-10</t>
        </is>
      </c>
    </row>
    <row r="665">
      <c r="A665" t="n">
        <v>107</v>
      </c>
      <c r="B665" t="inlineStr">
        <is>
          <t>Hidizs</t>
        </is>
      </c>
      <c r="C665" t="inlineStr">
        <is>
          <t>XO</t>
        </is>
      </c>
      <c r="D665" t="inlineStr">
        <is>
          <t>2.5mm</t>
        </is>
      </c>
      <c r="E665" t="inlineStr">
        <is>
          <t>Oui</t>
        </is>
      </c>
      <c r="F665" t="inlineStr">
        <is>
          <t>https://headfonics.com/hidizs-xo-review/</t>
        </is>
      </c>
      <c r="G665" s="26" t="inlineStr">
        <is>
          <t>OUTPUT(S): 3.5mm TRS + 2.5mm TRRS</t>
        </is>
      </c>
      <c r="H665" t="inlineStr">
        <is>
          <t>2026-08-10</t>
        </is>
      </c>
    </row>
    <row r="666">
      <c r="A666" t="n">
        <v>107</v>
      </c>
      <c r="B666" t="inlineStr">
        <is>
          <t>Hidizs</t>
        </is>
      </c>
      <c r="C666" t="inlineStr">
        <is>
          <t>XO</t>
        </is>
      </c>
      <c r="D666" t="inlineStr">
        <is>
          <t>6.35mm</t>
        </is>
      </c>
      <c r="E666" t="inlineStr">
        <is>
          <t>Non</t>
        </is>
      </c>
      <c r="F666" t="inlineStr">
        <is>
          <t>https://headfonics.com/hidizs-xo-review/</t>
        </is>
      </c>
      <c r="G666" s="26" t="inlineStr">
        <is>
          <t>OUTPUT(S): 3.5mm TRS + 2.5mm TRRS</t>
        </is>
      </c>
      <c r="H666" t="inlineStr">
        <is>
          <t>2026-08-10</t>
        </is>
      </c>
    </row>
    <row r="667">
      <c r="A667" t="n">
        <v>107</v>
      </c>
      <c r="B667" t="inlineStr">
        <is>
          <t>Hidizs</t>
        </is>
      </c>
      <c r="C667" t="inlineStr">
        <is>
          <t>XO</t>
        </is>
      </c>
      <c r="D667" t="inlineStr">
        <is>
          <t>XLR</t>
        </is>
      </c>
      <c r="E667" t="inlineStr">
        <is>
          <t>Non</t>
        </is>
      </c>
      <c r="F667" t="inlineStr">
        <is>
          <t>https://headfonics.com/hidizs-xo-review/</t>
        </is>
      </c>
      <c r="G667" s="26" t="inlineStr">
        <is>
          <t>OUTPUT(S): 3.5mm TRS + 2.5mm TRRS</t>
        </is>
      </c>
      <c r="H667" t="inlineStr">
        <is>
          <t>2026-08-10</t>
        </is>
      </c>
    </row>
    <row r="668">
      <c r="A668" t="n">
        <v>107</v>
      </c>
      <c r="B668" t="inlineStr">
        <is>
          <t>Hidizs</t>
        </is>
      </c>
      <c r="C668" t="inlineStr">
        <is>
          <t>XO</t>
        </is>
      </c>
      <c r="D668" t="inlineStr">
        <is>
          <t>DSP/PEQ</t>
        </is>
      </c>
      <c r="E668" t="inlineStr">
        <is>
          <t>Non</t>
        </is>
      </c>
      <c r="F668" t="inlineStr">
        <is>
          <t>https://headfonics.com/hidizs-xo-review/</t>
        </is>
      </c>
      <c r="G668" s="26" t="inlineStr">
        <is>
          <t>The Hidizs XO has two buttons - the X and O buttons. The X button toggles the different light modes with 15+ lighting effects! The O-button is for the filter mode switch.</t>
        </is>
      </c>
      <c r="H668" t="inlineStr">
        <is>
          <t>2026-08-10</t>
        </is>
      </c>
    </row>
    <row r="669">
      <c r="A669" t="n">
        <v>108</v>
      </c>
      <c r="B669" t="inlineStr">
        <is>
          <t>FiiO</t>
        </is>
      </c>
      <c r="C669" t="inlineStr">
        <is>
          <t>Q7</t>
        </is>
      </c>
      <c r="D669" t="inlineStr">
        <is>
          <t>Batterie</t>
        </is>
      </c>
      <c r="E669" t="inlineStr">
        <is>
          <t>Oui</t>
        </is>
      </c>
      <c r="F669" t="inlineStr">
        <is>
          <t>https://headfonics.com/fiio-q7-review/</t>
        </is>
      </c>
      <c r="G669" s="26" t="inlineStr">
        <is>
          <t>The FiiO Q7 comes with the same beefy 9200mAh li-poly battery as the M17 with QC4.0 +FD capability and a total charging time of 4.5 hours.</t>
        </is>
      </c>
      <c r="H669" t="inlineStr">
        <is>
          <t>2026-08-10</t>
        </is>
      </c>
    </row>
    <row r="670">
      <c r="A670" t="n">
        <v>108</v>
      </c>
      <c r="B670" t="inlineStr">
        <is>
          <t>FiiO</t>
        </is>
      </c>
      <c r="C670" t="inlineStr">
        <is>
          <t>Q7</t>
        </is>
      </c>
      <c r="D670" t="inlineStr">
        <is>
          <t>Bluetooth</t>
        </is>
      </c>
      <c r="E670" t="inlineStr">
        <is>
          <t>Oui</t>
        </is>
      </c>
      <c r="F670" t="inlineStr">
        <is>
          <t>https://headfonics.com/fiio-q7-review/</t>
        </is>
      </c>
      <c r="G670" s="26" t="inlineStr">
        <is>
          <t>The use of a QCC5124 Bluetooth 5.0 chipset also means the Q7 can link wirelessly to source transmitters to handle LDAC up to 24BIT/96kHz as well as AAC, SBC, and aptX including HD, LL, and Adaptive.</t>
        </is>
      </c>
      <c r="H670" t="inlineStr">
        <is>
          <t>2026-08-10</t>
        </is>
      </c>
    </row>
    <row r="671">
      <c r="A671" t="n">
        <v>108</v>
      </c>
      <c r="B671" t="inlineStr">
        <is>
          <t>FiiO</t>
        </is>
      </c>
      <c r="C671" t="inlineStr">
        <is>
          <t>Q7</t>
        </is>
      </c>
      <c r="D671" t="inlineStr">
        <is>
          <t>3.5mm</t>
        </is>
      </c>
      <c r="E671" t="inlineStr">
        <is>
          <t>Oui</t>
        </is>
      </c>
      <c r="F671" t="inlineStr">
        <is>
          <t>https://headfonics.com/fiio-q7-review/</t>
        </is>
      </c>
      <c r="G671" s="26" t="inlineStr">
        <is>
          <t>For analog, you get the full monty of every possible connection you need to hook up a headphone or an IEM with 3.5mm and 6.35mm SE and 2.5mm/4.4mm balanced outputs.</t>
        </is>
      </c>
      <c r="H671" t="inlineStr">
        <is>
          <t>2026-08-10</t>
        </is>
      </c>
    </row>
    <row r="672">
      <c r="A672" t="n">
        <v>108</v>
      </c>
      <c r="B672" t="inlineStr">
        <is>
          <t>FiiO</t>
        </is>
      </c>
      <c r="C672" t="inlineStr">
        <is>
          <t>Q7</t>
        </is>
      </c>
      <c r="D672" t="inlineStr">
        <is>
          <t>4.4mm</t>
        </is>
      </c>
      <c r="E672" t="inlineStr">
        <is>
          <t>Oui</t>
        </is>
      </c>
      <c r="F672" t="inlineStr">
        <is>
          <t>https://headfonics.com/fiio-q7-review/</t>
        </is>
      </c>
      <c r="G672" s="26" t="inlineStr">
        <is>
          <t>For analog, you get the full monty of every possible connection you need to hook up a headphone or an IEM with 3.5mm and 6.35mm SE and 2.5mm/4.4mm balanced outputs.</t>
        </is>
      </c>
      <c r="H672" t="inlineStr">
        <is>
          <t>2026-08-10</t>
        </is>
      </c>
    </row>
    <row r="673">
      <c r="A673" t="n">
        <v>108</v>
      </c>
      <c r="B673" t="inlineStr">
        <is>
          <t>FiiO</t>
        </is>
      </c>
      <c r="C673" t="inlineStr">
        <is>
          <t>Q7</t>
        </is>
      </c>
      <c r="D673" t="inlineStr">
        <is>
          <t>2.5mm</t>
        </is>
      </c>
      <c r="E673" t="inlineStr">
        <is>
          <t>Oui</t>
        </is>
      </c>
      <c r="F673" t="inlineStr">
        <is>
          <t>https://headfonics.com/fiio-q7-review/</t>
        </is>
      </c>
      <c r="G673" s="26" t="inlineStr">
        <is>
          <t>For analog, you get the full monty of every possible connection you need to hook up a headphone or an IEM with 3.5mm and 6.35mm SE and 2.5mm/4.4mm balanced outputs.</t>
        </is>
      </c>
      <c r="H673" t="inlineStr">
        <is>
          <t>2026-08-10</t>
        </is>
      </c>
    </row>
    <row r="674">
      <c r="A674" t="n">
        <v>108</v>
      </c>
      <c r="B674" t="inlineStr">
        <is>
          <t>FiiO</t>
        </is>
      </c>
      <c r="C674" t="inlineStr">
        <is>
          <t>Q7</t>
        </is>
      </c>
      <c r="D674" t="inlineStr">
        <is>
          <t>6.35mm</t>
        </is>
      </c>
      <c r="E674" t="inlineStr">
        <is>
          <t>Oui</t>
        </is>
      </c>
      <c r="F674" t="inlineStr">
        <is>
          <t>https://headfonics.com/fiio-q7-review/</t>
        </is>
      </c>
      <c r="G674" s="26" t="inlineStr">
        <is>
          <t>For analog, you get the full monty of every possible connection you need to hook up a headphone or an IEM with 3.5mm and 6.35mm SE and 2.5mm/4.4mm balanced outputs.</t>
        </is>
      </c>
      <c r="H674" t="inlineStr">
        <is>
          <t>2026-08-10</t>
        </is>
      </c>
    </row>
    <row r="675">
      <c r="A675" t="n">
        <v>108</v>
      </c>
      <c r="B675" t="inlineStr">
        <is>
          <t>FiiO</t>
        </is>
      </c>
      <c r="C675" t="inlineStr">
        <is>
          <t>Q7</t>
        </is>
      </c>
      <c r="D675" t="inlineStr">
        <is>
          <t>XLR</t>
        </is>
      </c>
      <c r="E675" t="inlineStr">
        <is>
          <t>Non</t>
        </is>
      </c>
      <c r="F675" t="inlineStr">
        <is>
          <t>https://headfonics.com/fiio-q7-review/</t>
        </is>
      </c>
      <c r="G675" s="26" t="inlineStr">
        <is>
          <t>For analog, you get the full monty of every possible connection you need to hook up a headphone or an IEM with 3.5mm and 6.35mm SE and 2.5mm/4.4mm balanced outputs.</t>
        </is>
      </c>
      <c r="H675" t="inlineStr">
        <is>
          <t>2026-08-10</t>
        </is>
      </c>
    </row>
    <row r="676">
      <c r="A676" t="n">
        <v>108</v>
      </c>
      <c r="B676" t="inlineStr">
        <is>
          <t>FiiO</t>
        </is>
      </c>
      <c r="C676" t="inlineStr">
        <is>
          <t>Q7</t>
        </is>
      </c>
      <c r="D676" t="inlineStr">
        <is>
          <t>DSP/PEQ</t>
        </is>
      </c>
      <c r="E676" t="inlineStr">
        <is>
          <t>Oui</t>
        </is>
      </c>
      <c r="F676" t="inlineStr">
        <is>
          <t>https://fiio-file.fiio.net/70%E4%B8%8A%E4%BC%A0%E7%9A%84%E6%96%87%E4%BB%B6/PEQ%20Settings%20Instructions%20for%20FiiO%20Portable%20DAC%26AMP.pdf</t>
        </is>
      </c>
      <c r="G676" s="26" t="inlineStr">
        <is>
          <t>FiiO products that support wired PEQ settings include: KA17, KA15, JA11, BTR13, BTR17, BTR15, K19, K17, Q7, Q15</t>
        </is>
      </c>
      <c r="H676" t="inlineStr">
        <is>
          <t>2026-08-10</t>
        </is>
      </c>
    </row>
    <row r="677">
      <c r="A677" t="n">
        <v>109</v>
      </c>
      <c r="B677" t="inlineStr">
        <is>
          <t>EarMen</t>
        </is>
      </c>
      <c r="C677" t="inlineStr">
        <is>
          <t>Angel</t>
        </is>
      </c>
      <c r="D677" t="inlineStr">
        <is>
          <t>Batterie</t>
        </is>
      </c>
      <c r="E677" t="inlineStr">
        <is>
          <t>Oui</t>
        </is>
      </c>
      <c r="F677" t="inlineStr">
        <is>
          <t>https://headfonics.com/earmen-angel-review/</t>
        </is>
      </c>
      <c r="G677" s="26" t="inlineStr">
        <is>
          <t>What is providing power to the Angel when on the go are two 3000mAh lithium polymer batteries.</t>
        </is>
      </c>
      <c r="H677" t="inlineStr">
        <is>
          <t>2026-08-10</t>
        </is>
      </c>
    </row>
    <row r="678">
      <c r="A678" t="n">
        <v>109</v>
      </c>
      <c r="B678" t="inlineStr">
        <is>
          <t>EarMen</t>
        </is>
      </c>
      <c r="C678" t="inlineStr">
        <is>
          <t>Angel</t>
        </is>
      </c>
      <c r="D678" t="inlineStr">
        <is>
          <t>Bluetooth</t>
        </is>
      </c>
      <c r="E678" t="inlineStr">
        <is>
          <t>Non</t>
        </is>
      </c>
      <c r="F678" t="inlineStr">
        <is>
          <t>https://headfonics.com/earmen-angel-review/</t>
        </is>
      </c>
      <c r="G678" s="26" t="inlineStr">
        <is>
          <t>To start with the short but sweet list of inputs, the Angel will accept data from any digital downstream source using its USB-C and S/PDIF inputs.</t>
        </is>
      </c>
      <c r="H678" t="inlineStr">
        <is>
          <t>2026-08-10</t>
        </is>
      </c>
    </row>
    <row r="679">
      <c r="A679" t="n">
        <v>109</v>
      </c>
      <c r="B679" t="inlineStr">
        <is>
          <t>EarMen</t>
        </is>
      </c>
      <c r="C679" t="inlineStr">
        <is>
          <t>Angel</t>
        </is>
      </c>
      <c r="D679" t="inlineStr">
        <is>
          <t>3.5mm</t>
        </is>
      </c>
      <c r="E679" t="inlineStr">
        <is>
          <t>Oui</t>
        </is>
      </c>
      <c r="F679" t="inlineStr">
        <is>
          <t>https://headfonics.com/earmen-angel-review/</t>
        </is>
      </c>
      <c r="G679" s="26" t="inlineStr">
        <is>
          <t>With no 6.35mm or full-size XLR in sight, the Angel instead has a pair of 3.5mm and 4.4mm jacks on both ends to cater to different needs.</t>
        </is>
      </c>
      <c r="H679" t="inlineStr">
        <is>
          <t>2026-08-10</t>
        </is>
      </c>
    </row>
    <row r="680">
      <c r="A680" t="n">
        <v>109</v>
      </c>
      <c r="B680" t="inlineStr">
        <is>
          <t>EarMen</t>
        </is>
      </c>
      <c r="C680" t="inlineStr">
        <is>
          <t>Angel</t>
        </is>
      </c>
      <c r="D680" t="inlineStr">
        <is>
          <t>4.4mm</t>
        </is>
      </c>
      <c r="E680" t="inlineStr">
        <is>
          <t>Oui</t>
        </is>
      </c>
      <c r="F680" t="inlineStr">
        <is>
          <t>https://headfonics.com/earmen-angel-review/</t>
        </is>
      </c>
      <c r="G680" s="26" t="inlineStr">
        <is>
          <t>With no 6.35mm or full-size XLR in sight, the Angel instead has a pair of 3.5mm and 4.4mm jacks on both ends to cater to different needs.</t>
        </is>
      </c>
      <c r="H680" t="inlineStr">
        <is>
          <t>2026-08-10</t>
        </is>
      </c>
    </row>
    <row r="681">
      <c r="A681" t="n">
        <v>109</v>
      </c>
      <c r="B681" t="inlineStr">
        <is>
          <t>EarMen</t>
        </is>
      </c>
      <c r="C681" t="inlineStr">
        <is>
          <t>Angel</t>
        </is>
      </c>
      <c r="D681" t="inlineStr">
        <is>
          <t>2.5mm</t>
        </is>
      </c>
      <c r="E681" t="inlineStr">
        <is>
          <t>Non</t>
        </is>
      </c>
      <c r="F681" t="inlineStr">
        <is>
          <t>https://headfonics.com/earmen-angel-review/</t>
        </is>
      </c>
      <c r="G681" s="26" t="inlineStr">
        <is>
          <t>With no 6.35mm or full-size XLR in sight, the Angel instead has a pair of 3.5mm and 4.4mm jacks on both ends to cater to different needs.</t>
        </is>
      </c>
      <c r="H681" t="inlineStr">
        <is>
          <t>2026-08-10</t>
        </is>
      </c>
    </row>
    <row r="682">
      <c r="A682" t="n">
        <v>109</v>
      </c>
      <c r="B682" t="inlineStr">
        <is>
          <t>EarMen</t>
        </is>
      </c>
      <c r="C682" t="inlineStr">
        <is>
          <t>Angel</t>
        </is>
      </c>
      <c r="D682" t="inlineStr">
        <is>
          <t>6.35mm</t>
        </is>
      </c>
      <c r="E682" t="inlineStr">
        <is>
          <t>Non</t>
        </is>
      </c>
      <c r="F682" t="inlineStr">
        <is>
          <t>https://headfonics.com/earmen-angel-review/</t>
        </is>
      </c>
      <c r="G682" s="26" t="inlineStr">
        <is>
          <t>With no 6.35mm or full-size XLR in sight, the Angel instead has a pair of 3.5mm and 4.4mm jacks on both ends to cater to different needs.</t>
        </is>
      </c>
      <c r="H682" t="inlineStr">
        <is>
          <t>2026-08-10</t>
        </is>
      </c>
    </row>
    <row r="683">
      <c r="A683" t="n">
        <v>109</v>
      </c>
      <c r="B683" t="inlineStr">
        <is>
          <t>EarMen</t>
        </is>
      </c>
      <c r="C683" t="inlineStr">
        <is>
          <t>Angel</t>
        </is>
      </c>
      <c r="D683" t="inlineStr">
        <is>
          <t>XLR</t>
        </is>
      </c>
      <c r="E683" t="inlineStr">
        <is>
          <t>Non</t>
        </is>
      </c>
      <c r="F683" t="inlineStr">
        <is>
          <t>https://headfonics.com/earmen-angel-review/</t>
        </is>
      </c>
      <c r="G683" s="26" t="inlineStr">
        <is>
          <t>With no 6.35mm or full-size XLR in sight, the Angel instead has a pair of 3.5mm and 4.4mm jacks on both ends to cater to different needs.</t>
        </is>
      </c>
      <c r="H683" t="inlineStr">
        <is>
          <t>2026-08-10</t>
        </is>
      </c>
    </row>
    <row r="684">
      <c r="A684" t="n">
        <v>110</v>
      </c>
      <c r="B684" t="inlineStr">
        <is>
          <t>Moondrop</t>
        </is>
      </c>
      <c r="C684" t="inlineStr">
        <is>
          <t>Dawn</t>
        </is>
      </c>
      <c r="D684" t="inlineStr">
        <is>
          <t>Bluetooth</t>
        </is>
      </c>
      <c r="E684" t="inlineStr">
        <is>
          <t>Non</t>
        </is>
      </c>
      <c r="F684" t="inlineStr">
        <is>
          <t>https://headfonics.com/moondrop-dawn-review/</t>
        </is>
      </c>
      <c r="G684" s="26" t="inlineStr">
        <is>
          <t>The input port is a USB Type-C while the output port is a 4.4mm hack. For iOS users, a separate USB Type-C to Lightning adapter is needed.</t>
        </is>
      </c>
      <c r="H684" t="inlineStr">
        <is>
          <t>2026-08-10</t>
        </is>
      </c>
    </row>
    <row r="685">
      <c r="A685" t="n">
        <v>110</v>
      </c>
      <c r="B685" t="inlineStr">
        <is>
          <t>Moondrop</t>
        </is>
      </c>
      <c r="C685" t="inlineStr">
        <is>
          <t>Dawn</t>
        </is>
      </c>
      <c r="D685" t="inlineStr">
        <is>
          <t>3.5mm</t>
        </is>
      </c>
      <c r="E685" t="inlineStr">
        <is>
          <t>Non</t>
        </is>
      </c>
      <c r="F685" t="inlineStr">
        <is>
          <t>https://headfonics.com/hidizs-xo-review/</t>
        </is>
      </c>
      <c r="G685" s="26" t="inlineStr">
        <is>
          <t>Both also have different outputs. The Dawn has only 1 - a balanced 4.4mm output while the XO has 2 - a 3.5mm SE and a 2.5mm Balanced.</t>
        </is>
      </c>
      <c r="H685" t="inlineStr">
        <is>
          <t>2026-08-10</t>
        </is>
      </c>
    </row>
    <row r="686">
      <c r="A686" t="n">
        <v>110</v>
      </c>
      <c r="B686" t="inlineStr">
        <is>
          <t>Moondrop</t>
        </is>
      </c>
      <c r="C686" t="inlineStr">
        <is>
          <t>Dawn</t>
        </is>
      </c>
      <c r="D686" t="inlineStr">
        <is>
          <t>4.4mm</t>
        </is>
      </c>
      <c r="E686" t="inlineStr">
        <is>
          <t>Oui</t>
        </is>
      </c>
      <c r="F686" t="inlineStr">
        <is>
          <t>https://headfonics.com/moondrop-dawn-review/</t>
        </is>
      </c>
      <c r="G686" s="26" t="inlineStr">
        <is>
          <t>The input port is a USB Type-C while the output port is a 4.4mm hack.</t>
        </is>
      </c>
      <c r="H686" t="inlineStr">
        <is>
          <t>2026-08-10</t>
        </is>
      </c>
    </row>
    <row r="687">
      <c r="A687" t="n">
        <v>110</v>
      </c>
      <c r="B687" t="inlineStr">
        <is>
          <t>Moondrop</t>
        </is>
      </c>
      <c r="C687" t="inlineStr">
        <is>
          <t>Dawn</t>
        </is>
      </c>
      <c r="D687" t="inlineStr">
        <is>
          <t>2.5mm</t>
        </is>
      </c>
      <c r="E687" t="inlineStr">
        <is>
          <t>Non</t>
        </is>
      </c>
      <c r="F687" t="inlineStr">
        <is>
          <t>https://headfonics.com/hidizs-xo-review/</t>
        </is>
      </c>
      <c r="G687" s="26" t="inlineStr">
        <is>
          <t>The Dawn has only 1 - a balanced 4.4mm output while the XO has 2 - a 3.5mm SE and a 2.5mm Balanced.</t>
        </is>
      </c>
      <c r="H687" t="inlineStr">
        <is>
          <t>2026-08-10</t>
        </is>
      </c>
    </row>
    <row r="688">
      <c r="A688" t="n">
        <v>110</v>
      </c>
      <c r="B688" t="inlineStr">
        <is>
          <t>Moondrop</t>
        </is>
      </c>
      <c r="C688" t="inlineStr">
        <is>
          <t>Dawn</t>
        </is>
      </c>
      <c r="D688" t="inlineStr">
        <is>
          <t>6.35mm</t>
        </is>
      </c>
      <c r="E688" t="inlineStr">
        <is>
          <t>Non</t>
        </is>
      </c>
      <c r="F688" t="inlineStr">
        <is>
          <t>https://headfonics.com/hidizs-xo-review/</t>
        </is>
      </c>
      <c r="G688" s="26" t="inlineStr">
        <is>
          <t>The Dawn has only 1 - a balanced 4.4mm output while the XO has 2 - a 3.5mm SE and a 2.5mm Balanced.</t>
        </is>
      </c>
      <c r="H688" t="inlineStr">
        <is>
          <t>2026-08-10</t>
        </is>
      </c>
    </row>
    <row r="689">
      <c r="A689" t="n">
        <v>110</v>
      </c>
      <c r="B689" t="inlineStr">
        <is>
          <t>Moondrop</t>
        </is>
      </c>
      <c r="C689" t="inlineStr">
        <is>
          <t>Dawn</t>
        </is>
      </c>
      <c r="D689" t="inlineStr">
        <is>
          <t>XLR</t>
        </is>
      </c>
      <c r="E689" t="inlineStr">
        <is>
          <t>Non</t>
        </is>
      </c>
      <c r="F689" t="inlineStr">
        <is>
          <t>https://headfonics.com/hidizs-xo-review/</t>
        </is>
      </c>
      <c r="G689" s="26" t="inlineStr">
        <is>
          <t>The Dawn has only 1 - a balanced 4.4mm output while the XO has 2 - a 3.5mm SE and a 2.5mm Balanced.</t>
        </is>
      </c>
      <c r="H689" t="inlineStr">
        <is>
          <t>2026-08-10</t>
        </is>
      </c>
    </row>
    <row r="690">
      <c r="A690" t="n">
        <v>111</v>
      </c>
      <c r="B690" t="inlineStr">
        <is>
          <t>FiiO</t>
        </is>
      </c>
      <c r="C690" t="inlineStr">
        <is>
          <t>KA2</t>
        </is>
      </c>
      <c r="D690" t="inlineStr">
        <is>
          <t>3.5mm</t>
        </is>
      </c>
      <c r="E690" t="inlineStr">
        <is>
          <t>Non</t>
        </is>
      </c>
      <c r="F690" t="inlineStr">
        <is>
          <t>https://headfonics.com/fiio-ka2-review/</t>
        </is>
      </c>
      <c r="G690" s="26" t="inlineStr">
        <is>
          <t>Contrasting the KA1 which has a single 3.5mm output the KA2 is equipped with a single 4.4mm balanced output.</t>
        </is>
      </c>
      <c r="H690" t="inlineStr">
        <is>
          <t>2026-08-10</t>
        </is>
      </c>
    </row>
    <row r="691">
      <c r="A691" t="n">
        <v>111</v>
      </c>
      <c r="B691" t="inlineStr">
        <is>
          <t>FiiO</t>
        </is>
      </c>
      <c r="C691" t="inlineStr">
        <is>
          <t>KA2</t>
        </is>
      </c>
      <c r="D691" t="inlineStr">
        <is>
          <t>4.4mm</t>
        </is>
      </c>
      <c r="E691" t="inlineStr">
        <is>
          <t>Oui</t>
        </is>
      </c>
      <c r="F691" t="inlineStr">
        <is>
          <t>https://headfonics.com/fiio-ka2-review/</t>
        </is>
      </c>
      <c r="G691" s="26" t="inlineStr">
        <is>
          <t>Contrasting the KA1 which has a single 3.5mm output the KA2 is equipped with a single 4.4mm balanced output.</t>
        </is>
      </c>
      <c r="H691" t="inlineStr">
        <is>
          <t>2026-08-10</t>
        </is>
      </c>
    </row>
    <row r="692">
      <c r="A692" t="n">
        <v>111</v>
      </c>
      <c r="B692" t="inlineStr">
        <is>
          <t>FiiO</t>
        </is>
      </c>
      <c r="C692" t="inlineStr">
        <is>
          <t>KA2</t>
        </is>
      </c>
      <c r="D692" t="inlineStr">
        <is>
          <t>2.5mm</t>
        </is>
      </c>
      <c r="E692" t="inlineStr">
        <is>
          <t>Non</t>
        </is>
      </c>
      <c r="F692" t="inlineStr">
        <is>
          <t>https://headfonics.com/fiio-ka2-review/</t>
        </is>
      </c>
      <c r="G692" s="26" t="inlineStr">
        <is>
          <t>Contrasting the KA1 which has a single 3.5mm output the KA2 is equipped with a single 4.4mm balanced output.</t>
        </is>
      </c>
      <c r="H692" t="inlineStr">
        <is>
          <t>2026-08-10</t>
        </is>
      </c>
    </row>
    <row r="693">
      <c r="A693" t="n">
        <v>111</v>
      </c>
      <c r="B693" t="inlineStr">
        <is>
          <t>FiiO</t>
        </is>
      </c>
      <c r="C693" t="inlineStr">
        <is>
          <t>KA2</t>
        </is>
      </c>
      <c r="D693" t="inlineStr">
        <is>
          <t>6.35mm</t>
        </is>
      </c>
      <c r="E693" t="inlineStr">
        <is>
          <t>Non</t>
        </is>
      </c>
      <c r="F693" t="inlineStr">
        <is>
          <t>https://headfonics.com/fiio-ka2-review/</t>
        </is>
      </c>
      <c r="G693" s="26" t="inlineStr">
        <is>
          <t>Contrasting the KA1 which has a single 3.5mm output the KA2 is equipped with a single 4.4mm balanced output.</t>
        </is>
      </c>
      <c r="H693" t="inlineStr">
        <is>
          <t>2026-08-10</t>
        </is>
      </c>
    </row>
    <row r="694">
      <c r="A694" t="n">
        <v>111</v>
      </c>
      <c r="B694" t="inlineStr">
        <is>
          <t>FiiO</t>
        </is>
      </c>
      <c r="C694" t="inlineStr">
        <is>
          <t>KA2</t>
        </is>
      </c>
      <c r="D694" t="inlineStr">
        <is>
          <t>XLR</t>
        </is>
      </c>
      <c r="E694" t="inlineStr">
        <is>
          <t>Non</t>
        </is>
      </c>
      <c r="F694" t="inlineStr">
        <is>
          <t>https://headfonics.com/fiio-ka2-review/</t>
        </is>
      </c>
      <c r="G694" s="26" t="inlineStr">
        <is>
          <t>Contrasting the KA1 which has a single 3.5mm output the KA2 is equipped with a single 4.4mm balanced output.</t>
        </is>
      </c>
      <c r="H694" t="inlineStr">
        <is>
          <t>2026-08-10</t>
        </is>
      </c>
    </row>
    <row r="695">
      <c r="A695" t="n">
        <v>111</v>
      </c>
      <c r="B695" t="inlineStr">
        <is>
          <t>FiiO</t>
        </is>
      </c>
      <c r="C695" t="inlineStr">
        <is>
          <t>KA2</t>
        </is>
      </c>
      <c r="D695" t="inlineStr">
        <is>
          <t>DSP/PEQ</t>
        </is>
      </c>
      <c r="E695" t="inlineStr">
        <is>
          <t>Non</t>
        </is>
      </c>
      <c r="F695" t="inlineStr">
        <is>
          <t>https://headfonics.com/fiio-ka2-review/</t>
        </is>
      </c>
      <c r="G695" s="26" t="inlineStr">
        <is>
          <t>For example, the equalizer is disabled within the app but on a positive note, you do get to play around with five so-called low pass filters to choose from.</t>
        </is>
      </c>
      <c r="H695" t="inlineStr">
        <is>
          <t>2026-08-10</t>
        </is>
      </c>
    </row>
    <row r="696">
      <c r="A696" t="n">
        <v>112</v>
      </c>
      <c r="B696" t="inlineStr">
        <is>
          <t>ddHiFi</t>
        </is>
      </c>
      <c r="C696" t="inlineStr">
        <is>
          <t>TC44A Lightning DAC</t>
        </is>
      </c>
      <c r="D696" t="inlineStr">
        <is>
          <t>Batterie</t>
        </is>
      </c>
      <c r="E696" t="inlineStr">
        <is>
          <t>Non</t>
        </is>
      </c>
      <c r="F696" t="inlineStr">
        <is>
          <t>https://headfonics.com/ddhifi-tc44a-lightning-dac-review/</t>
        </is>
      </c>
      <c r="G696" s="26" t="inlineStr">
        <is>
          <t>No need for any setup and complicated controls on the surface, nor batteries to charge. Everything can be controlled and powered by a mobile device.</t>
        </is>
      </c>
      <c r="H696" t="inlineStr">
        <is>
          <t>2026-08-10</t>
        </is>
      </c>
    </row>
    <row r="697">
      <c r="A697" t="n">
        <v>112</v>
      </c>
      <c r="B697" t="inlineStr">
        <is>
          <t>ddHiFi</t>
        </is>
      </c>
      <c r="C697" t="inlineStr">
        <is>
          <t>TC44A Lightning DAC</t>
        </is>
      </c>
      <c r="D697" t="inlineStr">
        <is>
          <t>Bluetooth</t>
        </is>
      </c>
      <c r="E697" t="inlineStr">
        <is>
          <t>Non</t>
        </is>
      </c>
      <c r="F697" t="inlineStr">
        <is>
          <t>https://headfonics.com/ddhifi-tc44a-lightning-dac-review/</t>
        </is>
      </c>
      <c r="G697" s="26" t="inlineStr">
        <is>
          <t>The input port is either lightning or a USB Type-C while the output port is a 4.4mm jack.</t>
        </is>
      </c>
      <c r="H697" t="inlineStr">
        <is>
          <t>2026-08-10</t>
        </is>
      </c>
    </row>
    <row r="698">
      <c r="A698" t="n">
        <v>112</v>
      </c>
      <c r="B698" t="inlineStr">
        <is>
          <t>ddHiFi</t>
        </is>
      </c>
      <c r="C698" t="inlineStr">
        <is>
          <t>TC44A Lightning DAC</t>
        </is>
      </c>
      <c r="D698" t="inlineStr">
        <is>
          <t>3.5mm</t>
        </is>
      </c>
      <c r="E698" t="inlineStr">
        <is>
          <t>Non</t>
        </is>
      </c>
      <c r="F698" t="inlineStr">
        <is>
          <t>https://headfonics.com/ddhifi-tc44a-lightning-dac-review/</t>
        </is>
      </c>
      <c r="G698" s="26" t="inlineStr">
        <is>
          <t>The input port is either lightning or a USB Type-C while the output port is a 4.4mm jack.</t>
        </is>
      </c>
      <c r="H698" t="inlineStr">
        <is>
          <t>2026-08-10</t>
        </is>
      </c>
    </row>
    <row r="699">
      <c r="A699" t="n">
        <v>112</v>
      </c>
      <c r="B699" t="inlineStr">
        <is>
          <t>ddHiFi</t>
        </is>
      </c>
      <c r="C699" t="inlineStr">
        <is>
          <t>TC44A Lightning DAC</t>
        </is>
      </c>
      <c r="D699" t="inlineStr">
        <is>
          <t>4.4mm</t>
        </is>
      </c>
      <c r="E699" t="inlineStr">
        <is>
          <t>Oui</t>
        </is>
      </c>
      <c r="F699" t="inlineStr">
        <is>
          <t>https://headfonics.com/ddhifi-tc44a-lightning-dac-review/</t>
        </is>
      </c>
      <c r="G699" s="26" t="inlineStr">
        <is>
          <t>The input port is either lightning or a USB Type-C while the output port is a 4.4mm jack.</t>
        </is>
      </c>
      <c r="H699" t="inlineStr">
        <is>
          <t>2026-08-10</t>
        </is>
      </c>
    </row>
    <row r="700">
      <c r="A700" t="n">
        <v>112</v>
      </c>
      <c r="B700" t="inlineStr">
        <is>
          <t>ddHiFi</t>
        </is>
      </c>
      <c r="C700" t="inlineStr">
        <is>
          <t>TC44A Lightning DAC</t>
        </is>
      </c>
      <c r="D700" t="inlineStr">
        <is>
          <t>2.5mm</t>
        </is>
      </c>
      <c r="E700" t="inlineStr">
        <is>
          <t>Non</t>
        </is>
      </c>
      <c r="F700" t="inlineStr">
        <is>
          <t>https://headfonics.com/ddhifi-tc44a-lightning-dac-review/</t>
        </is>
      </c>
      <c r="G700" s="26" t="inlineStr">
        <is>
          <t>The input port is either lightning or a USB Type-C while the output port is a 4.4mm jack.</t>
        </is>
      </c>
      <c r="H700" t="inlineStr">
        <is>
          <t>2026-08-10</t>
        </is>
      </c>
    </row>
    <row r="701">
      <c r="A701" t="n">
        <v>112</v>
      </c>
      <c r="B701" t="inlineStr">
        <is>
          <t>ddHiFi</t>
        </is>
      </c>
      <c r="C701" t="inlineStr">
        <is>
          <t>TC44A Lightning DAC</t>
        </is>
      </c>
      <c r="D701" t="inlineStr">
        <is>
          <t>6.35mm</t>
        </is>
      </c>
      <c r="E701" t="inlineStr">
        <is>
          <t>Non</t>
        </is>
      </c>
      <c r="F701" t="inlineStr">
        <is>
          <t>https://headfonics.com/ddhifi-tc44a-lightning-dac-review/</t>
        </is>
      </c>
      <c r="G701" s="26" t="inlineStr">
        <is>
          <t>The input port is either lightning or a USB Type-C while the output port is a 4.4mm jack.</t>
        </is>
      </c>
      <c r="H701" t="inlineStr">
        <is>
          <t>2026-08-10</t>
        </is>
      </c>
    </row>
    <row r="702">
      <c r="A702" t="n">
        <v>112</v>
      </c>
      <c r="B702" t="inlineStr">
        <is>
          <t>ddHiFi</t>
        </is>
      </c>
      <c r="C702" t="inlineStr">
        <is>
          <t>TC44A Lightning DAC</t>
        </is>
      </c>
      <c r="D702" t="inlineStr">
        <is>
          <t>XLR</t>
        </is>
      </c>
      <c r="E702" t="inlineStr">
        <is>
          <t>Non</t>
        </is>
      </c>
      <c r="F702" t="inlineStr">
        <is>
          <t>https://headfonics.com/ddhifi-tc44a-lightning-dac-review/</t>
        </is>
      </c>
      <c r="G702" s="26" t="inlineStr">
        <is>
          <t>The input port is either lightning or a USB Type-C while the output port is a 4.4mm jack.</t>
        </is>
      </c>
      <c r="H702" t="inlineStr">
        <is>
          <t>2026-08-10</t>
        </is>
      </c>
    </row>
    <row r="703">
      <c r="A703" t="n">
        <v>112</v>
      </c>
      <c r="B703" t="inlineStr">
        <is>
          <t>ddHiFi</t>
        </is>
      </c>
      <c r="C703" t="inlineStr">
        <is>
          <t>TC44A Lightning DAC</t>
        </is>
      </c>
      <c r="D703" t="inlineStr">
        <is>
          <t>DSP/PEQ</t>
        </is>
      </c>
      <c r="E703" t="inlineStr">
        <is>
          <t>Non</t>
        </is>
      </c>
      <c r="F703" t="inlineStr">
        <is>
          <t>https://headfonics.com/ddhifi-tc44a-lightning-dac-review/</t>
        </is>
      </c>
      <c r="G703" s="26" t="inlineStr">
        <is>
          <t>There is no other control found in the DAC adapter.</t>
        </is>
      </c>
      <c r="H703" t="inlineStr">
        <is>
          <t>2026-08-10</t>
        </is>
      </c>
    </row>
    <row r="704">
      <c r="A704" t="n">
        <v>113</v>
      </c>
      <c r="B704" t="inlineStr">
        <is>
          <t>xDuoo</t>
        </is>
      </c>
      <c r="C704" t="inlineStr">
        <is>
          <t>Link2 Bal</t>
        </is>
      </c>
      <c r="D704" t="inlineStr">
        <is>
          <t>Bluetooth</t>
        </is>
      </c>
      <c r="E704" t="inlineStr">
        <is>
          <t>Non</t>
        </is>
      </c>
      <c r="F704" t="inlineStr">
        <is>
          <t>https://headfonics.com/xduoo-link2-bal-review/</t>
        </is>
      </c>
      <c r="G704" s="26" t="inlineStr">
        <is>
          <t>The I/O connection set consists of a common USB-C port for the sole input.</t>
        </is>
      </c>
      <c r="H704" t="inlineStr">
        <is>
          <t>2026-08-10</t>
        </is>
      </c>
    </row>
    <row r="705">
      <c r="A705" t="n">
        <v>113</v>
      </c>
      <c r="B705" t="inlineStr">
        <is>
          <t>xDuoo</t>
        </is>
      </c>
      <c r="C705" t="inlineStr">
        <is>
          <t>Link2 Bal</t>
        </is>
      </c>
      <c r="D705" t="inlineStr">
        <is>
          <t>3.5mm</t>
        </is>
      </c>
      <c r="E705" t="inlineStr">
        <is>
          <t>Oui</t>
        </is>
      </c>
      <c r="F705" t="inlineStr">
        <is>
          <t>https://headfonics.com/xduoo-link2-bal-review/</t>
        </is>
      </c>
      <c r="G705" s="26" t="inlineStr">
        <is>
          <t>The two output ports are a 3.5mm single-ended and a 4.4 balanced Pentaconn connection.</t>
        </is>
      </c>
      <c r="H705" t="inlineStr">
        <is>
          <t>2026-08-10</t>
        </is>
      </c>
    </row>
    <row r="706">
      <c r="A706" t="n">
        <v>113</v>
      </c>
      <c r="B706" t="inlineStr">
        <is>
          <t>xDuoo</t>
        </is>
      </c>
      <c r="C706" t="inlineStr">
        <is>
          <t>Link2 Bal</t>
        </is>
      </c>
      <c r="D706" t="inlineStr">
        <is>
          <t>4.4mm</t>
        </is>
      </c>
      <c r="E706" t="inlineStr">
        <is>
          <t>Oui</t>
        </is>
      </c>
      <c r="F706" t="inlineStr">
        <is>
          <t>https://headfonics.com/xduoo-link2-bal-review/</t>
        </is>
      </c>
      <c r="G706" s="26" t="inlineStr">
        <is>
          <t>The two output ports are a 3.5mm single-ended and a 4.4 balanced Pentaconn connection.</t>
        </is>
      </c>
      <c r="H706" t="inlineStr">
        <is>
          <t>2026-08-10</t>
        </is>
      </c>
    </row>
    <row r="707">
      <c r="A707" t="n">
        <v>113</v>
      </c>
      <c r="B707" t="inlineStr">
        <is>
          <t>xDuoo</t>
        </is>
      </c>
      <c r="C707" t="inlineStr">
        <is>
          <t>Link2 Bal</t>
        </is>
      </c>
      <c r="D707" t="inlineStr">
        <is>
          <t>2.5mm</t>
        </is>
      </c>
      <c r="E707" t="inlineStr">
        <is>
          <t>Non</t>
        </is>
      </c>
      <c r="F707" t="inlineStr">
        <is>
          <t>https://headfonics.com/xduoo-link2-bal-review/</t>
        </is>
      </c>
      <c r="G707" s="26" t="inlineStr">
        <is>
          <t>The two output ports are a 3.5mm single-ended and a 4.4 balanced Pentaconn connection.</t>
        </is>
      </c>
      <c r="H707" t="inlineStr">
        <is>
          <t>2026-08-10</t>
        </is>
      </c>
    </row>
    <row r="708">
      <c r="A708" t="n">
        <v>113</v>
      </c>
      <c r="B708" t="inlineStr">
        <is>
          <t>xDuoo</t>
        </is>
      </c>
      <c r="C708" t="inlineStr">
        <is>
          <t>Link2 Bal</t>
        </is>
      </c>
      <c r="D708" t="inlineStr">
        <is>
          <t>6.35mm</t>
        </is>
      </c>
      <c r="E708" t="inlineStr">
        <is>
          <t>Non</t>
        </is>
      </c>
      <c r="F708" t="inlineStr">
        <is>
          <t>https://headfonics.com/xduoo-link2-bal-review/</t>
        </is>
      </c>
      <c r="G708" s="26" t="inlineStr">
        <is>
          <t>The two output ports are a 3.5mm single-ended and a 4.4 balanced Pentaconn connection.</t>
        </is>
      </c>
      <c r="H708" t="inlineStr">
        <is>
          <t>2026-08-10</t>
        </is>
      </c>
    </row>
    <row r="709">
      <c r="A709" t="n">
        <v>113</v>
      </c>
      <c r="B709" t="inlineStr">
        <is>
          <t>xDuoo</t>
        </is>
      </c>
      <c r="C709" t="inlineStr">
        <is>
          <t>Link2 Bal</t>
        </is>
      </c>
      <c r="D709" t="inlineStr">
        <is>
          <t>XLR</t>
        </is>
      </c>
      <c r="E709" t="inlineStr">
        <is>
          <t>Non</t>
        </is>
      </c>
      <c r="F709" t="inlineStr">
        <is>
          <t>https://headfonics.com/xduoo-link2-bal-review/</t>
        </is>
      </c>
      <c r="G709" s="26" t="inlineStr">
        <is>
          <t>The two output ports are a 3.5mm single-ended and a 4.4 balanced Pentaconn connection.</t>
        </is>
      </c>
      <c r="H709" t="inlineStr">
        <is>
          <t>2026-08-10</t>
        </is>
      </c>
    </row>
    <row r="710">
      <c r="A710" t="n">
        <v>113</v>
      </c>
      <c r="B710" t="inlineStr">
        <is>
          <t>xDuoo</t>
        </is>
      </c>
      <c r="C710" t="inlineStr">
        <is>
          <t>Link2 Bal</t>
        </is>
      </c>
      <c r="D710" t="inlineStr">
        <is>
          <t>DSP/PEQ</t>
        </is>
      </c>
      <c r="E710" t="inlineStr">
        <is>
          <t>Non</t>
        </is>
      </c>
      <c r="F710" t="inlineStr">
        <is>
          <t>https://headfonics.com/xduoo-link2-bal-review/</t>
        </is>
      </c>
      <c r="G710" s="26" t="inlineStr">
        <is>
          <t>The Link2 Bal high gain seems particularly set for full-sized headphones and there is an app out there but it's just a 63-step gain control.</t>
        </is>
      </c>
      <c r="H710" t="inlineStr">
        <is>
          <t>2026-08-10</t>
        </is>
      </c>
    </row>
    <row r="711">
      <c r="A711" t="n">
        <v>114</v>
      </c>
      <c r="B711" t="inlineStr">
        <is>
          <t>Shanling</t>
        </is>
      </c>
      <c r="C711" t="inlineStr">
        <is>
          <t>UA3</t>
        </is>
      </c>
      <c r="D711" t="inlineStr">
        <is>
          <t>Bluetooth</t>
        </is>
      </c>
      <c r="E711" t="inlineStr">
        <is>
          <t>Non</t>
        </is>
      </c>
      <c r="F711" t="inlineStr">
        <is>
          <t>https://headfonics.com/shanling-ua3-review/</t>
        </is>
      </c>
      <c r="G711" s="26" t="inlineStr">
        <is>
          <t>On the bottom lies the female USB-C connection which is the input side.</t>
        </is>
      </c>
      <c r="H711" t="inlineStr">
        <is>
          <t>2026-08-10</t>
        </is>
      </c>
    </row>
    <row r="712">
      <c r="A712" t="n">
        <v>114</v>
      </c>
      <c r="B712" t="inlineStr">
        <is>
          <t>Shanling</t>
        </is>
      </c>
      <c r="C712" t="inlineStr">
        <is>
          <t>UA3</t>
        </is>
      </c>
      <c r="D712" t="inlineStr">
        <is>
          <t>3.5mm</t>
        </is>
      </c>
      <c r="E712" t="inlineStr">
        <is>
          <t>Oui</t>
        </is>
      </c>
      <c r="F712" t="inlineStr">
        <is>
          <t>https://headfonics.com/shanling-ua3-review/</t>
        </is>
      </c>
      <c r="G712" s="26" t="inlineStr">
        <is>
          <t>On the top, you can see the dual headphone connectivity consisting of a 4.4mm balanced output and a 3.5mm connection</t>
        </is>
      </c>
      <c r="H712" t="inlineStr">
        <is>
          <t>2026-08-10</t>
        </is>
      </c>
    </row>
    <row r="713">
      <c r="A713" t="n">
        <v>114</v>
      </c>
      <c r="B713" t="inlineStr">
        <is>
          <t>Shanling</t>
        </is>
      </c>
      <c r="C713" t="inlineStr">
        <is>
          <t>UA3</t>
        </is>
      </c>
      <c r="D713" t="inlineStr">
        <is>
          <t>4.4mm</t>
        </is>
      </c>
      <c r="E713" t="inlineStr">
        <is>
          <t>Oui</t>
        </is>
      </c>
      <c r="F713" t="inlineStr">
        <is>
          <t>https://headfonics.com/shanling-ua3-review/</t>
        </is>
      </c>
      <c r="G713" s="26" t="inlineStr">
        <is>
          <t>On the top, you can see the dual headphone connectivity consisting of a 4.4mm balanced output and a 3.5mm connection</t>
        </is>
      </c>
      <c r="H713" t="inlineStr">
        <is>
          <t>2026-08-10</t>
        </is>
      </c>
    </row>
    <row r="714">
      <c r="A714" t="n">
        <v>114</v>
      </c>
      <c r="B714" t="inlineStr">
        <is>
          <t>Shanling</t>
        </is>
      </c>
      <c r="C714" t="inlineStr">
        <is>
          <t>UA3</t>
        </is>
      </c>
      <c r="D714" t="inlineStr">
        <is>
          <t>2.5mm</t>
        </is>
      </c>
      <c r="E714" t="inlineStr">
        <is>
          <t>Non</t>
        </is>
      </c>
      <c r="F714" t="inlineStr">
        <is>
          <t>https://headfonics.com/shanling-ua3-review/</t>
        </is>
      </c>
      <c r="G714" s="26" t="inlineStr">
        <is>
          <t>On the top, you can see the dual headphone connectivity consisting of a 4.4mm balanced output and a 3.5mm connection</t>
        </is>
      </c>
      <c r="H714" t="inlineStr">
        <is>
          <t>2026-08-10</t>
        </is>
      </c>
    </row>
    <row r="715">
      <c r="A715" t="n">
        <v>114</v>
      </c>
      <c r="B715" t="inlineStr">
        <is>
          <t>Shanling</t>
        </is>
      </c>
      <c r="C715" t="inlineStr">
        <is>
          <t>UA3</t>
        </is>
      </c>
      <c r="D715" t="inlineStr">
        <is>
          <t>6.35mm</t>
        </is>
      </c>
      <c r="E715" t="inlineStr">
        <is>
          <t>Non</t>
        </is>
      </c>
      <c r="F715" t="inlineStr">
        <is>
          <t>https://headfonics.com/shanling-ua3-review/</t>
        </is>
      </c>
      <c r="G715" s="26" t="inlineStr">
        <is>
          <t>On the top, you can see the dual headphone connectivity consisting of a 4.4mm balanced output and a 3.5mm connection</t>
        </is>
      </c>
      <c r="H715" t="inlineStr">
        <is>
          <t>2026-08-10</t>
        </is>
      </c>
    </row>
    <row r="716">
      <c r="A716" t="n">
        <v>114</v>
      </c>
      <c r="B716" t="inlineStr">
        <is>
          <t>Shanling</t>
        </is>
      </c>
      <c r="C716" t="inlineStr">
        <is>
          <t>UA3</t>
        </is>
      </c>
      <c r="D716" t="inlineStr">
        <is>
          <t>XLR</t>
        </is>
      </c>
      <c r="E716" t="inlineStr">
        <is>
          <t>Non</t>
        </is>
      </c>
      <c r="F716" t="inlineStr">
        <is>
          <t>https://headfonics.com/shanling-ua3-review/</t>
        </is>
      </c>
      <c r="G716" s="26" t="inlineStr">
        <is>
          <t>On the top, you can see the dual headphone connectivity consisting of a 4.4mm balanced output and a 3.5mm connection</t>
        </is>
      </c>
      <c r="H716" t="inlineStr">
        <is>
          <t>2026-08-10</t>
        </is>
      </c>
    </row>
    <row r="717">
      <c r="A717" t="n">
        <v>115</v>
      </c>
      <c r="B717" t="inlineStr">
        <is>
          <t>HiBy</t>
        </is>
      </c>
      <c r="C717" t="inlineStr">
        <is>
          <t>FC4</t>
        </is>
      </c>
      <c r="D717" t="inlineStr">
        <is>
          <t>Bluetooth</t>
        </is>
      </c>
      <c r="E717" t="inlineStr">
        <is>
          <t>Non</t>
        </is>
      </c>
      <c r="F717" t="inlineStr">
        <is>
          <t>https://headfonics.com/hiby-fc4-review/</t>
        </is>
      </c>
      <c r="G717" s="26" t="inlineStr">
        <is>
          <t>Simply put there's a USB-C input port with two headphone output jacks, a 4.4mm Pentaconn, and a 3.5mm single-ended connection, both of which are controlled at a hardware level by the rocker-type volume control.</t>
        </is>
      </c>
      <c r="H717" t="inlineStr">
        <is>
          <t>2026-08-10</t>
        </is>
      </c>
    </row>
    <row r="718">
      <c r="A718" t="n">
        <v>115</v>
      </c>
      <c r="B718" t="inlineStr">
        <is>
          <t>HiBy</t>
        </is>
      </c>
      <c r="C718" t="inlineStr">
        <is>
          <t>FC4</t>
        </is>
      </c>
      <c r="D718" t="inlineStr">
        <is>
          <t>3.5mm</t>
        </is>
      </c>
      <c r="E718" t="inlineStr">
        <is>
          <t>Oui</t>
        </is>
      </c>
      <c r="F718" t="inlineStr">
        <is>
          <t>https://headfonics.com/hiby-fc4-review/</t>
        </is>
      </c>
      <c r="G718" s="26" t="inlineStr">
        <is>
          <t>Simply put there's a USB-C input port with two headphone output jacks, a 4.4mm Pentaconn, and a 3.5mm single-ended connection, both of which are controlled at a hardware level by the rocker-type volume control.</t>
        </is>
      </c>
      <c r="H718" t="inlineStr">
        <is>
          <t>2026-08-10</t>
        </is>
      </c>
    </row>
    <row r="719">
      <c r="A719" t="n">
        <v>115</v>
      </c>
      <c r="B719" t="inlineStr">
        <is>
          <t>HiBy</t>
        </is>
      </c>
      <c r="C719" t="inlineStr">
        <is>
          <t>FC4</t>
        </is>
      </c>
      <c r="D719" t="inlineStr">
        <is>
          <t>4.4mm</t>
        </is>
      </c>
      <c r="E719" t="inlineStr">
        <is>
          <t>Oui</t>
        </is>
      </c>
      <c r="F719" t="inlineStr">
        <is>
          <t>https://headfonics.com/hiby-fc4-review/</t>
        </is>
      </c>
      <c r="G719" s="26" t="inlineStr">
        <is>
          <t>Simply put there's a USB-C input port with two headphone output jacks, a 4.4mm Pentaconn, and a 3.5mm single-ended connection, both of which are controlled at a hardware level by the rocker-type volume control.</t>
        </is>
      </c>
      <c r="H719" t="inlineStr">
        <is>
          <t>2026-08-10</t>
        </is>
      </c>
    </row>
    <row r="720">
      <c r="A720" t="n">
        <v>115</v>
      </c>
      <c r="B720" t="inlineStr">
        <is>
          <t>HiBy</t>
        </is>
      </c>
      <c r="C720" t="inlineStr">
        <is>
          <t>FC4</t>
        </is>
      </c>
      <c r="D720" t="inlineStr">
        <is>
          <t>2.5mm</t>
        </is>
      </c>
      <c r="E720" t="inlineStr">
        <is>
          <t>Non</t>
        </is>
      </c>
      <c r="F720" t="inlineStr">
        <is>
          <t>https://headfonics.com/hiby-fc4-review/</t>
        </is>
      </c>
      <c r="G720" s="26" t="inlineStr">
        <is>
          <t>Simply put there's a USB-C input port with two headphone output jacks, a 4.4mm Pentaconn, and a 3.5mm single-ended connection, both of which are controlled at a hardware level by the rocker-type volume control.</t>
        </is>
      </c>
      <c r="H720" t="inlineStr">
        <is>
          <t>2026-08-10</t>
        </is>
      </c>
    </row>
    <row r="721">
      <c r="A721" t="n">
        <v>115</v>
      </c>
      <c r="B721" t="inlineStr">
        <is>
          <t>HiBy</t>
        </is>
      </c>
      <c r="C721" t="inlineStr">
        <is>
          <t>FC4</t>
        </is>
      </c>
      <c r="D721" t="inlineStr">
        <is>
          <t>6.35mm</t>
        </is>
      </c>
      <c r="E721" t="inlineStr">
        <is>
          <t>Non</t>
        </is>
      </c>
      <c r="F721" t="inlineStr">
        <is>
          <t>https://headfonics.com/hiby-fc4-review/</t>
        </is>
      </c>
      <c r="G721" s="26" t="inlineStr">
        <is>
          <t>Simply put there's a USB-C input port with two headphone output jacks, a 4.4mm Pentaconn, and a 3.5mm single-ended connection, both of which are controlled at a hardware level by the rocker-type volume control.</t>
        </is>
      </c>
      <c r="H721" t="inlineStr">
        <is>
          <t>2026-08-10</t>
        </is>
      </c>
    </row>
    <row r="722">
      <c r="A722" t="n">
        <v>115</v>
      </c>
      <c r="B722" t="inlineStr">
        <is>
          <t>HiBy</t>
        </is>
      </c>
      <c r="C722" t="inlineStr">
        <is>
          <t>FC4</t>
        </is>
      </c>
      <c r="D722" t="inlineStr">
        <is>
          <t>XLR</t>
        </is>
      </c>
      <c r="E722" t="inlineStr">
        <is>
          <t>Non</t>
        </is>
      </c>
      <c r="F722" t="inlineStr">
        <is>
          <t>https://headfonics.com/hiby-fc4-review/</t>
        </is>
      </c>
      <c r="G722" s="26" t="inlineStr">
        <is>
          <t>Simply put there's a USB-C input port with two headphone output jacks, a 4.4mm Pentaconn, and a 3.5mm single-ended connection, both of which are controlled at a hardware level by the rocker-type volume control.</t>
        </is>
      </c>
      <c r="H722" t="inlineStr">
        <is>
          <t>2026-08-10</t>
        </is>
      </c>
    </row>
    <row r="723">
      <c r="A723" t="n">
        <v>116</v>
      </c>
      <c r="B723" t="inlineStr">
        <is>
          <t>Questyle</t>
        </is>
      </c>
      <c r="C723" t="inlineStr">
        <is>
          <t>M15</t>
        </is>
      </c>
      <c r="D723" t="inlineStr">
        <is>
          <t>Bluetooth</t>
        </is>
      </c>
      <c r="E723" t="inlineStr">
        <is>
          <t>Non</t>
        </is>
      </c>
      <c r="F723" t="inlineStr">
        <is>
          <t>https://headfonics.com/questyle-m15-review/</t>
        </is>
      </c>
      <c r="G723" s="26" t="inlineStr">
        <is>
          <t>The M15 keeps it simple like most dongles for I/O with two PO and a single USB-C digital input.</t>
        </is>
      </c>
      <c r="H723" t="inlineStr">
        <is>
          <t>2026-08-10</t>
        </is>
      </c>
    </row>
    <row r="724">
      <c r="A724" t="n">
        <v>116</v>
      </c>
      <c r="B724" t="inlineStr">
        <is>
          <t>Questyle</t>
        </is>
      </c>
      <c r="C724" t="inlineStr">
        <is>
          <t>M15</t>
        </is>
      </c>
      <c r="D724" t="inlineStr">
        <is>
          <t>3.5mm</t>
        </is>
      </c>
      <c r="E724" t="inlineStr">
        <is>
          <t>Oui</t>
        </is>
      </c>
      <c r="F724" t="inlineStr">
        <is>
          <t>https://headfonics.com/questyle-m15-review/</t>
        </is>
      </c>
      <c r="G724" s="26" t="inlineStr">
        <is>
          <t>The two PO to the front are 4.4mm Pentaconn for balanced output and 3.5mm TRS for single-ended output.</t>
        </is>
      </c>
      <c r="H724" t="inlineStr">
        <is>
          <t>2026-08-10</t>
        </is>
      </c>
    </row>
    <row r="725">
      <c r="A725" t="n">
        <v>116</v>
      </c>
      <c r="B725" t="inlineStr">
        <is>
          <t>Questyle</t>
        </is>
      </c>
      <c r="C725" t="inlineStr">
        <is>
          <t>M15</t>
        </is>
      </c>
      <c r="D725" t="inlineStr">
        <is>
          <t>4.4mm</t>
        </is>
      </c>
      <c r="E725" t="inlineStr">
        <is>
          <t>Oui</t>
        </is>
      </c>
      <c r="F725" t="inlineStr">
        <is>
          <t>https://headfonics.com/questyle-m15-review/</t>
        </is>
      </c>
      <c r="G725" s="26" t="inlineStr">
        <is>
          <t>The two PO to the front are 4.4mm Pentaconn for balanced output and 3.5mm TRS for single-ended output.</t>
        </is>
      </c>
      <c r="H725" t="inlineStr">
        <is>
          <t>2026-08-10</t>
        </is>
      </c>
    </row>
    <row r="726">
      <c r="A726" t="n">
        <v>116</v>
      </c>
      <c r="B726" t="inlineStr">
        <is>
          <t>Questyle</t>
        </is>
      </c>
      <c r="C726" t="inlineStr">
        <is>
          <t>M15</t>
        </is>
      </c>
      <c r="D726" t="inlineStr">
        <is>
          <t>2.5mm</t>
        </is>
      </c>
      <c r="E726" t="inlineStr">
        <is>
          <t>Non</t>
        </is>
      </c>
      <c r="F726" t="inlineStr">
        <is>
          <t>https://headfonics.com/questyle-m15-review/</t>
        </is>
      </c>
      <c r="G726" s="26" t="inlineStr">
        <is>
          <t>The M15 keeps it simple like most dongles for I/O with two PO and a single USB-C digital input. ... The two PO to the front are 4.4mm Pentaconn for balanced output and 3.5mm TRS for single-ended output.</t>
        </is>
      </c>
      <c r="H726" t="inlineStr">
        <is>
          <t>2026-08-10</t>
        </is>
      </c>
    </row>
    <row r="727">
      <c r="A727" t="n">
        <v>116</v>
      </c>
      <c r="B727" t="inlineStr">
        <is>
          <t>Questyle</t>
        </is>
      </c>
      <c r="C727" t="inlineStr">
        <is>
          <t>M15</t>
        </is>
      </c>
      <c r="D727" t="inlineStr">
        <is>
          <t>6.35mm</t>
        </is>
      </c>
      <c r="E727" t="inlineStr">
        <is>
          <t>Non</t>
        </is>
      </c>
      <c r="F727" t="inlineStr">
        <is>
          <t>https://headfonics.com/questyle-m15-review/</t>
        </is>
      </c>
      <c r="G727" s="26" t="inlineStr">
        <is>
          <t>The M15 keeps it simple like most dongles for I/O with two PO and a single USB-C digital input. ... The two PO to the front are 4.4mm Pentaconn for balanced output and 3.5mm TRS for single-ended output.</t>
        </is>
      </c>
      <c r="H727" t="inlineStr">
        <is>
          <t>2026-08-10</t>
        </is>
      </c>
    </row>
    <row r="728">
      <c r="A728" t="n">
        <v>116</v>
      </c>
      <c r="B728" t="inlineStr">
        <is>
          <t>Questyle</t>
        </is>
      </c>
      <c r="C728" t="inlineStr">
        <is>
          <t>M15</t>
        </is>
      </c>
      <c r="D728" t="inlineStr">
        <is>
          <t>XLR</t>
        </is>
      </c>
      <c r="E728" t="inlineStr">
        <is>
          <t>Non</t>
        </is>
      </c>
      <c r="F728" t="inlineStr">
        <is>
          <t>https://headfonics.com/questyle-m15-review/</t>
        </is>
      </c>
      <c r="G728" s="26" t="inlineStr">
        <is>
          <t>The M15 keeps it simple like most dongles for I/O with two PO and a single USB-C digital input. ... The two PO to the front are 4.4mm Pentaconn for balanced output and 3.5mm TRS for single-ended output.</t>
        </is>
      </c>
      <c r="H728" t="inlineStr">
        <is>
          <t>2026-08-10</t>
        </is>
      </c>
    </row>
    <row r="729">
      <c r="A729" t="n">
        <v>116</v>
      </c>
      <c r="B729" t="inlineStr">
        <is>
          <t>Questyle</t>
        </is>
      </c>
      <c r="C729" t="inlineStr">
        <is>
          <t>M15</t>
        </is>
      </c>
      <c r="D729" t="inlineStr">
        <is>
          <t>DSP/PEQ</t>
        </is>
      </c>
      <c r="E729" t="inlineStr">
        <is>
          <t>Non</t>
        </is>
      </c>
      <c r="F729" t="inlineStr">
        <is>
          <t>https://headfonics.com/questyle-m15-review/</t>
        </is>
      </c>
      <c r="G729" s="26" t="inlineStr">
        <is>
          <t>Sadly, there is not much in the way of external volume, LCD screen, or DSP control with the M15. Unlike some of the competition, this is a feature-free dongle with only a manual 2-step gain control on the side panel</t>
        </is>
      </c>
      <c r="H729" t="inlineStr">
        <is>
          <t>2026-08-10</t>
        </is>
      </c>
    </row>
    <row r="730">
      <c r="A730" t="n">
        <v>117</v>
      </c>
      <c r="B730" t="inlineStr">
        <is>
          <t>iBasso</t>
        </is>
      </c>
      <c r="C730" t="inlineStr">
        <is>
          <t>DC06</t>
        </is>
      </c>
      <c r="D730" t="inlineStr">
        <is>
          <t>Bluetooth</t>
        </is>
      </c>
      <c r="E730" t="inlineStr">
        <is>
          <t>Non</t>
        </is>
      </c>
      <c r="F730" t="inlineStr">
        <is>
          <t>https://headfonics.com/ibasso-dc06-review/</t>
        </is>
      </c>
      <c r="G730" s="26" t="inlineStr">
        <is>
          <t>The iBasso DC06 has the 4.4mm balanced out and the 3.5mm single-ended out from both previous models on one end and a female USB-C port on the other end of the dongle.</t>
        </is>
      </c>
      <c r="H730" t="inlineStr">
        <is>
          <t>2026-08-10</t>
        </is>
      </c>
    </row>
    <row r="731">
      <c r="A731" t="n">
        <v>117</v>
      </c>
      <c r="B731" t="inlineStr">
        <is>
          <t>iBasso</t>
        </is>
      </c>
      <c r="C731" t="inlineStr">
        <is>
          <t>DC06</t>
        </is>
      </c>
      <c r="D731" t="inlineStr">
        <is>
          <t>3.5mm</t>
        </is>
      </c>
      <c r="E731" t="inlineStr">
        <is>
          <t>Oui</t>
        </is>
      </c>
      <c r="F731" t="inlineStr">
        <is>
          <t>https://headfonics.com/ibasso-dc06-review/</t>
        </is>
      </c>
      <c r="G731" s="26" t="inlineStr">
        <is>
          <t>The iBasso DC06 has the 4.4mm balanced out and the 3.5mm single-ended out from both previous models on one end and a female USB-C port on the other end of the dongle.</t>
        </is>
      </c>
      <c r="H731" t="inlineStr">
        <is>
          <t>2026-08-10</t>
        </is>
      </c>
    </row>
    <row r="732">
      <c r="A732" t="n">
        <v>117</v>
      </c>
      <c r="B732" t="inlineStr">
        <is>
          <t>iBasso</t>
        </is>
      </c>
      <c r="C732" t="inlineStr">
        <is>
          <t>DC06</t>
        </is>
      </c>
      <c r="D732" t="inlineStr">
        <is>
          <t>4.4mm</t>
        </is>
      </c>
      <c r="E732" t="inlineStr">
        <is>
          <t>Oui</t>
        </is>
      </c>
      <c r="F732" t="inlineStr">
        <is>
          <t>https://headfonics.com/ibasso-dc06-review/</t>
        </is>
      </c>
      <c r="G732" s="26" t="inlineStr">
        <is>
          <t>The iBasso DC06 has the 4.4mm balanced out and the 3.5mm single-ended out from both previous models on one end and a female USB-C port on the other end of the dongle.</t>
        </is>
      </c>
      <c r="H732" t="inlineStr">
        <is>
          <t>2026-08-10</t>
        </is>
      </c>
    </row>
    <row r="733">
      <c r="A733" t="n">
        <v>117</v>
      </c>
      <c r="B733" t="inlineStr">
        <is>
          <t>iBasso</t>
        </is>
      </c>
      <c r="C733" t="inlineStr">
        <is>
          <t>DC06</t>
        </is>
      </c>
      <c r="D733" t="inlineStr">
        <is>
          <t>2.5mm</t>
        </is>
      </c>
      <c r="E733" t="inlineStr">
        <is>
          <t>Non</t>
        </is>
      </c>
      <c r="F733" t="inlineStr">
        <is>
          <t>https://headfonics.com/ibasso-dc06-review/</t>
        </is>
      </c>
      <c r="G733" s="26" t="inlineStr">
        <is>
          <t>The iBasso DC06 has the 4.4mm balanced out and the 3.5mm single-ended out from both previous models on one end and a female USB-C port on the other end of the dongle.</t>
        </is>
      </c>
      <c r="H733" t="inlineStr">
        <is>
          <t>2026-08-10</t>
        </is>
      </c>
    </row>
    <row r="734">
      <c r="A734" t="n">
        <v>117</v>
      </c>
      <c r="B734" t="inlineStr">
        <is>
          <t>iBasso</t>
        </is>
      </c>
      <c r="C734" t="inlineStr">
        <is>
          <t>DC06</t>
        </is>
      </c>
      <c r="D734" t="inlineStr">
        <is>
          <t>6.35mm</t>
        </is>
      </c>
      <c r="E734" t="inlineStr">
        <is>
          <t>Non</t>
        </is>
      </c>
      <c r="F734" t="inlineStr">
        <is>
          <t>https://headfonics.com/ibasso-dc06-review/</t>
        </is>
      </c>
      <c r="G734" s="26" t="inlineStr">
        <is>
          <t>The iBasso DC06 has the 4.4mm balanced out and the 3.5mm single-ended out from both previous models on one end and a female USB-C port on the other end of the dongle.</t>
        </is>
      </c>
      <c r="H734" t="inlineStr">
        <is>
          <t>2026-08-10</t>
        </is>
      </c>
    </row>
    <row r="735">
      <c r="A735" t="n">
        <v>117</v>
      </c>
      <c r="B735" t="inlineStr">
        <is>
          <t>iBasso</t>
        </is>
      </c>
      <c r="C735" t="inlineStr">
        <is>
          <t>DC06</t>
        </is>
      </c>
      <c r="D735" t="inlineStr">
        <is>
          <t>XLR</t>
        </is>
      </c>
      <c r="E735" t="inlineStr">
        <is>
          <t>Non</t>
        </is>
      </c>
      <c r="F735" t="inlineStr">
        <is>
          <t>https://headfonics.com/ibasso-dc06-review/</t>
        </is>
      </c>
      <c r="G735" s="26" t="inlineStr">
        <is>
          <t>The iBasso DC06 has the 4.4mm balanced out and the 3.5mm single-ended out from both previous models on one end and a female USB-C port on the other end of the dongle.</t>
        </is>
      </c>
      <c r="H735" t="inlineStr">
        <is>
          <t>2026-08-10</t>
        </is>
      </c>
    </row>
    <row r="736">
      <c r="A736" t="n">
        <v>118</v>
      </c>
      <c r="B736" t="inlineStr">
        <is>
          <t>Topping</t>
        </is>
      </c>
      <c r="C736" t="inlineStr">
        <is>
          <t>NX7</t>
        </is>
      </c>
      <c r="D736" t="inlineStr">
        <is>
          <t>Batterie</t>
        </is>
      </c>
      <c r="E736" t="inlineStr">
        <is>
          <t>Oui</t>
        </is>
      </c>
      <c r="F736" t="inlineStr">
        <is>
          <t>https://headfonics.com/topping-nx7-review/</t>
        </is>
      </c>
      <c r="G736" s="26" t="inlineStr">
        <is>
          <t>The NX7 comes with a built-in rechargeable 4000mAh battery which is incorporated to exclusively power the unit.</t>
        </is>
      </c>
      <c r="H736" t="inlineStr">
        <is>
          <t>2026-08-10</t>
        </is>
      </c>
    </row>
    <row r="737">
      <c r="A737" t="n">
        <v>118</v>
      </c>
      <c r="B737" t="inlineStr">
        <is>
          <t>Topping</t>
        </is>
      </c>
      <c r="C737" t="inlineStr">
        <is>
          <t>NX7</t>
        </is>
      </c>
      <c r="D737" t="inlineStr">
        <is>
          <t>Bluetooth</t>
        </is>
      </c>
      <c r="E737" t="inlineStr">
        <is>
          <t>Non</t>
        </is>
      </c>
      <c r="F737" t="inlineStr">
        <is>
          <t>https://headfonics.com/topping-nx7-review/</t>
        </is>
      </c>
      <c r="G737" s="26" t="inlineStr">
        <is>
          <t>On the front panel sit, 3 gold-plated ports. Two of them are 3.5mm single-ended and designated input and output ports. There's also a 4.4mm balanced output port but no balanced input since this is a single-ended amplification circuit.</t>
        </is>
      </c>
      <c r="H737" t="inlineStr">
        <is>
          <t>2026-08-10</t>
        </is>
      </c>
    </row>
    <row r="738">
      <c r="A738" t="n">
        <v>118</v>
      </c>
      <c r="B738" t="inlineStr">
        <is>
          <t>Topping</t>
        </is>
      </c>
      <c r="C738" t="inlineStr">
        <is>
          <t>NX7</t>
        </is>
      </c>
      <c r="D738" t="inlineStr">
        <is>
          <t>3.5mm</t>
        </is>
      </c>
      <c r="E738" t="inlineStr">
        <is>
          <t>Oui</t>
        </is>
      </c>
      <c r="F738" t="inlineStr">
        <is>
          <t>https://headfonics.com/topping-nx7-review/</t>
        </is>
      </c>
      <c r="G738" s="26" t="inlineStr">
        <is>
          <t>On the front panel sit, 3 gold-plated ports. Two of them are 3.5mm single-ended and designated input and output ports. There's also a 4.4mm balanced output port but no balanced input since this is a single-ended amplification circuit.</t>
        </is>
      </c>
      <c r="H738" t="inlineStr">
        <is>
          <t>2026-08-10</t>
        </is>
      </c>
    </row>
    <row r="739">
      <c r="A739" t="n">
        <v>118</v>
      </c>
      <c r="B739" t="inlineStr">
        <is>
          <t>Topping</t>
        </is>
      </c>
      <c r="C739" t="inlineStr">
        <is>
          <t>NX7</t>
        </is>
      </c>
      <c r="D739" t="inlineStr">
        <is>
          <t>4.4mm</t>
        </is>
      </c>
      <c r="E739" t="inlineStr">
        <is>
          <t>Oui</t>
        </is>
      </c>
      <c r="F739" t="inlineStr">
        <is>
          <t>https://headfonics.com/topping-nx7-review/</t>
        </is>
      </c>
      <c r="G739" s="26" t="inlineStr">
        <is>
          <t>On the front panel sit, 3 gold-plated ports. Two of them are 3.5mm single-ended and designated input and output ports. There's also a 4.4mm balanced output port but no balanced input since this is a single-ended amplification circuit.</t>
        </is>
      </c>
      <c r="H739" t="inlineStr">
        <is>
          <t>2026-08-10</t>
        </is>
      </c>
    </row>
    <row r="740">
      <c r="A740" t="n">
        <v>118</v>
      </c>
      <c r="B740" t="inlineStr">
        <is>
          <t>Topping</t>
        </is>
      </c>
      <c r="C740" t="inlineStr">
        <is>
          <t>NX7</t>
        </is>
      </c>
      <c r="D740" t="inlineStr">
        <is>
          <t>2.5mm</t>
        </is>
      </c>
      <c r="E740" t="inlineStr">
        <is>
          <t>Non</t>
        </is>
      </c>
      <c r="F740" t="inlineStr">
        <is>
          <t>https://headfonics.com/topping-nx7-review/</t>
        </is>
      </c>
      <c r="G740" s="26" t="inlineStr">
        <is>
          <t>On the front panel sit, 3 gold-plated ports. Two of them are 3.5mm single-ended and designated input and output ports. There's also a 4.4mm balanced output port but no balanced input since this is a single-ended amplification circuit.</t>
        </is>
      </c>
      <c r="H740" t="inlineStr">
        <is>
          <t>2026-08-10</t>
        </is>
      </c>
    </row>
    <row r="741">
      <c r="A741" t="n">
        <v>118</v>
      </c>
      <c r="B741" t="inlineStr">
        <is>
          <t>Topping</t>
        </is>
      </c>
      <c r="C741" t="inlineStr">
        <is>
          <t>NX7</t>
        </is>
      </c>
      <c r="D741" t="inlineStr">
        <is>
          <t>6.35mm</t>
        </is>
      </c>
      <c r="E741" t="inlineStr">
        <is>
          <t>Non</t>
        </is>
      </c>
      <c r="F741" t="inlineStr">
        <is>
          <t>https://headfonics.com/topping-nx7-review/</t>
        </is>
      </c>
      <c r="G741" s="26" t="inlineStr">
        <is>
          <t>On the front panel sit, 3 gold-plated ports. Two of them are 3.5mm single-ended and designated input and output ports. There's also a 4.4mm balanced output port but no balanced input since this is a single-ended amplification circuit.</t>
        </is>
      </c>
      <c r="H741" t="inlineStr">
        <is>
          <t>2026-08-10</t>
        </is>
      </c>
    </row>
    <row r="742">
      <c r="A742" t="n">
        <v>118</v>
      </c>
      <c r="B742" t="inlineStr">
        <is>
          <t>Topping</t>
        </is>
      </c>
      <c r="C742" t="inlineStr">
        <is>
          <t>NX7</t>
        </is>
      </c>
      <c r="D742" t="inlineStr">
        <is>
          <t>XLR</t>
        </is>
      </c>
      <c r="E742" t="inlineStr">
        <is>
          <t>Non</t>
        </is>
      </c>
      <c r="F742" t="inlineStr">
        <is>
          <t>https://headfonics.com/topping-nx7-review/</t>
        </is>
      </c>
      <c r="G742" s="26" t="inlineStr">
        <is>
          <t>On the front panel sit, 3 gold-plated ports. Two of them are 3.5mm single-ended and designated input and output ports. There's also a 4.4mm balanced output port but no balanced input since this is a single-ended amplification circuit.</t>
        </is>
      </c>
      <c r="H742" t="inlineStr">
        <is>
          <t>2026-08-10</t>
        </is>
      </c>
    </row>
    <row r="743">
      <c r="A743" t="n">
        <v>118</v>
      </c>
      <c r="B743" t="inlineStr">
        <is>
          <t>Topping</t>
        </is>
      </c>
      <c r="C743" t="inlineStr">
        <is>
          <t>NX7</t>
        </is>
      </c>
      <c r="D743" t="inlineStr">
        <is>
          <t>DSP/PEQ</t>
        </is>
      </c>
      <c r="E743" t="inlineStr">
        <is>
          <t>Non</t>
        </is>
      </c>
      <c r="F743" t="inlineStr">
        <is>
          <t>https://headfonics.com/topping-nx7-review/</t>
        </is>
      </c>
      <c r="G743" s="26" t="inlineStr">
        <is>
          <t>Remember, that USB-C port is just for charging the internal battery and there is no DAC inside this unit.</t>
        </is>
      </c>
      <c r="H743" t="inlineStr">
        <is>
          <t>2026-08-10</t>
        </is>
      </c>
    </row>
    <row r="744">
      <c r="A744" t="n">
        <v>119</v>
      </c>
      <c r="B744" t="inlineStr">
        <is>
          <t>Moondrop</t>
        </is>
      </c>
      <c r="C744" t="inlineStr">
        <is>
          <t>MoonRiver 2</t>
        </is>
      </c>
      <c r="D744" t="inlineStr">
        <is>
          <t>Bluetooth</t>
        </is>
      </c>
      <c r="E744" t="inlineStr">
        <is>
          <t>Non</t>
        </is>
      </c>
      <c r="F744" t="inlineStr">
        <is>
          <t>https://headfonics.com/moondrop-moonriver-2-review/</t>
        </is>
      </c>
      <c r="G744" s="26" t="inlineStr">
        <is>
          <t>Just as most dongle DACs of today the MoonRiver 2 has dual jacks, a 3.5mm single-ended plus a 4.4mm balanced headphone output on one end with a USB-C on the other end which acts as the input.</t>
        </is>
      </c>
      <c r="H744" t="inlineStr">
        <is>
          <t>2026-08-10</t>
        </is>
      </c>
    </row>
    <row r="745">
      <c r="A745" t="n">
        <v>119</v>
      </c>
      <c r="B745" t="inlineStr">
        <is>
          <t>Moondrop</t>
        </is>
      </c>
      <c r="C745" t="inlineStr">
        <is>
          <t>MoonRiver 2</t>
        </is>
      </c>
      <c r="D745" t="inlineStr">
        <is>
          <t>3.5mm</t>
        </is>
      </c>
      <c r="E745" t="inlineStr">
        <is>
          <t>Oui</t>
        </is>
      </c>
      <c r="F745" t="inlineStr">
        <is>
          <t>https://headfonics.com/moondrop-moonriver-2-review/</t>
        </is>
      </c>
      <c r="G745" s="26" t="inlineStr">
        <is>
          <t>Just as most dongle DACs of today the MoonRiver 2 has dual jacks, a 3.5mm single-ended plus a 4.4mm balanced headphone output on one end with a USB-C on the other end which acts as the input.</t>
        </is>
      </c>
      <c r="H745" t="inlineStr">
        <is>
          <t>2026-08-10</t>
        </is>
      </c>
    </row>
    <row r="746">
      <c r="A746" t="n">
        <v>119</v>
      </c>
      <c r="B746" t="inlineStr">
        <is>
          <t>Moondrop</t>
        </is>
      </c>
      <c r="C746" t="inlineStr">
        <is>
          <t>MoonRiver 2</t>
        </is>
      </c>
      <c r="D746" t="inlineStr">
        <is>
          <t>4.4mm</t>
        </is>
      </c>
      <c r="E746" t="inlineStr">
        <is>
          <t>Oui</t>
        </is>
      </c>
      <c r="F746" t="inlineStr">
        <is>
          <t>https://headfonics.com/moondrop-moonriver-2-review/</t>
        </is>
      </c>
      <c r="G746" s="26" t="inlineStr">
        <is>
          <t>Just as most dongle DACs of today the MoonRiver 2 has dual jacks, a 3.5mm single-ended plus a 4.4mm balanced headphone output on one end with a USB-C on the other end which acts as the input.</t>
        </is>
      </c>
      <c r="H746" t="inlineStr">
        <is>
          <t>2026-08-10</t>
        </is>
      </c>
    </row>
    <row r="747">
      <c r="A747" t="n">
        <v>119</v>
      </c>
      <c r="B747" t="inlineStr">
        <is>
          <t>Moondrop</t>
        </is>
      </c>
      <c r="C747" t="inlineStr">
        <is>
          <t>MoonRiver 2</t>
        </is>
      </c>
      <c r="D747" t="inlineStr">
        <is>
          <t>2.5mm</t>
        </is>
      </c>
      <c r="E747" t="inlineStr">
        <is>
          <t>Non</t>
        </is>
      </c>
      <c r="F747" t="inlineStr">
        <is>
          <t>https://headfonics.com/moondrop-moonriver-2-review/</t>
        </is>
      </c>
      <c r="G747" s="26" t="inlineStr">
        <is>
          <t>Just as most dongle DACs of today the MoonRiver 2 has dual jacks, a 3.5mm single-ended plus a 4.4mm balanced headphone output on one end with a USB-C on the other end which acts as the input.</t>
        </is>
      </c>
      <c r="H747" t="inlineStr">
        <is>
          <t>2026-08-10</t>
        </is>
      </c>
    </row>
    <row r="748">
      <c r="A748" t="n">
        <v>119</v>
      </c>
      <c r="B748" t="inlineStr">
        <is>
          <t>Moondrop</t>
        </is>
      </c>
      <c r="C748" t="inlineStr">
        <is>
          <t>MoonRiver 2</t>
        </is>
      </c>
      <c r="D748" t="inlineStr">
        <is>
          <t>6.35mm</t>
        </is>
      </c>
      <c r="E748" t="inlineStr">
        <is>
          <t>Non</t>
        </is>
      </c>
      <c r="F748" t="inlineStr">
        <is>
          <t>https://headfonics.com/moondrop-moonriver-2-review/</t>
        </is>
      </c>
      <c r="G748" s="26" t="inlineStr">
        <is>
          <t>Just as most dongle DACs of today the MoonRiver 2 has dual jacks, a 3.5mm single-ended plus a 4.4mm balanced headphone output on one end with a USB-C on the other end which acts as the input.</t>
        </is>
      </c>
      <c r="H748" t="inlineStr">
        <is>
          <t>2026-08-10</t>
        </is>
      </c>
    </row>
    <row r="749">
      <c r="A749" t="n">
        <v>119</v>
      </c>
      <c r="B749" t="inlineStr">
        <is>
          <t>Moondrop</t>
        </is>
      </c>
      <c r="C749" t="inlineStr">
        <is>
          <t>MoonRiver 2</t>
        </is>
      </c>
      <c r="D749" t="inlineStr">
        <is>
          <t>XLR</t>
        </is>
      </c>
      <c r="E749" t="inlineStr">
        <is>
          <t>Non</t>
        </is>
      </c>
      <c r="F749" t="inlineStr">
        <is>
          <t>https://headfonics.com/moondrop-moonriver-2-review/</t>
        </is>
      </c>
      <c r="G749" s="26" t="inlineStr">
        <is>
          <t>Just as most dongle DACs of today the MoonRiver 2 has dual jacks, a 3.5mm single-ended plus a 4.4mm balanced headphone output on one end with a USB-C on the other end which acts as the input.</t>
        </is>
      </c>
      <c r="H749" t="inlineStr">
        <is>
          <t>2026-08-10</t>
        </is>
      </c>
    </row>
    <row r="750">
      <c r="A750" t="n">
        <v>120</v>
      </c>
      <c r="B750" t="inlineStr">
        <is>
          <t>Colorfly</t>
        </is>
      </c>
      <c r="C750" t="inlineStr">
        <is>
          <t>CDA M1</t>
        </is>
      </c>
      <c r="D750" t="inlineStr">
        <is>
          <t>Batterie</t>
        </is>
      </c>
      <c r="E750" t="inlineStr">
        <is>
          <t>Non</t>
        </is>
      </c>
      <c r="F750" t="inlineStr">
        <is>
          <t>https://headfonics.com/colorfly-cda-m1-review/</t>
        </is>
      </c>
      <c r="G750" s="26" t="inlineStr">
        <is>
          <t>However, when I observed power consumption off my mobile device all I could see was an average of 1% drain every 5 minutes or so with loud or medium volume music listening and that's not too bad.</t>
        </is>
      </c>
      <c r="H750" t="inlineStr">
        <is>
          <t>2026-08-10</t>
        </is>
      </c>
    </row>
    <row r="751">
      <c r="A751" t="n">
        <v>120</v>
      </c>
      <c r="B751" t="inlineStr">
        <is>
          <t>Colorfly</t>
        </is>
      </c>
      <c r="C751" t="inlineStr">
        <is>
          <t>CDA M1</t>
        </is>
      </c>
      <c r="D751" t="inlineStr">
        <is>
          <t>Bluetooth</t>
        </is>
      </c>
      <c r="E751" t="inlineStr">
        <is>
          <t>Non</t>
        </is>
      </c>
      <c r="F751" t="inlineStr">
        <is>
          <t>https://headfonics.com/colorfly-cda-m1-review/</t>
        </is>
      </c>
      <c r="G751" s="26" t="inlineStr">
        <is>
          <t>One end of the device which is the input side has a USB-C female port and the other end cap has two headphone outputs, a 3.5mm single-ended and a 4.4 Pentaconn balanced connection which has twice the power output of the SE side.</t>
        </is>
      </c>
      <c r="H751" t="inlineStr">
        <is>
          <t>2026-08-10</t>
        </is>
      </c>
    </row>
    <row r="752">
      <c r="A752" t="n">
        <v>120</v>
      </c>
      <c r="B752" t="inlineStr">
        <is>
          <t>Colorfly</t>
        </is>
      </c>
      <c r="C752" t="inlineStr">
        <is>
          <t>CDA M1</t>
        </is>
      </c>
      <c r="D752" t="inlineStr">
        <is>
          <t>3.5mm</t>
        </is>
      </c>
      <c r="E752" t="inlineStr">
        <is>
          <t>Oui</t>
        </is>
      </c>
      <c r="F752" t="inlineStr">
        <is>
          <t>https://headfonics.com/colorfly-cda-m1-review/</t>
        </is>
      </c>
      <c r="G752" s="26" t="inlineStr">
        <is>
          <t>One end of the device which is the input side has a USB-C female port and the other end cap has two headphone outputs, a 3.5mm single-ended and a 4.4 Pentaconn balanced connection which has twice the power output of the SE side.</t>
        </is>
      </c>
      <c r="H752" t="inlineStr">
        <is>
          <t>2026-08-10</t>
        </is>
      </c>
    </row>
    <row r="753">
      <c r="A753" t="n">
        <v>120</v>
      </c>
      <c r="B753" t="inlineStr">
        <is>
          <t>Colorfly</t>
        </is>
      </c>
      <c r="C753" t="inlineStr">
        <is>
          <t>CDA M1</t>
        </is>
      </c>
      <c r="D753" t="inlineStr">
        <is>
          <t>4.4mm</t>
        </is>
      </c>
      <c r="E753" t="inlineStr">
        <is>
          <t>Oui</t>
        </is>
      </c>
      <c r="F753" t="inlineStr">
        <is>
          <t>https://headfonics.com/colorfly-cda-m1-review/</t>
        </is>
      </c>
      <c r="G753" s="26" t="inlineStr">
        <is>
          <t>One end of the device which is the input side has a USB-C female port and the other end cap has two headphone outputs, a 3.5mm single-ended and a 4.4 Pentaconn balanced connection which has twice the power output of the SE side.</t>
        </is>
      </c>
      <c r="H753" t="inlineStr">
        <is>
          <t>2026-08-10</t>
        </is>
      </c>
    </row>
    <row r="754">
      <c r="A754" t="n">
        <v>120</v>
      </c>
      <c r="B754" t="inlineStr">
        <is>
          <t>Colorfly</t>
        </is>
      </c>
      <c r="C754" t="inlineStr">
        <is>
          <t>CDA M1</t>
        </is>
      </c>
      <c r="D754" t="inlineStr">
        <is>
          <t>2.5mm</t>
        </is>
      </c>
      <c r="E754" t="inlineStr">
        <is>
          <t>Non</t>
        </is>
      </c>
      <c r="F754" t="inlineStr">
        <is>
          <t>https://headfonics.com/colorfly-cda-m1-review/</t>
        </is>
      </c>
      <c r="G754" s="26" t="inlineStr">
        <is>
          <t>One end of the device which is the input side has a USB-C female port and the other end cap has two headphone outputs, a 3.5mm single-ended and a 4.4 Pentaconn balanced connection which has twice the power output of the SE side.</t>
        </is>
      </c>
      <c r="H754" t="inlineStr">
        <is>
          <t>2026-08-10</t>
        </is>
      </c>
    </row>
    <row r="755">
      <c r="A755" t="n">
        <v>120</v>
      </c>
      <c r="B755" t="inlineStr">
        <is>
          <t>Colorfly</t>
        </is>
      </c>
      <c r="C755" t="inlineStr">
        <is>
          <t>CDA M1</t>
        </is>
      </c>
      <c r="D755" t="inlineStr">
        <is>
          <t>6.35mm</t>
        </is>
      </c>
      <c r="E755" t="inlineStr">
        <is>
          <t>Non</t>
        </is>
      </c>
      <c r="F755" t="inlineStr">
        <is>
          <t>https://headfonics.com/colorfly-cda-m1-review/</t>
        </is>
      </c>
      <c r="G755" s="26" t="inlineStr">
        <is>
          <t>One end of the device which is the input side has a USB-C female port and the other end cap has two headphone outputs, a 3.5mm single-ended and a 4.4 Pentaconn balanced connection which has twice the power output of the SE side.</t>
        </is>
      </c>
      <c r="H755" t="inlineStr">
        <is>
          <t>2026-08-10</t>
        </is>
      </c>
    </row>
    <row r="756">
      <c r="A756" t="n">
        <v>120</v>
      </c>
      <c r="B756" t="inlineStr">
        <is>
          <t>Colorfly</t>
        </is>
      </c>
      <c r="C756" t="inlineStr">
        <is>
          <t>CDA M1</t>
        </is>
      </c>
      <c r="D756" t="inlineStr">
        <is>
          <t>XLR</t>
        </is>
      </c>
      <c r="E756" t="inlineStr">
        <is>
          <t>Non</t>
        </is>
      </c>
      <c r="F756" t="inlineStr">
        <is>
          <t>https://headfonics.com/colorfly-cda-m1-review/</t>
        </is>
      </c>
      <c r="G756" s="26" t="inlineStr">
        <is>
          <t>One end of the device which is the input side has a USB-C female port and the other end cap has two headphone outputs, a 3.5mm single-ended and a 4.4 Pentaconn balanced connection which has twice the power output of the SE side.</t>
        </is>
      </c>
      <c r="H756" t="inlineStr">
        <is>
          <t>2026-08-10</t>
        </is>
      </c>
    </row>
    <row r="757">
      <c r="A757" t="n">
        <v>121</v>
      </c>
      <c r="B757" t="inlineStr">
        <is>
          <t>FiiO</t>
        </is>
      </c>
      <c r="C757" t="inlineStr">
        <is>
          <t>KA1</t>
        </is>
      </c>
      <c r="D757" t="inlineStr">
        <is>
          <t>Batterie</t>
        </is>
      </c>
      <c r="E757" t="inlineStr">
        <is>
          <t>Non</t>
        </is>
      </c>
      <c r="F757" t="inlineStr">
        <is>
          <t>https://headfonics.com/fiio-ka1-review/</t>
        </is>
      </c>
      <c r="G757" s="26" t="inlineStr">
        <is>
          <t>You barely notice its consuming power running off a mobile device and it seems to not affect the battery much.</t>
        </is>
      </c>
      <c r="H757" t="inlineStr">
        <is>
          <t>2026-08-10</t>
        </is>
      </c>
    </row>
    <row r="758">
      <c r="A758" t="n">
        <v>121</v>
      </c>
      <c r="B758" t="inlineStr">
        <is>
          <t>FiiO</t>
        </is>
      </c>
      <c r="C758" t="inlineStr">
        <is>
          <t>KA1</t>
        </is>
      </c>
      <c r="D758" t="inlineStr">
        <is>
          <t>Bluetooth</t>
        </is>
      </c>
      <c r="E758" t="inlineStr">
        <is>
          <t>Non</t>
        </is>
      </c>
      <c r="F758" t="inlineStr">
        <is>
          <t>https://headfonics.com/fiio-ka1-review/</t>
        </is>
      </c>
      <c r="G758" s="26" t="inlineStr">
        <is>
          <t>The FiiO KA1 I/O consists of a USB-C input port on one side and a single-ended 3.5mm output port on the other side</t>
        </is>
      </c>
      <c r="H758" t="inlineStr">
        <is>
          <t>2026-08-10</t>
        </is>
      </c>
    </row>
    <row r="759">
      <c r="A759" t="n">
        <v>121</v>
      </c>
      <c r="B759" t="inlineStr">
        <is>
          <t>FiiO</t>
        </is>
      </c>
      <c r="C759" t="inlineStr">
        <is>
          <t>KA1</t>
        </is>
      </c>
      <c r="D759" t="inlineStr">
        <is>
          <t>3.5mm</t>
        </is>
      </c>
      <c r="E759" t="inlineStr">
        <is>
          <t>Oui</t>
        </is>
      </c>
      <c r="F759" t="inlineStr">
        <is>
          <t>https://headfonics.com/fiio-ka1-review/</t>
        </is>
      </c>
      <c r="G759" s="26" t="inlineStr">
        <is>
          <t>The FiiO KA1 I/O consists of a USB-C input port on one side and a single-ended 3.5mm output port on the other side</t>
        </is>
      </c>
      <c r="H759" t="inlineStr">
        <is>
          <t>2026-08-10</t>
        </is>
      </c>
    </row>
    <row r="760">
      <c r="A760" t="n">
        <v>121</v>
      </c>
      <c r="B760" t="inlineStr">
        <is>
          <t>FiiO</t>
        </is>
      </c>
      <c r="C760" t="inlineStr">
        <is>
          <t>KA1</t>
        </is>
      </c>
      <c r="D760" t="inlineStr">
        <is>
          <t>4.4mm</t>
        </is>
      </c>
      <c r="E760" t="inlineStr">
        <is>
          <t>Non</t>
        </is>
      </c>
      <c r="F760" t="inlineStr">
        <is>
          <t>https://headfonics.com/fiio-ka1-review/</t>
        </is>
      </c>
      <c r="G760" s="26" t="inlineStr">
        <is>
          <t>The FiiO KA1 I/O consists of a USB-C input port on one side and a single-ended 3.5mm output port on the other side</t>
        </is>
      </c>
      <c r="H760" t="inlineStr">
        <is>
          <t>2026-08-10</t>
        </is>
      </c>
    </row>
    <row r="761">
      <c r="A761" t="n">
        <v>121</v>
      </c>
      <c r="B761" t="inlineStr">
        <is>
          <t>FiiO</t>
        </is>
      </c>
      <c r="C761" t="inlineStr">
        <is>
          <t>KA1</t>
        </is>
      </c>
      <c r="D761" t="inlineStr">
        <is>
          <t>2.5mm</t>
        </is>
      </c>
      <c r="E761" t="inlineStr">
        <is>
          <t>Non</t>
        </is>
      </c>
      <c r="F761" t="inlineStr">
        <is>
          <t>https://headfonics.com/fiio-ka1-review/</t>
        </is>
      </c>
      <c r="G761" s="26" t="inlineStr">
        <is>
          <t>The FiiO KA1 I/O consists of a USB-C input port on one side and a single-ended 3.5mm output port on the other side</t>
        </is>
      </c>
      <c r="H761" t="inlineStr">
        <is>
          <t>2026-08-10</t>
        </is>
      </c>
    </row>
    <row r="762">
      <c r="A762" t="n">
        <v>121</v>
      </c>
      <c r="B762" t="inlineStr">
        <is>
          <t>FiiO</t>
        </is>
      </c>
      <c r="C762" t="inlineStr">
        <is>
          <t>KA1</t>
        </is>
      </c>
      <c r="D762" t="inlineStr">
        <is>
          <t>6.35mm</t>
        </is>
      </c>
      <c r="E762" t="inlineStr">
        <is>
          <t>Non</t>
        </is>
      </c>
      <c r="F762" t="inlineStr">
        <is>
          <t>https://headfonics.com/fiio-ka1-review/</t>
        </is>
      </c>
      <c r="G762" s="26" t="inlineStr">
        <is>
          <t>The FiiO KA1 I/O consists of a USB-C input port on one side and a single-ended 3.5mm output port on the other side</t>
        </is>
      </c>
      <c r="H762" t="inlineStr">
        <is>
          <t>2026-08-10</t>
        </is>
      </c>
    </row>
    <row r="763">
      <c r="A763" t="n">
        <v>121</v>
      </c>
      <c r="B763" t="inlineStr">
        <is>
          <t>FiiO</t>
        </is>
      </c>
      <c r="C763" t="inlineStr">
        <is>
          <t>KA1</t>
        </is>
      </c>
      <c r="D763" t="inlineStr">
        <is>
          <t>XLR</t>
        </is>
      </c>
      <c r="E763" t="inlineStr">
        <is>
          <t>Non</t>
        </is>
      </c>
      <c r="F763" t="inlineStr">
        <is>
          <t>https://headfonics.com/fiio-ka1-review/</t>
        </is>
      </c>
      <c r="G763" s="26" t="inlineStr">
        <is>
          <t>The FiiO KA1 I/O consists of a USB-C input port on one side and a single-ended 3.5mm output port on the other side</t>
        </is>
      </c>
      <c r="H763" t="inlineStr">
        <is>
          <t>2026-08-10</t>
        </is>
      </c>
    </row>
    <row r="764">
      <c r="A764" t="n">
        <v>122</v>
      </c>
      <c r="B764" t="inlineStr">
        <is>
          <t>iFi audio</t>
        </is>
      </c>
      <c r="C764" t="inlineStr">
        <is>
          <t>GO bar</t>
        </is>
      </c>
      <c r="D764" t="inlineStr">
        <is>
          <t>Bluetooth</t>
        </is>
      </c>
      <c r="E764" t="inlineStr">
        <is>
          <t>Non</t>
        </is>
      </c>
      <c r="F764" t="inlineStr">
        <is>
          <t>https://headfonics.com/ifi-audio-go-bar-review/</t>
        </is>
      </c>
      <c r="G764" s="26" t="inlineStr">
        <is>
          <t>The USB-C connection is the only input and there are two headphone outputs, one is a 3.5mm SE connection and the other is a 4.4mm Pentaconn which is typical of most dongle DACs nowadays.</t>
        </is>
      </c>
      <c r="H764" t="inlineStr">
        <is>
          <t>2026-08-10</t>
        </is>
      </c>
    </row>
    <row r="765">
      <c r="A765" t="n">
        <v>122</v>
      </c>
      <c r="B765" t="inlineStr">
        <is>
          <t>iFi audio</t>
        </is>
      </c>
      <c r="C765" t="inlineStr">
        <is>
          <t>GO bar</t>
        </is>
      </c>
      <c r="D765" t="inlineStr">
        <is>
          <t>3.5mm</t>
        </is>
      </c>
      <c r="E765" t="inlineStr">
        <is>
          <t>Oui</t>
        </is>
      </c>
      <c r="F765" t="inlineStr">
        <is>
          <t>https://headfonics.com/ifi-audio-go-bar-review/</t>
        </is>
      </c>
      <c r="G765" s="26" t="inlineStr">
        <is>
          <t>The USB-C connection is the only input and there are two headphone outputs, one is a 3.5mm SE connection and the other is a 4.4mm Pentaconn which is typical of most dongle DACs nowadays.</t>
        </is>
      </c>
      <c r="H765" t="inlineStr">
        <is>
          <t>2026-08-10</t>
        </is>
      </c>
    </row>
    <row r="766">
      <c r="A766" t="n">
        <v>122</v>
      </c>
      <c r="B766" t="inlineStr">
        <is>
          <t>iFi audio</t>
        </is>
      </c>
      <c r="C766" t="inlineStr">
        <is>
          <t>GO bar</t>
        </is>
      </c>
      <c r="D766" t="inlineStr">
        <is>
          <t>4.4mm</t>
        </is>
      </c>
      <c r="E766" t="inlineStr">
        <is>
          <t>Oui</t>
        </is>
      </c>
      <c r="F766" t="inlineStr">
        <is>
          <t>https://headfonics.com/ifi-audio-go-bar-review/</t>
        </is>
      </c>
      <c r="G766" s="26" t="inlineStr">
        <is>
          <t>The USB-C connection is the only input and there are two headphone outputs, one is a 3.5mm SE connection and the other is a 4.4mm Pentaconn which is typical of most dongle DACs nowadays.</t>
        </is>
      </c>
      <c r="H766" t="inlineStr">
        <is>
          <t>2026-08-10</t>
        </is>
      </c>
    </row>
    <row r="767">
      <c r="A767" t="n">
        <v>122</v>
      </c>
      <c r="B767" t="inlineStr">
        <is>
          <t>iFi audio</t>
        </is>
      </c>
      <c r="C767" t="inlineStr">
        <is>
          <t>GO bar</t>
        </is>
      </c>
      <c r="D767" t="inlineStr">
        <is>
          <t>2.5mm</t>
        </is>
      </c>
      <c r="E767" t="inlineStr">
        <is>
          <t>Non</t>
        </is>
      </c>
      <c r="F767" t="inlineStr">
        <is>
          <t>https://headfonics.com/ifi-audio-go-bar-review/</t>
        </is>
      </c>
      <c r="G767" s="26" t="inlineStr">
        <is>
          <t>The USB-C connection is the only input and there are two headphone outputs, one is a 3.5mm SE connection and the other is a 4.4mm Pentaconn which is typical of most dongle DACs nowadays.</t>
        </is>
      </c>
      <c r="H767" t="inlineStr">
        <is>
          <t>2026-08-10</t>
        </is>
      </c>
    </row>
    <row r="768">
      <c r="A768" t="n">
        <v>122</v>
      </c>
      <c r="B768" t="inlineStr">
        <is>
          <t>iFi audio</t>
        </is>
      </c>
      <c r="C768" t="inlineStr">
        <is>
          <t>GO bar</t>
        </is>
      </c>
      <c r="D768" t="inlineStr">
        <is>
          <t>6.35mm</t>
        </is>
      </c>
      <c r="E768" t="inlineStr">
        <is>
          <t>Non</t>
        </is>
      </c>
      <c r="F768" t="inlineStr">
        <is>
          <t>https://headfonics.com/ifi-audio-go-bar-review/</t>
        </is>
      </c>
      <c r="G768" s="26" t="inlineStr">
        <is>
          <t>The USB-C connection is the only input and there are two headphone outputs, one is a 3.5mm SE connection and the other is a 4.4mm Pentaconn which is typical of most dongle DACs nowadays.</t>
        </is>
      </c>
      <c r="H768" t="inlineStr">
        <is>
          <t>2026-08-10</t>
        </is>
      </c>
    </row>
    <row r="769">
      <c r="A769" t="n">
        <v>122</v>
      </c>
      <c r="B769" t="inlineStr">
        <is>
          <t>iFi audio</t>
        </is>
      </c>
      <c r="C769" t="inlineStr">
        <is>
          <t>GO bar</t>
        </is>
      </c>
      <c r="D769" t="inlineStr">
        <is>
          <t>XLR</t>
        </is>
      </c>
      <c r="E769" t="inlineStr">
        <is>
          <t>Non</t>
        </is>
      </c>
      <c r="F769" t="inlineStr">
        <is>
          <t>https://headfonics.com/ifi-audio-go-bar-review/</t>
        </is>
      </c>
      <c r="G769" s="26" t="inlineStr">
        <is>
          <t>The USB-C connection is the only input and there are two headphone outputs, one is a 3.5mm SE connection and the other is a 4.4mm Pentaconn which is typical of most dongle DACs nowadays.</t>
        </is>
      </c>
      <c r="H769" t="inlineStr">
        <is>
          <t>2026-08-10</t>
        </is>
      </c>
    </row>
    <row r="770">
      <c r="A770" t="n">
        <v>123</v>
      </c>
      <c r="B770" t="inlineStr">
        <is>
          <t>Audirect</t>
        </is>
      </c>
      <c r="C770" t="inlineStr">
        <is>
          <t>Beam 3 Plus</t>
        </is>
      </c>
      <c r="D770" t="inlineStr">
        <is>
          <t>Batterie</t>
        </is>
      </c>
      <c r="E770" t="inlineStr">
        <is>
          <t>Oui</t>
        </is>
      </c>
      <c r="F770" t="inlineStr">
        <is>
          <t>https://headfonics.com/hilidac-audirect-beam-3-plus-review/</t>
        </is>
      </c>
      <c r="G770" s="26" t="inlineStr">
        <is>
          <t>And coming with a 1,200mAh battery, it is intended to be the perfect companion for going outside.</t>
        </is>
      </c>
      <c r="H770" t="inlineStr">
        <is>
          <t>2026-08-10</t>
        </is>
      </c>
    </row>
    <row r="771">
      <c r="A771" t="n">
        <v>123</v>
      </c>
      <c r="B771" t="inlineStr">
        <is>
          <t>Audirect</t>
        </is>
      </c>
      <c r="C771" t="inlineStr">
        <is>
          <t>Beam 3 Plus</t>
        </is>
      </c>
      <c r="D771" t="inlineStr">
        <is>
          <t>Bluetooth</t>
        </is>
      </c>
      <c r="E771" t="inlineStr">
        <is>
          <t>Oui</t>
        </is>
      </c>
      <c r="F771" t="inlineStr">
        <is>
          <t>https://headfonics.com/hilidac-audirect-beam-3-plus-review/</t>
        </is>
      </c>
      <c r="G771" s="26" t="inlineStr">
        <is>
          <t>When out and about, aside from taking calls from the included microphone, the Bluetooth receiver can handle SBC, AAC, aptX HD, LDAC, and more making it flexible in both wired and wireless scenarios.</t>
        </is>
      </c>
      <c r="H771" t="inlineStr">
        <is>
          <t>2026-08-10</t>
        </is>
      </c>
    </row>
    <row r="772">
      <c r="A772" t="n">
        <v>123</v>
      </c>
      <c r="B772" t="inlineStr">
        <is>
          <t>Audirect</t>
        </is>
      </c>
      <c r="C772" t="inlineStr">
        <is>
          <t>Beam 3 Plus</t>
        </is>
      </c>
      <c r="D772" t="inlineStr">
        <is>
          <t>3.5mm</t>
        </is>
      </c>
      <c r="E772" t="inlineStr">
        <is>
          <t>Oui</t>
        </is>
      </c>
      <c r="F772" t="inlineStr">
        <is>
          <t>https://headfonics.com/hilidac-audirect-beam-3-plus-review/</t>
        </is>
      </c>
      <c r="G772" s="26" t="inlineStr">
        <is>
          <t>To interface audio gears, simply connect to either the 3.5mm single-ended or to the balanced 4.4mm jack.</t>
        </is>
      </c>
      <c r="H772" t="inlineStr">
        <is>
          <t>2026-08-10</t>
        </is>
      </c>
    </row>
    <row r="773">
      <c r="A773" t="n">
        <v>123</v>
      </c>
      <c r="B773" t="inlineStr">
        <is>
          <t>Audirect</t>
        </is>
      </c>
      <c r="C773" t="inlineStr">
        <is>
          <t>Beam 3 Plus</t>
        </is>
      </c>
      <c r="D773" t="inlineStr">
        <is>
          <t>4.4mm</t>
        </is>
      </c>
      <c r="E773" t="inlineStr">
        <is>
          <t>Oui</t>
        </is>
      </c>
      <c r="F773" t="inlineStr">
        <is>
          <t>https://headfonics.com/hilidac-audirect-beam-3-plus-review/</t>
        </is>
      </c>
      <c r="G773" s="26" t="inlineStr">
        <is>
          <t>There are two versions available for the Beam 3 Plus, a standard single-ended only and a balanced version that comes with an additional 4.4mm socket aside from the standard 3.5mm.</t>
        </is>
      </c>
      <c r="H773" t="inlineStr">
        <is>
          <t>2026-08-10</t>
        </is>
      </c>
    </row>
    <row r="774">
      <c r="A774" t="n">
        <v>123</v>
      </c>
      <c r="B774" t="inlineStr">
        <is>
          <t>Audirect</t>
        </is>
      </c>
      <c r="C774" t="inlineStr">
        <is>
          <t>Beam 3 Plus</t>
        </is>
      </c>
      <c r="D774" t="inlineStr">
        <is>
          <t>2.5mm</t>
        </is>
      </c>
      <c r="E774" t="inlineStr">
        <is>
          <t>Non</t>
        </is>
      </c>
      <c r="F774" t="inlineStr">
        <is>
          <t>https://headfonics.com/hilidac-audirect-beam-3-plus-review/</t>
        </is>
      </c>
      <c r="G774" s="26" t="inlineStr">
        <is>
          <t>To interface audio gears, simply connect to either the 3.5mm single-ended or to the balanced 4.4mm jack.</t>
        </is>
      </c>
      <c r="H774" t="inlineStr">
        <is>
          <t>2026-08-10</t>
        </is>
      </c>
    </row>
    <row r="775">
      <c r="A775" t="n">
        <v>123</v>
      </c>
      <c r="B775" t="inlineStr">
        <is>
          <t>Audirect</t>
        </is>
      </c>
      <c r="C775" t="inlineStr">
        <is>
          <t>Beam 3 Plus</t>
        </is>
      </c>
      <c r="D775" t="inlineStr">
        <is>
          <t>6.35mm</t>
        </is>
      </c>
      <c r="E775" t="inlineStr">
        <is>
          <t>Non</t>
        </is>
      </c>
      <c r="F775" t="inlineStr">
        <is>
          <t>https://headfonics.com/hilidac-audirect-beam-3-plus-review/</t>
        </is>
      </c>
      <c r="G775" s="26" t="inlineStr">
        <is>
          <t>To interface audio gears, simply connect to either the 3.5mm single-ended or to the balanced 4.4mm jack.</t>
        </is>
      </c>
      <c r="H775" t="inlineStr">
        <is>
          <t>2026-08-10</t>
        </is>
      </c>
    </row>
    <row r="776">
      <c r="A776" t="n">
        <v>123</v>
      </c>
      <c r="B776" t="inlineStr">
        <is>
          <t>Audirect</t>
        </is>
      </c>
      <c r="C776" t="inlineStr">
        <is>
          <t>Beam 3 Plus</t>
        </is>
      </c>
      <c r="D776" t="inlineStr">
        <is>
          <t>XLR</t>
        </is>
      </c>
      <c r="E776" t="inlineStr">
        <is>
          <t>Non</t>
        </is>
      </c>
      <c r="F776" t="inlineStr">
        <is>
          <t>https://headfonics.com/hilidac-audirect-beam-3-plus-review/</t>
        </is>
      </c>
      <c r="G776" s="26" t="inlineStr">
        <is>
          <t>To interface audio gears, simply connect to either the 3.5mm single-ended or to the balanced 4.4mm jack.</t>
        </is>
      </c>
      <c r="H776" t="inlineStr">
        <is>
          <t>2026-08-10</t>
        </is>
      </c>
    </row>
    <row r="777">
      <c r="A777" t="n">
        <v>124</v>
      </c>
      <c r="B777" t="inlineStr">
        <is>
          <t>ddHiFi</t>
        </is>
      </c>
      <c r="C777" t="inlineStr">
        <is>
          <t>TC44C</t>
        </is>
      </c>
      <c r="D777" t="inlineStr">
        <is>
          <t>Batterie</t>
        </is>
      </c>
      <c r="E777" t="inlineStr">
        <is>
          <t>Non</t>
        </is>
      </c>
      <c r="F777" t="inlineStr">
        <is>
          <t>https://headfonics.com/ddhifi-tc44c-dac-review/</t>
        </is>
      </c>
      <c r="G777" s="26" t="inlineStr">
        <is>
          <t>on the single-ended side they both went acceptably loud at half volume while powering the dongle with my phone.</t>
        </is>
      </c>
      <c r="H777" t="inlineStr">
        <is>
          <t>2026-08-10</t>
        </is>
      </c>
    </row>
    <row r="778">
      <c r="A778" t="n">
        <v>124</v>
      </c>
      <c r="B778" t="inlineStr">
        <is>
          <t>ddHiFi</t>
        </is>
      </c>
      <c r="C778" t="inlineStr">
        <is>
          <t>TC44C</t>
        </is>
      </c>
      <c r="D778" t="inlineStr">
        <is>
          <t>Bluetooth</t>
        </is>
      </c>
      <c r="E778" t="inlineStr">
        <is>
          <t>Non</t>
        </is>
      </c>
      <c r="F778" t="inlineStr">
        <is>
          <t>https://headfonics.com/ddhifi-tc44c-dac-review/</t>
        </is>
      </c>
      <c r="G778" s="26" t="inlineStr">
        <is>
          <t>The TC44C is a very simple device, on the input side there's a USB-C connection and on the output side there are two headphone connections, one is a 3.5mm single-ended output port, and the other is a 4.4mm Pentaconn balanced output port.</t>
        </is>
      </c>
      <c r="H778" t="inlineStr">
        <is>
          <t>2026-08-10</t>
        </is>
      </c>
    </row>
    <row r="779">
      <c r="A779" t="n">
        <v>124</v>
      </c>
      <c r="B779" t="inlineStr">
        <is>
          <t>ddHiFi</t>
        </is>
      </c>
      <c r="C779" t="inlineStr">
        <is>
          <t>TC44C</t>
        </is>
      </c>
      <c r="D779" t="inlineStr">
        <is>
          <t>3.5mm</t>
        </is>
      </c>
      <c r="E779" t="inlineStr">
        <is>
          <t>Oui</t>
        </is>
      </c>
      <c r="F779" t="inlineStr">
        <is>
          <t>https://headfonics.com/ddhifi-tc44c-dac-review/</t>
        </is>
      </c>
      <c r="G779" s="26" t="inlineStr">
        <is>
          <t>The TC44C is a very simple device, on the input side there's a USB-C connection and on the output side there are two headphone connections, one is a 3.5mm single-ended output port, and the other is a 4.4mm Pentaconn balanced output port.</t>
        </is>
      </c>
      <c r="H779" t="inlineStr">
        <is>
          <t>2026-08-10</t>
        </is>
      </c>
    </row>
    <row r="780">
      <c r="A780" t="n">
        <v>124</v>
      </c>
      <c r="B780" t="inlineStr">
        <is>
          <t>ddHiFi</t>
        </is>
      </c>
      <c r="C780" t="inlineStr">
        <is>
          <t>TC44C</t>
        </is>
      </c>
      <c r="D780" t="inlineStr">
        <is>
          <t>4.4mm</t>
        </is>
      </c>
      <c r="E780" t="inlineStr">
        <is>
          <t>Oui</t>
        </is>
      </c>
      <c r="F780" t="inlineStr">
        <is>
          <t>https://headfonics.com/ddhifi-tc44c-dac-review/</t>
        </is>
      </c>
      <c r="G780" s="26" t="inlineStr">
        <is>
          <t>The TC44C is a very simple device, on the input side there's a USB-C connection and on the output side there are two headphone connections, one is a 3.5mm single-ended output port, and the other is a 4.4mm Pentaconn balanced output port.</t>
        </is>
      </c>
      <c r="H780" t="inlineStr">
        <is>
          <t>2026-08-10</t>
        </is>
      </c>
    </row>
    <row r="781">
      <c r="A781" t="n">
        <v>124</v>
      </c>
      <c r="B781" t="inlineStr">
        <is>
          <t>ddHiFi</t>
        </is>
      </c>
      <c r="C781" t="inlineStr">
        <is>
          <t>TC44C</t>
        </is>
      </c>
      <c r="D781" t="inlineStr">
        <is>
          <t>2.5mm</t>
        </is>
      </c>
      <c r="E781" t="inlineStr">
        <is>
          <t>Non</t>
        </is>
      </c>
      <c r="F781" t="inlineStr">
        <is>
          <t>https://headfonics.com/ddhifi-tc44c-dac-review/</t>
        </is>
      </c>
      <c r="G781" s="26" t="inlineStr">
        <is>
          <t>The TC44C is a very simple device, on the input side there's a USB-C connection and on the output side there are two headphone connections, one is a 3.5mm single-ended output port, and the other is a 4.4mm Pentaconn balanced output port.</t>
        </is>
      </c>
      <c r="H781" t="inlineStr">
        <is>
          <t>2026-08-10</t>
        </is>
      </c>
    </row>
    <row r="782">
      <c r="A782" t="n">
        <v>124</v>
      </c>
      <c r="B782" t="inlineStr">
        <is>
          <t>ddHiFi</t>
        </is>
      </c>
      <c r="C782" t="inlineStr">
        <is>
          <t>TC44C</t>
        </is>
      </c>
      <c r="D782" t="inlineStr">
        <is>
          <t>6.35mm</t>
        </is>
      </c>
      <c r="E782" t="inlineStr">
        <is>
          <t>Non</t>
        </is>
      </c>
      <c r="F782" t="inlineStr">
        <is>
          <t>https://headfonics.com/ddhifi-tc44c-dac-review/</t>
        </is>
      </c>
      <c r="G782" s="26" t="inlineStr">
        <is>
          <t>The TC44C is a very simple device, on the input side there's a USB-C connection and on the output side there are two headphone connections, one is a 3.5mm single-ended output port, and the other is a 4.4mm Pentaconn balanced output port.</t>
        </is>
      </c>
      <c r="H782" t="inlineStr">
        <is>
          <t>2026-08-10</t>
        </is>
      </c>
    </row>
    <row r="783">
      <c r="A783" t="n">
        <v>124</v>
      </c>
      <c r="B783" t="inlineStr">
        <is>
          <t>ddHiFi</t>
        </is>
      </c>
      <c r="C783" t="inlineStr">
        <is>
          <t>TC44C</t>
        </is>
      </c>
      <c r="D783" t="inlineStr">
        <is>
          <t>XLR</t>
        </is>
      </c>
      <c r="E783" t="inlineStr">
        <is>
          <t>Non</t>
        </is>
      </c>
      <c r="F783" t="inlineStr">
        <is>
          <t>https://headfonics.com/ddhifi-tc44c-dac-review/</t>
        </is>
      </c>
      <c r="G783" s="26" t="inlineStr">
        <is>
          <t>The TC44C is a very simple device, on the input side there's a USB-C connection and on the output side there are two headphone connections, one is a 3.5mm single-ended output port, and the other is a 4.4mm Pentaconn balanced output port.</t>
        </is>
      </c>
      <c r="H783" t="inlineStr">
        <is>
          <t>2026-08-10</t>
        </is>
      </c>
    </row>
    <row r="784">
      <c r="A784" t="n">
        <v>124</v>
      </c>
      <c r="B784" t="inlineStr">
        <is>
          <t>ddHiFi</t>
        </is>
      </c>
      <c r="C784" t="inlineStr">
        <is>
          <t>TC44C</t>
        </is>
      </c>
      <c r="D784" t="inlineStr">
        <is>
          <t>DSP/PEQ</t>
        </is>
      </c>
      <c r="E784" t="inlineStr">
        <is>
          <t>Non</t>
        </is>
      </c>
      <c r="F784" t="inlineStr">
        <is>
          <t>https://headfonics.com/ddhifi-tc44c-dac-review/</t>
        </is>
      </c>
      <c r="G784" s="26" t="inlineStr">
        <is>
          <t>There's no volume control or a mobile app that I could find for the TC44C so it's basically a plug and play device to the core, you plug it in and done.</t>
        </is>
      </c>
      <c r="H784" t="inlineStr">
        <is>
          <t>2026-08-10</t>
        </is>
      </c>
    </row>
    <row r="785">
      <c r="A785" t="n">
        <v>125</v>
      </c>
      <c r="B785" t="inlineStr">
        <is>
          <t>Shanling</t>
        </is>
      </c>
      <c r="C785" t="inlineStr">
        <is>
          <t>UA5</t>
        </is>
      </c>
      <c r="D785" t="inlineStr">
        <is>
          <t>Batterie</t>
        </is>
      </c>
      <c r="E785" t="inlineStr">
        <is>
          <t>Oui</t>
        </is>
      </c>
      <c r="F785" t="inlineStr">
        <is>
          <t>https://headfonics.com/shanling-ua5-review/</t>
        </is>
      </c>
      <c r="G785" s="26" t="inlineStr">
        <is>
          <t>The Shanling UA5 has an internal battery that has a rated capacity of 220mAh but it does not power up the device. Instead, it runs the amplifier and DAC chips and removes most of the power drain responsibilities off the USB port which is good news for mobile users.</t>
        </is>
      </c>
      <c r="H785" t="inlineStr">
        <is>
          <t>2026-08-10</t>
        </is>
      </c>
    </row>
    <row r="786">
      <c r="A786" t="n">
        <v>125</v>
      </c>
      <c r="B786" t="inlineStr">
        <is>
          <t>Shanling</t>
        </is>
      </c>
      <c r="C786" t="inlineStr">
        <is>
          <t>UA5</t>
        </is>
      </c>
      <c r="D786" t="inlineStr">
        <is>
          <t>Bluetooth</t>
        </is>
      </c>
      <c r="E786" t="inlineStr">
        <is>
          <t>Non</t>
        </is>
      </c>
      <c r="F786" t="inlineStr">
        <is>
          <t>https://headfonics.com/shanling-ua5-review/</t>
        </is>
      </c>
      <c r="G786" s="26" t="inlineStr">
        <is>
          <t>We already covered the 3.5mm and 4.4mm output jacks plus the USB-C input port.</t>
        </is>
      </c>
      <c r="H786" t="inlineStr">
        <is>
          <t>2026-08-10</t>
        </is>
      </c>
    </row>
    <row r="787">
      <c r="A787" t="n">
        <v>125</v>
      </c>
      <c r="B787" t="inlineStr">
        <is>
          <t>Shanling</t>
        </is>
      </c>
      <c r="C787" t="inlineStr">
        <is>
          <t>UA5</t>
        </is>
      </c>
      <c r="D787" t="inlineStr">
        <is>
          <t>3.5mm</t>
        </is>
      </c>
      <c r="E787" t="inlineStr">
        <is>
          <t>Oui</t>
        </is>
      </c>
      <c r="F787" t="inlineStr">
        <is>
          <t>https://headfonics.com/shanling-ua5-review/</t>
        </is>
      </c>
      <c r="G787" s="26" t="inlineStr">
        <is>
          <t>which then outputs to a pair of headphone jacks, one is a single-ended 3.5mm and the other is a balanced 4.4 Pentaconn.</t>
        </is>
      </c>
      <c r="H787" t="inlineStr">
        <is>
          <t>2026-08-10</t>
        </is>
      </c>
    </row>
    <row r="788">
      <c r="A788" t="n">
        <v>125</v>
      </c>
      <c r="B788" t="inlineStr">
        <is>
          <t>Shanling</t>
        </is>
      </c>
      <c r="C788" t="inlineStr">
        <is>
          <t>UA5</t>
        </is>
      </c>
      <c r="D788" t="inlineStr">
        <is>
          <t>4.4mm</t>
        </is>
      </c>
      <c r="E788" t="inlineStr">
        <is>
          <t>Oui</t>
        </is>
      </c>
      <c r="F788" t="inlineStr">
        <is>
          <t>https://headfonics.com/shanling-ua5-review/</t>
        </is>
      </c>
      <c r="G788" s="26" t="inlineStr">
        <is>
          <t>which then outputs to a pair of headphone jacks, one is a single-ended 3.5mm and the other is a balanced 4.4 Pentaconn.</t>
        </is>
      </c>
      <c r="H788" t="inlineStr">
        <is>
          <t>2026-08-10</t>
        </is>
      </c>
    </row>
    <row r="789">
      <c r="A789" t="n">
        <v>125</v>
      </c>
      <c r="B789" t="inlineStr">
        <is>
          <t>Shanling</t>
        </is>
      </c>
      <c r="C789" t="inlineStr">
        <is>
          <t>UA5</t>
        </is>
      </c>
      <c r="D789" t="inlineStr">
        <is>
          <t>2.5mm</t>
        </is>
      </c>
      <c r="E789" t="inlineStr">
        <is>
          <t>Non</t>
        </is>
      </c>
      <c r="F789" t="inlineStr">
        <is>
          <t>https://headfonics.com/shanling-ua5-review/</t>
        </is>
      </c>
      <c r="G789" s="26" t="inlineStr">
        <is>
          <t>which then outputs to a pair of headphone jacks, one is a single-ended 3.5mm and the other is a balanced 4.4 Pentaconn.</t>
        </is>
      </c>
      <c r="H789" t="inlineStr">
        <is>
          <t>2026-08-10</t>
        </is>
      </c>
    </row>
    <row r="790">
      <c r="A790" t="n">
        <v>125</v>
      </c>
      <c r="B790" t="inlineStr">
        <is>
          <t>Shanling</t>
        </is>
      </c>
      <c r="C790" t="inlineStr">
        <is>
          <t>UA5</t>
        </is>
      </c>
      <c r="D790" t="inlineStr">
        <is>
          <t>6.35mm</t>
        </is>
      </c>
      <c r="E790" t="inlineStr">
        <is>
          <t>Non</t>
        </is>
      </c>
      <c r="F790" t="inlineStr">
        <is>
          <t>https://headfonics.com/shanling-ua5-review/</t>
        </is>
      </c>
      <c r="G790" s="26" t="inlineStr">
        <is>
          <t>which then outputs to a pair of headphone jacks, one is a single-ended 3.5mm and the other is a balanced 4.4 Pentaconn.</t>
        </is>
      </c>
      <c r="H790" t="inlineStr">
        <is>
          <t>2026-08-10</t>
        </is>
      </c>
    </row>
    <row r="791">
      <c r="A791" t="n">
        <v>125</v>
      </c>
      <c r="B791" t="inlineStr">
        <is>
          <t>Shanling</t>
        </is>
      </c>
      <c r="C791" t="inlineStr">
        <is>
          <t>UA5</t>
        </is>
      </c>
      <c r="D791" t="inlineStr">
        <is>
          <t>XLR</t>
        </is>
      </c>
      <c r="E791" t="inlineStr">
        <is>
          <t>Non</t>
        </is>
      </c>
      <c r="F791" t="inlineStr">
        <is>
          <t>https://headfonics.com/shanling-ua5-review/</t>
        </is>
      </c>
      <c r="G791" s="26" t="inlineStr">
        <is>
          <t>which then outputs to a pair of headphone jacks, one is a single-ended 3.5mm and the other is a balanced 4.4 Pentaconn.</t>
        </is>
      </c>
      <c r="H791" t="inlineStr">
        <is>
          <t>2026-08-10</t>
        </is>
      </c>
    </row>
    <row r="792">
      <c r="A792" t="n">
        <v>126</v>
      </c>
      <c r="B792" t="inlineStr">
        <is>
          <t>TempoTec</t>
        </is>
      </c>
      <c r="C792" t="inlineStr">
        <is>
          <t>Sonata E35</t>
        </is>
      </c>
      <c r="D792" t="inlineStr">
        <is>
          <t>Bluetooth</t>
        </is>
      </c>
      <c r="E792" t="inlineStr">
        <is>
          <t>Non</t>
        </is>
      </c>
      <c r="F792" t="inlineStr">
        <is>
          <t>https://headfonics.com/tempotec-sonata-e35-review/</t>
        </is>
      </c>
      <c r="G792" s="26" t="inlineStr">
        <is>
          <t>Being a simple dongle DAC, the Sonata E35 only has one input option, which is a USB C type input.</t>
        </is>
      </c>
      <c r="H792" t="inlineStr">
        <is>
          <t>2026-08-10</t>
        </is>
      </c>
    </row>
    <row r="793">
      <c r="A793" t="n">
        <v>126</v>
      </c>
      <c r="B793" t="inlineStr">
        <is>
          <t>TempoTec</t>
        </is>
      </c>
      <c r="C793" t="inlineStr">
        <is>
          <t>Sonata E35</t>
        </is>
      </c>
      <c r="D793" t="inlineStr">
        <is>
          <t>3.5mm</t>
        </is>
      </c>
      <c r="E793" t="inlineStr">
        <is>
          <t>Oui</t>
        </is>
      </c>
      <c r="F793" t="inlineStr">
        <is>
          <t>https://headfonics.com/tempotec-sonata-e35-review/</t>
        </is>
      </c>
      <c r="G793" s="26" t="inlineStr">
        <is>
          <t>As for the output, the E35 only has a 3.5mm TRS single-ended output, which can be used for either headphones or IEMs or into an amplifier using an RCA converter.</t>
        </is>
      </c>
      <c r="H793" t="inlineStr">
        <is>
          <t>2026-08-10</t>
        </is>
      </c>
    </row>
    <row r="794">
      <c r="A794" t="n">
        <v>126</v>
      </c>
      <c r="B794" t="inlineStr">
        <is>
          <t>TempoTec</t>
        </is>
      </c>
      <c r="C794" t="inlineStr">
        <is>
          <t>Sonata E35</t>
        </is>
      </c>
      <c r="D794" t="inlineStr">
        <is>
          <t>4.4mm</t>
        </is>
      </c>
      <c r="E794" t="inlineStr">
        <is>
          <t>Non</t>
        </is>
      </c>
      <c r="F794" t="inlineStr">
        <is>
          <t>https://headfonics.com/tempotec-sonata-e35-review/</t>
        </is>
      </c>
      <c r="G794" s="26" t="inlineStr">
        <is>
          <t>As for the output, the E35 only has a 3.5mm TRS single-ended output, which can be used for either headphones or IEMs or into an amplifier using an RCA converter.</t>
        </is>
      </c>
      <c r="H794" t="inlineStr">
        <is>
          <t>2026-08-10</t>
        </is>
      </c>
    </row>
    <row r="795">
      <c r="A795" t="n">
        <v>126</v>
      </c>
      <c r="B795" t="inlineStr">
        <is>
          <t>TempoTec</t>
        </is>
      </c>
      <c r="C795" t="inlineStr">
        <is>
          <t>Sonata E35</t>
        </is>
      </c>
      <c r="D795" t="inlineStr">
        <is>
          <t>2.5mm</t>
        </is>
      </c>
      <c r="E795" t="inlineStr">
        <is>
          <t>Non</t>
        </is>
      </c>
      <c r="F795" t="inlineStr">
        <is>
          <t>https://headfonics.com/tempotec-sonata-e35-review/</t>
        </is>
      </c>
      <c r="G795" s="26" t="inlineStr">
        <is>
          <t>As for the output, the E35 only has a 3.5mm TRS single-ended output, which can be used for either headphones or IEMs or into an amplifier using an RCA converter.</t>
        </is>
      </c>
      <c r="H795" t="inlineStr">
        <is>
          <t>2026-08-10</t>
        </is>
      </c>
    </row>
    <row r="796">
      <c r="A796" t="n">
        <v>126</v>
      </c>
      <c r="B796" t="inlineStr">
        <is>
          <t>TempoTec</t>
        </is>
      </c>
      <c r="C796" t="inlineStr">
        <is>
          <t>Sonata E35</t>
        </is>
      </c>
      <c r="D796" t="inlineStr">
        <is>
          <t>6.35mm</t>
        </is>
      </c>
      <c r="E796" t="inlineStr">
        <is>
          <t>Non</t>
        </is>
      </c>
      <c r="F796" t="inlineStr">
        <is>
          <t>https://headfonics.com/tempotec-sonata-e35-review/</t>
        </is>
      </c>
      <c r="G796" s="26" t="inlineStr">
        <is>
          <t>As for the output, the E35 only has a 3.5mm TRS single-ended output, which can be used for either headphones or IEMs or into an amplifier using an RCA converter.</t>
        </is>
      </c>
      <c r="H796" t="inlineStr">
        <is>
          <t>2026-08-10</t>
        </is>
      </c>
    </row>
    <row r="797">
      <c r="A797" t="n">
        <v>126</v>
      </c>
      <c r="B797" t="inlineStr">
        <is>
          <t>TempoTec</t>
        </is>
      </c>
      <c r="C797" t="inlineStr">
        <is>
          <t>Sonata E35</t>
        </is>
      </c>
      <c r="D797" t="inlineStr">
        <is>
          <t>XLR</t>
        </is>
      </c>
      <c r="E797" t="inlineStr">
        <is>
          <t>Non</t>
        </is>
      </c>
      <c r="F797" t="inlineStr">
        <is>
          <t>https://headfonics.com/tempotec-sonata-e35-review/</t>
        </is>
      </c>
      <c r="G797" s="26" t="inlineStr">
        <is>
          <t>As for the output, the E35 only has a 3.5mm TRS single-ended output, which can be used for either headphones or IEMs or into an amplifier using an RCA converter.</t>
        </is>
      </c>
      <c r="H797" t="inlineStr">
        <is>
          <t>2026-08-10</t>
        </is>
      </c>
    </row>
    <row r="798">
      <c r="A798" t="n">
        <v>127</v>
      </c>
      <c r="B798" t="inlineStr">
        <is>
          <t>Astell&amp;Kern</t>
        </is>
      </c>
      <c r="C798" t="inlineStr">
        <is>
          <t>USB-C Dual DAC Cable PEE51</t>
        </is>
      </c>
      <c r="D798" t="inlineStr">
        <is>
          <t>Batterie</t>
        </is>
      </c>
      <c r="E798" t="inlineStr">
        <is>
          <t>Non</t>
        </is>
      </c>
      <c r="F798" t="inlineStr">
        <is>
          <t>https://www.audioreviews.org/astell-kern-pee51/</t>
        </is>
      </c>
      <c r="G798" s="26" t="inlineStr">
        <is>
          <t>The PEE51 does not… contain a battery and draws its current from the source</t>
        </is>
      </c>
      <c r="H798" t="inlineStr">
        <is>
          <t>2026-08-10</t>
        </is>
      </c>
    </row>
    <row r="799">
      <c r="A799" t="n">
        <v>127</v>
      </c>
      <c r="B799" t="inlineStr">
        <is>
          <t>Astell&amp;Kern</t>
        </is>
      </c>
      <c r="C799" t="inlineStr">
        <is>
          <t>USB-C Dual DAC Cable PEE51</t>
        </is>
      </c>
      <c r="D799" t="inlineStr">
        <is>
          <t>Bluetooth</t>
        </is>
      </c>
      <c r="E799" t="inlineStr">
        <is>
          <t>Non</t>
        </is>
      </c>
      <c r="F799" t="inlineStr">
        <is>
          <t>https://www.audioreviews.org/astell-kern-pee51/</t>
        </is>
      </c>
      <c r="G799" s="26" t="inlineStr">
        <is>
          <t>| Input | USB-C (Android, Windows, Mac OS) |</t>
        </is>
      </c>
      <c r="H799" t="inlineStr">
        <is>
          <t>2026-08-10</t>
        </is>
      </c>
    </row>
    <row r="800">
      <c r="A800" t="n">
        <v>127</v>
      </c>
      <c r="B800" t="inlineStr">
        <is>
          <t>Astell&amp;Kern</t>
        </is>
      </c>
      <c r="C800" t="inlineStr">
        <is>
          <t>USB-C Dual DAC Cable PEE51</t>
        </is>
      </c>
      <c r="D800" t="inlineStr">
        <is>
          <t>3.5mm</t>
        </is>
      </c>
      <c r="E800" t="inlineStr">
        <is>
          <t>Oui</t>
        </is>
      </c>
      <c r="F800" t="inlineStr">
        <is>
          <t>https://www.audioreviews.org/astell-kern-pee51/</t>
        </is>
      </c>
      <c r="G800" s="26" t="inlineStr">
        <is>
          <t>| Output | 3.5 mm headphone |</t>
        </is>
      </c>
      <c r="H800" t="inlineStr">
        <is>
          <t>2026-08-10</t>
        </is>
      </c>
    </row>
    <row r="801">
      <c r="A801" t="n">
        <v>127</v>
      </c>
      <c r="B801" t="inlineStr">
        <is>
          <t>Astell&amp;Kern</t>
        </is>
      </c>
      <c r="C801" t="inlineStr">
        <is>
          <t>USB-C Dual DAC Cable PEE51</t>
        </is>
      </c>
      <c r="D801" t="inlineStr">
        <is>
          <t>4.4mm</t>
        </is>
      </c>
      <c r="E801" t="inlineStr">
        <is>
          <t>Non</t>
        </is>
      </c>
      <c r="F801" t="inlineStr">
        <is>
          <t>https://www.audioreviews.org/astell-kern-pee51/</t>
        </is>
      </c>
      <c r="G801" s="26" t="inlineStr">
        <is>
          <t>| Output | 3.5 mm headphone |</t>
        </is>
      </c>
      <c r="H801" t="inlineStr">
        <is>
          <t>2026-08-10</t>
        </is>
      </c>
    </row>
    <row r="802">
      <c r="A802" t="n">
        <v>127</v>
      </c>
      <c r="B802" t="inlineStr">
        <is>
          <t>Astell&amp;Kern</t>
        </is>
      </c>
      <c r="C802" t="inlineStr">
        <is>
          <t>USB-C Dual DAC Cable PEE51</t>
        </is>
      </c>
      <c r="D802" t="inlineStr">
        <is>
          <t>2.5mm</t>
        </is>
      </c>
      <c r="E802" t="inlineStr">
        <is>
          <t>Non</t>
        </is>
      </c>
      <c r="F802" t="inlineStr">
        <is>
          <t>https://www.audioreviews.org/astell-kern-pee51/</t>
        </is>
      </c>
      <c r="G802" s="26" t="inlineStr">
        <is>
          <t>| Output | 3.5 mm headphone |</t>
        </is>
      </c>
      <c r="H802" t="inlineStr">
        <is>
          <t>2026-08-10</t>
        </is>
      </c>
    </row>
    <row r="803">
      <c r="A803" t="n">
        <v>127</v>
      </c>
      <c r="B803" t="inlineStr">
        <is>
          <t>Astell&amp;Kern</t>
        </is>
      </c>
      <c r="C803" t="inlineStr">
        <is>
          <t>USB-C Dual DAC Cable PEE51</t>
        </is>
      </c>
      <c r="D803" t="inlineStr">
        <is>
          <t>6.35mm</t>
        </is>
      </c>
      <c r="E803" t="inlineStr">
        <is>
          <t>Non</t>
        </is>
      </c>
      <c r="F803" t="inlineStr">
        <is>
          <t>https://www.audioreviews.org/astell-kern-pee51/</t>
        </is>
      </c>
      <c r="G803" s="26" t="inlineStr">
        <is>
          <t>| Output | 3.5 mm headphone |</t>
        </is>
      </c>
      <c r="H803" t="inlineStr">
        <is>
          <t>2026-08-10</t>
        </is>
      </c>
    </row>
    <row r="804">
      <c r="A804" t="n">
        <v>127</v>
      </c>
      <c r="B804" t="inlineStr">
        <is>
          <t>Astell&amp;Kern</t>
        </is>
      </c>
      <c r="C804" t="inlineStr">
        <is>
          <t>USB-C Dual DAC Cable PEE51</t>
        </is>
      </c>
      <c r="D804" t="inlineStr">
        <is>
          <t>XLR</t>
        </is>
      </c>
      <c r="E804" t="inlineStr">
        <is>
          <t>Non</t>
        </is>
      </c>
      <c r="F804" t="inlineStr">
        <is>
          <t>https://www.audioreviews.org/astell-kern-pee51/</t>
        </is>
      </c>
      <c r="G804" s="26" t="inlineStr">
        <is>
          <t>| Output | 3.5 mm headphone |</t>
        </is>
      </c>
      <c r="H804" t="inlineStr">
        <is>
          <t>2026-08-10</t>
        </is>
      </c>
    </row>
    <row r="805">
      <c r="A805" t="n">
        <v>128</v>
      </c>
      <c r="B805" t="inlineStr">
        <is>
          <t>Audirect</t>
        </is>
      </c>
      <c r="C805" t="inlineStr">
        <is>
          <t>Beam 3 PRO</t>
        </is>
      </c>
      <c r="D805" t="inlineStr">
        <is>
          <t>Bluetooth</t>
        </is>
      </c>
      <c r="E805" t="inlineStr">
        <is>
          <t>Non</t>
        </is>
      </c>
      <c r="F805" t="inlineStr">
        <is>
          <t>https://headfonics.com/hilidac-audirect-beam-3-pro-review/</t>
        </is>
      </c>
      <c r="G805" s="26" t="inlineStr">
        <is>
          <t>It’s only limited to having a standard USB C input, and a 3.5mm TRS output connection.</t>
        </is>
      </c>
      <c r="H805" t="inlineStr">
        <is>
          <t>2026-08-10</t>
        </is>
      </c>
    </row>
    <row r="806">
      <c r="A806" t="n">
        <v>128</v>
      </c>
      <c r="B806" t="inlineStr">
        <is>
          <t>Audirect</t>
        </is>
      </c>
      <c r="C806" t="inlineStr">
        <is>
          <t>Beam 3 PRO</t>
        </is>
      </c>
      <c r="D806" t="inlineStr">
        <is>
          <t>3.5mm</t>
        </is>
      </c>
      <c r="E806" t="inlineStr">
        <is>
          <t>Oui</t>
        </is>
      </c>
      <c r="F806" t="inlineStr">
        <is>
          <t>https://headfonics.com/hilidac-audirect-beam-3-pro-review/</t>
        </is>
      </c>
      <c r="G806" s="26" t="inlineStr">
        <is>
          <t>It’s only limited to having a standard USB C input, and a 3.5mm TRS output connection.</t>
        </is>
      </c>
      <c r="H806" t="inlineStr">
        <is>
          <t>2026-08-10</t>
        </is>
      </c>
    </row>
    <row r="807">
      <c r="A807" t="n">
        <v>128</v>
      </c>
      <c r="B807" t="inlineStr">
        <is>
          <t>Audirect</t>
        </is>
      </c>
      <c r="C807" t="inlineStr">
        <is>
          <t>Beam 3 PRO</t>
        </is>
      </c>
      <c r="D807" t="inlineStr">
        <is>
          <t>4.4mm</t>
        </is>
      </c>
      <c r="E807" t="inlineStr">
        <is>
          <t>Non</t>
        </is>
      </c>
      <c r="F807" t="inlineStr">
        <is>
          <t>https://headfonics.com/hilidac-audirect-beam-3-pro-review/</t>
        </is>
      </c>
      <c r="G807" s="26" t="inlineStr">
        <is>
          <t>It’s only limited to having a standard USB C input, and a 3.5mm TRS output connection.</t>
        </is>
      </c>
      <c r="H807" t="inlineStr">
        <is>
          <t>2026-08-10</t>
        </is>
      </c>
    </row>
    <row r="808">
      <c r="A808" t="n">
        <v>128</v>
      </c>
      <c r="B808" t="inlineStr">
        <is>
          <t>Audirect</t>
        </is>
      </c>
      <c r="C808" t="inlineStr">
        <is>
          <t>Beam 3 PRO</t>
        </is>
      </c>
      <c r="D808" t="inlineStr">
        <is>
          <t>2.5mm</t>
        </is>
      </c>
      <c r="E808" t="inlineStr">
        <is>
          <t>Non</t>
        </is>
      </c>
      <c r="F808" t="inlineStr">
        <is>
          <t>https://headfonics.com/hilidac-audirect-beam-3-pro-review/</t>
        </is>
      </c>
      <c r="G808" s="26" t="inlineStr">
        <is>
          <t>It’s only limited to having a standard USB C input, and a 3.5mm TRS output connection.</t>
        </is>
      </c>
      <c r="H808" t="inlineStr">
        <is>
          <t>2026-08-10</t>
        </is>
      </c>
    </row>
    <row r="809">
      <c r="A809" t="n">
        <v>128</v>
      </c>
      <c r="B809" t="inlineStr">
        <is>
          <t>Audirect</t>
        </is>
      </c>
      <c r="C809" t="inlineStr">
        <is>
          <t>Beam 3 PRO</t>
        </is>
      </c>
      <c r="D809" t="inlineStr">
        <is>
          <t>6.35mm</t>
        </is>
      </c>
      <c r="E809" t="inlineStr">
        <is>
          <t>Non</t>
        </is>
      </c>
      <c r="F809" t="inlineStr">
        <is>
          <t>https://headfonics.com/hilidac-audirect-beam-3-pro-review/</t>
        </is>
      </c>
      <c r="G809" s="26" t="inlineStr">
        <is>
          <t>It’s only limited to having a standard USB C input, and a 3.5mm TRS output connection.</t>
        </is>
      </c>
      <c r="H809" t="inlineStr">
        <is>
          <t>2026-08-10</t>
        </is>
      </c>
    </row>
    <row r="810">
      <c r="A810" t="n">
        <v>128</v>
      </c>
      <c r="B810" t="inlineStr">
        <is>
          <t>Audirect</t>
        </is>
      </c>
      <c r="C810" t="inlineStr">
        <is>
          <t>Beam 3 PRO</t>
        </is>
      </c>
      <c r="D810" t="inlineStr">
        <is>
          <t>XLR</t>
        </is>
      </c>
      <c r="E810" t="inlineStr">
        <is>
          <t>Non</t>
        </is>
      </c>
      <c r="F810" t="inlineStr">
        <is>
          <t>https://headfonics.com/hilidac-audirect-beam-3-pro-review/</t>
        </is>
      </c>
      <c r="G810" s="26" t="inlineStr">
        <is>
          <t>It’s only limited to having a standard USB C input, and a 3.5mm TRS output connection.</t>
        </is>
      </c>
      <c r="H810" t="inlineStr">
        <is>
          <t>2026-08-10</t>
        </is>
      </c>
    </row>
    <row r="811">
      <c r="A811" t="n">
        <v>129</v>
      </c>
      <c r="B811" t="inlineStr">
        <is>
          <t>EarMen</t>
        </is>
      </c>
      <c r="C811" t="inlineStr">
        <is>
          <t>Colibri</t>
        </is>
      </c>
      <c r="D811" t="inlineStr">
        <is>
          <t>Batterie</t>
        </is>
      </c>
      <c r="E811" t="inlineStr">
        <is>
          <t>Oui</t>
        </is>
      </c>
      <c r="F811" t="inlineStr">
        <is>
          <t>https://headfonics.com/earmen-colibri-review/</t>
        </is>
      </c>
      <c r="G811" s="26" t="inlineStr">
        <is>
          <t>One of the most interesting features of the Colibri is that it is equipped with a battery.</t>
        </is>
      </c>
      <c r="H811" t="inlineStr">
        <is>
          <t>2026-08-10</t>
        </is>
      </c>
    </row>
    <row r="812">
      <c r="A812" t="n">
        <v>129</v>
      </c>
      <c r="B812" t="inlineStr">
        <is>
          <t>EarMen</t>
        </is>
      </c>
      <c r="C812" t="inlineStr">
        <is>
          <t>Colibri</t>
        </is>
      </c>
      <c r="D812" t="inlineStr">
        <is>
          <t>Bluetooth</t>
        </is>
      </c>
      <c r="E812" t="inlineStr">
        <is>
          <t>Non</t>
        </is>
      </c>
      <c r="F812" t="inlineStr">
        <is>
          <t>https://headfonics.com/earmen-colibri-review/</t>
        </is>
      </c>
      <c r="G812" s="26" t="inlineStr">
        <is>
          <t>Being a simpler DAC/Amp, the Colibri is designed to only have USB inputs, but they are divided into a charging port, and a data port so it’s typically important to keep the device charged before starting to use it.</t>
        </is>
      </c>
      <c r="H812" t="inlineStr">
        <is>
          <t>2026-08-10</t>
        </is>
      </c>
    </row>
    <row r="813">
      <c r="A813" t="n">
        <v>129</v>
      </c>
      <c r="B813" t="inlineStr">
        <is>
          <t>EarMen</t>
        </is>
      </c>
      <c r="C813" t="inlineStr">
        <is>
          <t>Colibri</t>
        </is>
      </c>
      <c r="D813" t="inlineStr">
        <is>
          <t>3.5mm</t>
        </is>
      </c>
      <c r="E813" t="inlineStr">
        <is>
          <t>Oui</t>
        </is>
      </c>
      <c r="F813" t="inlineStr">
        <is>
          <t>https://headfonics.com/earmen-colibri-review/</t>
        </is>
      </c>
      <c r="G813" s="26" t="inlineStr">
        <is>
          <t>As for the outputs, the Colibri is equipped with both a 3.5mm single-ended output and a 4.4mm pentaconn output.</t>
        </is>
      </c>
      <c r="H813" t="inlineStr">
        <is>
          <t>2026-08-10</t>
        </is>
      </c>
    </row>
    <row r="814">
      <c r="A814" t="n">
        <v>129</v>
      </c>
      <c r="B814" t="inlineStr">
        <is>
          <t>EarMen</t>
        </is>
      </c>
      <c r="C814" t="inlineStr">
        <is>
          <t>Colibri</t>
        </is>
      </c>
      <c r="D814" t="inlineStr">
        <is>
          <t>4.4mm</t>
        </is>
      </c>
      <c r="E814" t="inlineStr">
        <is>
          <t>Oui</t>
        </is>
      </c>
      <c r="F814" t="inlineStr">
        <is>
          <t>https://headfonics.com/earmen-colibri-review/</t>
        </is>
      </c>
      <c r="G814" s="26" t="inlineStr">
        <is>
          <t>As for the outputs, the Colibri is equipped with both a 3.5mm single-ended output and a 4.4mm pentaconn output.</t>
        </is>
      </c>
      <c r="H814" t="inlineStr">
        <is>
          <t>2026-08-10</t>
        </is>
      </c>
    </row>
    <row r="815">
      <c r="A815" t="n">
        <v>129</v>
      </c>
      <c r="B815" t="inlineStr">
        <is>
          <t>EarMen</t>
        </is>
      </c>
      <c r="C815" t="inlineStr">
        <is>
          <t>Colibri</t>
        </is>
      </c>
      <c r="D815" t="inlineStr">
        <is>
          <t>2.5mm</t>
        </is>
      </c>
      <c r="E815" t="inlineStr">
        <is>
          <t>Non</t>
        </is>
      </c>
      <c r="F815" t="inlineStr">
        <is>
          <t>https://headfonics.com/earmen-colibri-review/</t>
        </is>
      </c>
      <c r="G815" s="26" t="inlineStr">
        <is>
          <t>As for the outputs, the Colibri is equipped with both a 3.5mm single-ended output and a 4.4mm pentaconn output.</t>
        </is>
      </c>
      <c r="H815" t="inlineStr">
        <is>
          <t>2026-08-10</t>
        </is>
      </c>
    </row>
    <row r="816">
      <c r="A816" t="n">
        <v>129</v>
      </c>
      <c r="B816" t="inlineStr">
        <is>
          <t>EarMen</t>
        </is>
      </c>
      <c r="C816" t="inlineStr">
        <is>
          <t>Colibri</t>
        </is>
      </c>
      <c r="D816" t="inlineStr">
        <is>
          <t>6.35mm</t>
        </is>
      </c>
      <c r="E816" t="inlineStr">
        <is>
          <t>Non</t>
        </is>
      </c>
      <c r="F816" t="inlineStr">
        <is>
          <t>https://headfonics.com/earmen-colibri-review/</t>
        </is>
      </c>
      <c r="G816" s="26" t="inlineStr">
        <is>
          <t>As for the outputs, the Colibri is equipped with both a 3.5mm single-ended output and a 4.4mm pentaconn output.</t>
        </is>
      </c>
      <c r="H816" t="inlineStr">
        <is>
          <t>2026-08-10</t>
        </is>
      </c>
    </row>
    <row r="817">
      <c r="A817" t="n">
        <v>129</v>
      </c>
      <c r="B817" t="inlineStr">
        <is>
          <t>EarMen</t>
        </is>
      </c>
      <c r="C817" t="inlineStr">
        <is>
          <t>Colibri</t>
        </is>
      </c>
      <c r="D817" t="inlineStr">
        <is>
          <t>XLR</t>
        </is>
      </c>
      <c r="E817" t="inlineStr">
        <is>
          <t>Non</t>
        </is>
      </c>
      <c r="F817" t="inlineStr">
        <is>
          <t>https://headfonics.com/earmen-colibri-review/</t>
        </is>
      </c>
      <c r="G817" s="26" t="inlineStr">
        <is>
          <t>As for the outputs, the Colibri is equipped with both a 3.5mm single-ended output and a 4.4mm pentaconn output.</t>
        </is>
      </c>
      <c r="H817" t="inlineStr">
        <is>
          <t>2026-08-10</t>
        </is>
      </c>
    </row>
    <row r="818">
      <c r="A818" t="n">
        <v>130</v>
      </c>
      <c r="B818" t="inlineStr">
        <is>
          <t>Swan Song Audio</t>
        </is>
      </c>
      <c r="C818" t="inlineStr">
        <is>
          <t>Mini Black</t>
        </is>
      </c>
      <c r="D818" t="inlineStr">
        <is>
          <t>Batterie</t>
        </is>
      </c>
      <c r="E818" t="inlineStr">
        <is>
          <t>Oui</t>
        </is>
      </c>
      <c r="F818" t="inlineStr">
        <is>
          <t>https://headfonics.com/swan-song-audio-mini-black-review/</t>
        </is>
      </c>
      <c r="G818" s="26" t="inlineStr">
        <is>
          <t>Batteries (LIPO)</t>
        </is>
      </c>
      <c r="H818" t="inlineStr">
        <is>
          <t>2026-08-10</t>
        </is>
      </c>
    </row>
    <row r="819">
      <c r="A819" t="n">
        <v>130</v>
      </c>
      <c r="B819" t="inlineStr">
        <is>
          <t>Swan Song Audio</t>
        </is>
      </c>
      <c r="C819" t="inlineStr">
        <is>
          <t>Mini Black</t>
        </is>
      </c>
      <c r="D819" t="inlineStr">
        <is>
          <t>Bluetooth</t>
        </is>
      </c>
      <c r="E819" t="inlineStr">
        <is>
          <t>Non</t>
        </is>
      </c>
      <c r="F819" t="inlineStr">
        <is>
          <t>https://headfonics.com/swan-song-audio-mini-black-review/</t>
        </is>
      </c>
      <c r="G819" s="26" t="inlineStr">
        <is>
          <t>Inputs - 1 – 24-Bit 96kHz optical (default) - 1 – 16-Bit 48kHz USB (activated by plugging in a USB device)</t>
        </is>
      </c>
      <c r="H819" t="inlineStr">
        <is>
          <t>2026-08-10</t>
        </is>
      </c>
    </row>
    <row r="820">
      <c r="A820" t="n">
        <v>130</v>
      </c>
      <c r="B820" t="inlineStr">
        <is>
          <t>Swan Song Audio</t>
        </is>
      </c>
      <c r="C820" t="inlineStr">
        <is>
          <t>Mini Black</t>
        </is>
      </c>
      <c r="D820" t="inlineStr">
        <is>
          <t>3.5mm</t>
        </is>
      </c>
      <c r="E820" t="inlineStr">
        <is>
          <t>Oui</t>
        </is>
      </c>
      <c r="F820" t="inlineStr">
        <is>
          <t>https://headfonics.com/swan-song-audio-mini-black-review/</t>
        </is>
      </c>
      <c r="G820" s="26" t="inlineStr">
        <is>
          <t>In this case, just 3.5mm is included.</t>
        </is>
      </c>
      <c r="H820" t="inlineStr">
        <is>
          <t>2026-08-10</t>
        </is>
      </c>
    </row>
    <row r="821">
      <c r="A821" t="n">
        <v>130</v>
      </c>
      <c r="B821" t="inlineStr">
        <is>
          <t>Swan Song Audio</t>
        </is>
      </c>
      <c r="C821" t="inlineStr">
        <is>
          <t>Mini Black</t>
        </is>
      </c>
      <c r="D821" t="inlineStr">
        <is>
          <t>4.4mm</t>
        </is>
      </c>
      <c r="E821" t="inlineStr">
        <is>
          <t>Non</t>
        </is>
      </c>
      <c r="F821" t="inlineStr">
        <is>
          <t>https://headfonics.com/swan-song-audio-mini-black-review/</t>
        </is>
      </c>
      <c r="G821" s="26" t="inlineStr">
        <is>
          <t>at $1600, I want a balanced output if this product is meant to be an amplifier too. All grounds need to be covered; all exits marked. In this case, just 3.5mm is included.</t>
        </is>
      </c>
      <c r="H821" t="inlineStr">
        <is>
          <t>2026-08-10</t>
        </is>
      </c>
    </row>
    <row r="822">
      <c r="A822" t="n">
        <v>130</v>
      </c>
      <c r="B822" t="inlineStr">
        <is>
          <t>Swan Song Audio</t>
        </is>
      </c>
      <c r="C822" t="inlineStr">
        <is>
          <t>Mini Black</t>
        </is>
      </c>
      <c r="D822" t="inlineStr">
        <is>
          <t>2.5mm</t>
        </is>
      </c>
      <c r="E822" t="inlineStr">
        <is>
          <t>Non</t>
        </is>
      </c>
      <c r="F822" t="inlineStr">
        <is>
          <t>https://headfonics.com/swan-song-audio-mini-black-review/</t>
        </is>
      </c>
      <c r="G822" s="26" t="inlineStr">
        <is>
          <t>In this case, just 3.5mm is included.</t>
        </is>
      </c>
      <c r="H822" t="inlineStr">
        <is>
          <t>2026-08-10</t>
        </is>
      </c>
    </row>
    <row r="823">
      <c r="A823" t="n">
        <v>130</v>
      </c>
      <c r="B823" t="inlineStr">
        <is>
          <t>Swan Song Audio</t>
        </is>
      </c>
      <c r="C823" t="inlineStr">
        <is>
          <t>Mini Black</t>
        </is>
      </c>
      <c r="D823" t="inlineStr">
        <is>
          <t>6.35mm</t>
        </is>
      </c>
      <c r="E823" t="inlineStr">
        <is>
          <t>Non</t>
        </is>
      </c>
      <c r="F823" t="inlineStr">
        <is>
          <t>https://headfonics.com/swan-song-audio-mini-black-review/</t>
        </is>
      </c>
      <c r="G823" s="26" t="inlineStr">
        <is>
          <t>In this case, just 3.5mm is included.</t>
        </is>
      </c>
      <c r="H823" t="inlineStr">
        <is>
          <t>2026-08-10</t>
        </is>
      </c>
    </row>
    <row r="824">
      <c r="A824" t="n">
        <v>130</v>
      </c>
      <c r="B824" t="inlineStr">
        <is>
          <t>Swan Song Audio</t>
        </is>
      </c>
      <c r="C824" t="inlineStr">
        <is>
          <t>Mini Black</t>
        </is>
      </c>
      <c r="D824" t="inlineStr">
        <is>
          <t>XLR</t>
        </is>
      </c>
      <c r="E824" t="inlineStr">
        <is>
          <t>Non</t>
        </is>
      </c>
      <c r="F824" t="inlineStr">
        <is>
          <t>https://headfonics.com/swan-song-audio-mini-black-review/</t>
        </is>
      </c>
      <c r="G824" s="26" t="inlineStr">
        <is>
          <t>In this case, just 3.5mm is included.</t>
        </is>
      </c>
      <c r="H824" t="inlineStr">
        <is>
          <t>2026-08-10</t>
        </is>
      </c>
    </row>
    <row r="825">
      <c r="A825" t="n">
        <v>130</v>
      </c>
      <c r="B825" t="inlineStr">
        <is>
          <t>Swan Song Audio</t>
        </is>
      </c>
      <c r="C825" t="inlineStr">
        <is>
          <t>Mini Black</t>
        </is>
      </c>
      <c r="D825" t="inlineStr">
        <is>
          <t>DSP/PEQ</t>
        </is>
      </c>
      <c r="E825" t="inlineStr">
        <is>
          <t>Non</t>
        </is>
      </c>
      <c r="F825" t="inlineStr">
        <is>
          <t>https://headfonics.com/swan-song-audio-mini-black-review/</t>
        </is>
      </c>
      <c r="G825" s="26" t="inlineStr">
        <is>
          <t>But, at this price, for something that can be moved around with battery usage clocking in at 8 to 9 hours of usage, I would want this to have a bass output EQ as well as a treble.</t>
        </is>
      </c>
      <c r="H825" t="inlineStr">
        <is>
          <t>2026-08-10</t>
        </is>
      </c>
    </row>
    <row r="826">
      <c r="A826" t="n">
        <v>131</v>
      </c>
      <c r="B826" t="inlineStr">
        <is>
          <t>iFi audio</t>
        </is>
      </c>
      <c r="C826" t="inlineStr">
        <is>
          <t>xDSD Gryphon</t>
        </is>
      </c>
      <c r="D826" t="inlineStr">
        <is>
          <t>Batterie</t>
        </is>
      </c>
      <c r="E826" t="inlineStr">
        <is>
          <t>Oui</t>
        </is>
      </c>
      <c r="F826" t="inlineStr">
        <is>
          <t>https://ifi-audio.com/products/xdsd-gryphon/</t>
        </is>
      </c>
      <c r="G826" s="26" t="inlineStr">
        <is>
          <t>Can I power the xDSD Gryphon by USB instead of using the internal battery? Yes you can. Plug the xDSD gryphon into a PC via USB and use the Dual Port setting.</t>
        </is>
      </c>
      <c r="H826" t="inlineStr">
        <is>
          <t>2026-08-10</t>
        </is>
      </c>
    </row>
    <row r="827">
      <c r="A827" t="n">
        <v>131</v>
      </c>
      <c r="B827" t="inlineStr">
        <is>
          <t>iFi audio</t>
        </is>
      </c>
      <c r="C827" t="inlineStr">
        <is>
          <t>xDSD Gryphon</t>
        </is>
      </c>
      <c r="D827" t="inlineStr">
        <is>
          <t>Bluetooth</t>
        </is>
      </c>
      <c r="E827" t="inlineStr">
        <is>
          <t>Oui</t>
        </is>
      </c>
      <c r="F827" t="inlineStr">
        <is>
          <t>https://ifi-audio.com/products/xdsd-gryphon/</t>
        </is>
      </c>
      <c r="G827" s="26" t="inlineStr">
        <is>
          <t>Wireless: Bluetooth 5.1 (aptX, aptX HD, aptX Adaptive, aptX LL, LDAC, HWA, AAC and SBC Codec)</t>
        </is>
      </c>
      <c r="H827" t="inlineStr">
        <is>
          <t>2026-08-10</t>
        </is>
      </c>
    </row>
    <row r="828">
      <c r="A828" t="n">
        <v>131</v>
      </c>
      <c r="B828" t="inlineStr">
        <is>
          <t>iFi audio</t>
        </is>
      </c>
      <c r="C828" t="inlineStr">
        <is>
          <t>xDSD Gryphon</t>
        </is>
      </c>
      <c r="D828" t="inlineStr">
        <is>
          <t>3.5mm</t>
        </is>
      </c>
      <c r="E828" t="inlineStr">
        <is>
          <t>Oui</t>
        </is>
      </c>
      <c r="F828" t="inlineStr">
        <is>
          <t>https://ifi-audio.com/products/xdsd-gryphon/</t>
        </is>
      </c>
      <c r="G828" s="26" t="inlineStr">
        <is>
          <t>Headphone Section: Balanced: 4.4mm Pentaconn S-Bal (SE): 3.5mm SE</t>
        </is>
      </c>
      <c r="H828" t="inlineStr">
        <is>
          <t>2026-08-10</t>
        </is>
      </c>
    </row>
    <row r="829">
      <c r="A829" t="n">
        <v>131</v>
      </c>
      <c r="B829" t="inlineStr">
        <is>
          <t>iFi audio</t>
        </is>
      </c>
      <c r="C829" t="inlineStr">
        <is>
          <t>xDSD Gryphon</t>
        </is>
      </c>
      <c r="D829" t="inlineStr">
        <is>
          <t>4.4mm</t>
        </is>
      </c>
      <c r="E829" t="inlineStr">
        <is>
          <t>Oui</t>
        </is>
      </c>
      <c r="F829" t="inlineStr">
        <is>
          <t>https://ifi-audio.com/products/xdsd-gryphon/</t>
        </is>
      </c>
      <c r="G829" s="26" t="inlineStr">
        <is>
          <t>Headphone Section: Balanced: 4.4mm Pentaconn S-Bal (SE): 3.5mm SE</t>
        </is>
      </c>
      <c r="H829" t="inlineStr">
        <is>
          <t>2026-08-10</t>
        </is>
      </c>
    </row>
    <row r="830">
      <c r="A830" t="n">
        <v>131</v>
      </c>
      <c r="B830" t="inlineStr">
        <is>
          <t>iFi audio</t>
        </is>
      </c>
      <c r="C830" t="inlineStr">
        <is>
          <t>xDSD Gryphon</t>
        </is>
      </c>
      <c r="D830" t="inlineStr">
        <is>
          <t>2.5mm</t>
        </is>
      </c>
      <c r="E830" t="inlineStr">
        <is>
          <t>Non</t>
        </is>
      </c>
      <c r="F830" t="inlineStr">
        <is>
          <t>https://ifi-audio.com/products/xdsd-gryphon/</t>
        </is>
      </c>
      <c r="G830" s="26" t="inlineStr">
        <is>
          <t>Headphone Section: Balanced: 4.4mm Pentaconn S-Bal (SE): 3.5mm SE</t>
        </is>
      </c>
      <c r="H830" t="inlineStr">
        <is>
          <t>2026-08-10</t>
        </is>
      </c>
    </row>
    <row r="831">
      <c r="A831" t="n">
        <v>131</v>
      </c>
      <c r="B831" t="inlineStr">
        <is>
          <t>iFi audio</t>
        </is>
      </c>
      <c r="C831" t="inlineStr">
        <is>
          <t>xDSD Gryphon</t>
        </is>
      </c>
      <c r="D831" t="inlineStr">
        <is>
          <t>6.35mm</t>
        </is>
      </c>
      <c r="E831" t="inlineStr">
        <is>
          <t>Non</t>
        </is>
      </c>
      <c r="F831" t="inlineStr">
        <is>
          <t>https://ifi-audio.com/products/xdsd-gryphon/</t>
        </is>
      </c>
      <c r="G831" s="26" t="inlineStr">
        <is>
          <t>Headphone Section: Balanced: 4.4mm Pentaconn S-Bal (SE): 3.5mm SE</t>
        </is>
      </c>
      <c r="H831" t="inlineStr">
        <is>
          <t>2026-08-10</t>
        </is>
      </c>
    </row>
    <row r="832">
      <c r="A832" t="n">
        <v>131</v>
      </c>
      <c r="B832" t="inlineStr">
        <is>
          <t>iFi audio</t>
        </is>
      </c>
      <c r="C832" t="inlineStr">
        <is>
          <t>xDSD Gryphon</t>
        </is>
      </c>
      <c r="D832" t="inlineStr">
        <is>
          <t>XLR</t>
        </is>
      </c>
      <c r="E832" t="inlineStr">
        <is>
          <t>Non</t>
        </is>
      </c>
      <c r="F832" t="inlineStr">
        <is>
          <t>https://ifi-audio.com/products/xdsd-gryphon/</t>
        </is>
      </c>
      <c r="G832" s="26" t="inlineStr">
        <is>
          <t>Headphone Section: Balanced: 4.4mm Pentaconn S-Bal (SE): 3.5mm SE</t>
        </is>
      </c>
      <c r="H832" t="inlineStr">
        <is>
          <t>2026-08-10</t>
        </is>
      </c>
    </row>
    <row r="833">
      <c r="A833" t="n">
        <v>132</v>
      </c>
      <c r="B833" t="inlineStr">
        <is>
          <t>Khadas</t>
        </is>
      </c>
      <c r="C833" t="inlineStr">
        <is>
          <t>Tea</t>
        </is>
      </c>
      <c r="D833" t="inlineStr">
        <is>
          <t>Batterie</t>
        </is>
      </c>
      <c r="E833" t="inlineStr">
        <is>
          <t>Oui</t>
        </is>
      </c>
      <c r="F833" t="inlineStr">
        <is>
          <t>https://headfonics.com/khadas-tea-review/</t>
        </is>
      </c>
      <c r="G833" s="26" t="inlineStr">
        <is>
          <t>Battery: 1160 mAh Lithium Polymer Battery</t>
        </is>
      </c>
      <c r="H833" t="inlineStr">
        <is>
          <t>2026-08-10</t>
        </is>
      </c>
    </row>
    <row r="834">
      <c r="A834" t="n">
        <v>132</v>
      </c>
      <c r="B834" t="inlineStr">
        <is>
          <t>Khadas</t>
        </is>
      </c>
      <c r="C834" t="inlineStr">
        <is>
          <t>Tea</t>
        </is>
      </c>
      <c r="D834" t="inlineStr">
        <is>
          <t>Bluetooth</t>
        </is>
      </c>
      <c r="E834" t="inlineStr">
        <is>
          <t>Oui</t>
        </is>
      </c>
      <c r="F834" t="inlineStr">
        <is>
          <t>https://www.khadas.com/tea</t>
        </is>
      </c>
      <c r="G834" s="26" t="inlineStr">
        <is>
          <t>Bluetooth: Qualcomm QCC5125 ... Bluetooth Codec Support SBC/AAC/LDAC/aptX/aptX Low Latency/aptX HD</t>
        </is>
      </c>
      <c r="H834" t="inlineStr">
        <is>
          <t>2026-08-10</t>
        </is>
      </c>
    </row>
    <row r="835">
      <c r="A835" t="n">
        <v>132</v>
      </c>
      <c r="B835" t="inlineStr">
        <is>
          <t>Khadas</t>
        </is>
      </c>
      <c r="C835" t="inlineStr">
        <is>
          <t>Tea</t>
        </is>
      </c>
      <c r="D835" t="inlineStr">
        <is>
          <t>3.5mm</t>
        </is>
      </c>
      <c r="E835" t="inlineStr">
        <is>
          <t>Oui</t>
        </is>
      </c>
      <c r="F835" t="inlineStr">
        <is>
          <t>https://www.khadas.com/tea</t>
        </is>
      </c>
      <c r="G835" s="26" t="inlineStr">
        <is>
          <t>Headphone Jack 3.5 mm headphone jack</t>
        </is>
      </c>
      <c r="H835" t="inlineStr">
        <is>
          <t>2026-08-10</t>
        </is>
      </c>
    </row>
    <row r="836">
      <c r="A836" t="n">
        <v>132</v>
      </c>
      <c r="B836" t="inlineStr">
        <is>
          <t>Khadas</t>
        </is>
      </c>
      <c r="C836" t="inlineStr">
        <is>
          <t>Tea</t>
        </is>
      </c>
      <c r="D836" t="inlineStr">
        <is>
          <t>4.4mm</t>
        </is>
      </c>
      <c r="E836" t="inlineStr">
        <is>
          <t>Non</t>
        </is>
      </c>
      <c r="F836" t="inlineStr">
        <is>
          <t>https://www.khadas.com/tea</t>
        </is>
      </c>
      <c r="G836" s="26" t="inlineStr">
        <is>
          <t>Headphone Jack 3.5 mm headphone jack</t>
        </is>
      </c>
      <c r="H836" t="inlineStr">
        <is>
          <t>2026-08-10</t>
        </is>
      </c>
    </row>
    <row r="837">
      <c r="A837" t="n">
        <v>132</v>
      </c>
      <c r="B837" t="inlineStr">
        <is>
          <t>Khadas</t>
        </is>
      </c>
      <c r="C837" t="inlineStr">
        <is>
          <t>Tea</t>
        </is>
      </c>
      <c r="D837" t="inlineStr">
        <is>
          <t>2.5mm</t>
        </is>
      </c>
      <c r="E837" t="inlineStr">
        <is>
          <t>Non</t>
        </is>
      </c>
      <c r="F837" t="inlineStr">
        <is>
          <t>https://www.khadas.com/tea</t>
        </is>
      </c>
      <c r="G837" s="26" t="inlineStr">
        <is>
          <t>Headphone Jack 3.5 mm headphone jack</t>
        </is>
      </c>
      <c r="H837" t="inlineStr">
        <is>
          <t>2026-08-10</t>
        </is>
      </c>
    </row>
    <row r="838">
      <c r="A838" t="n">
        <v>132</v>
      </c>
      <c r="B838" t="inlineStr">
        <is>
          <t>Khadas</t>
        </is>
      </c>
      <c r="C838" t="inlineStr">
        <is>
          <t>Tea</t>
        </is>
      </c>
      <c r="D838" t="inlineStr">
        <is>
          <t>6.35mm</t>
        </is>
      </c>
      <c r="E838" t="inlineStr">
        <is>
          <t>Non</t>
        </is>
      </c>
      <c r="F838" t="inlineStr">
        <is>
          <t>https://www.khadas.com/tea</t>
        </is>
      </c>
      <c r="G838" s="26" t="inlineStr">
        <is>
          <t>Headphone Jack 3.5 mm headphone jack</t>
        </is>
      </c>
      <c r="H838" t="inlineStr">
        <is>
          <t>2026-08-10</t>
        </is>
      </c>
    </row>
    <row r="839">
      <c r="A839" t="n">
        <v>132</v>
      </c>
      <c r="B839" t="inlineStr">
        <is>
          <t>Khadas</t>
        </is>
      </c>
      <c r="C839" t="inlineStr">
        <is>
          <t>Tea</t>
        </is>
      </c>
      <c r="D839" t="inlineStr">
        <is>
          <t>XLR</t>
        </is>
      </c>
      <c r="E839" t="inlineStr">
        <is>
          <t>Non</t>
        </is>
      </c>
      <c r="F839" t="inlineStr">
        <is>
          <t>https://www.khadas.com/tea</t>
        </is>
      </c>
      <c r="G839" s="26" t="inlineStr">
        <is>
          <t>Headphone Jack 3.5 mm headphone jack</t>
        </is>
      </c>
      <c r="H839" t="inlineStr">
        <is>
          <t>2026-08-10</t>
        </is>
      </c>
    </row>
    <row r="840">
      <c r="A840" t="n">
        <v>133</v>
      </c>
      <c r="B840" t="inlineStr">
        <is>
          <t>HiBy</t>
        </is>
      </c>
      <c r="C840" t="inlineStr">
        <is>
          <t>FC5</t>
        </is>
      </c>
      <c r="D840" t="inlineStr">
        <is>
          <t>Bluetooth</t>
        </is>
      </c>
      <c r="E840" t="inlineStr">
        <is>
          <t>Non</t>
        </is>
      </c>
      <c r="F840" t="inlineStr">
        <is>
          <t>https://headfonics.com/hiby-fc5-review/</t>
        </is>
      </c>
      <c r="G840" s="26" t="inlineStr">
        <is>
          <t>One end has a USB-C female connector and the other end has a 4.4mm Pentaconn female headphone output connector that concludes the input and output section.</t>
        </is>
      </c>
      <c r="H840" t="inlineStr">
        <is>
          <t>2026-08-10</t>
        </is>
      </c>
    </row>
    <row r="841">
      <c r="A841" t="n">
        <v>133</v>
      </c>
      <c r="B841" t="inlineStr">
        <is>
          <t>HiBy</t>
        </is>
      </c>
      <c r="C841" t="inlineStr">
        <is>
          <t>FC5</t>
        </is>
      </c>
      <c r="D841" t="inlineStr">
        <is>
          <t>3.5mm</t>
        </is>
      </c>
      <c r="E841" t="inlineStr">
        <is>
          <t>Non</t>
        </is>
      </c>
      <c r="F841" t="inlineStr">
        <is>
          <t>https://headfonics.com/hiby-fc5-review/</t>
        </is>
      </c>
      <c r="G841" s="26" t="inlineStr">
        <is>
          <t>The single headphone output connection is a balanced 4.4mm out that can convert over to a 3.5mm out via an included 3.5mm TRS adapter.</t>
        </is>
      </c>
      <c r="H841" t="inlineStr">
        <is>
          <t>2026-08-10</t>
        </is>
      </c>
    </row>
    <row r="842">
      <c r="A842" t="n">
        <v>133</v>
      </c>
      <c r="B842" t="inlineStr">
        <is>
          <t>HiBy</t>
        </is>
      </c>
      <c r="C842" t="inlineStr">
        <is>
          <t>FC5</t>
        </is>
      </c>
      <c r="D842" t="inlineStr">
        <is>
          <t>4.4mm</t>
        </is>
      </c>
      <c r="E842" t="inlineStr">
        <is>
          <t>Oui</t>
        </is>
      </c>
      <c r="F842" t="inlineStr">
        <is>
          <t>https://headfonics.com/hiby-fc5-review/</t>
        </is>
      </c>
      <c r="G842" s="26" t="inlineStr">
        <is>
          <t>One end has a USB-C female connector and the other end has a 4.4mm Pentaconn female headphone output connector that concludes the input and output section.</t>
        </is>
      </c>
      <c r="H842" t="inlineStr">
        <is>
          <t>2026-08-10</t>
        </is>
      </c>
    </row>
    <row r="843">
      <c r="A843" t="n">
        <v>133</v>
      </c>
      <c r="B843" t="inlineStr">
        <is>
          <t>HiBy</t>
        </is>
      </c>
      <c r="C843" t="inlineStr">
        <is>
          <t>FC5</t>
        </is>
      </c>
      <c r="D843" t="inlineStr">
        <is>
          <t>2.5mm</t>
        </is>
      </c>
      <c r="E843" t="inlineStr">
        <is>
          <t>Non</t>
        </is>
      </c>
      <c r="F843" t="inlineStr">
        <is>
          <t>https://headfonics.com/hiby-fc5-review/</t>
        </is>
      </c>
      <c r="G843" s="26" t="inlineStr">
        <is>
          <t>One end has a USB-C female connector and the other end has a 4.4mm Pentaconn female headphone output connector that concludes the input and output section.</t>
        </is>
      </c>
      <c r="H843" t="inlineStr">
        <is>
          <t>2026-08-10</t>
        </is>
      </c>
    </row>
    <row r="844">
      <c r="A844" t="n">
        <v>133</v>
      </c>
      <c r="B844" t="inlineStr">
        <is>
          <t>HiBy</t>
        </is>
      </c>
      <c r="C844" t="inlineStr">
        <is>
          <t>FC5</t>
        </is>
      </c>
      <c r="D844" t="inlineStr">
        <is>
          <t>6.35mm</t>
        </is>
      </c>
      <c r="E844" t="inlineStr">
        <is>
          <t>Non</t>
        </is>
      </c>
      <c r="F844" t="inlineStr">
        <is>
          <t>https://headfonics.com/hiby-fc5-review/</t>
        </is>
      </c>
      <c r="G844" s="26" t="inlineStr">
        <is>
          <t>One end has a USB-C female connector and the other end has a 4.4mm Pentaconn female headphone output connector that concludes the input and output section.</t>
        </is>
      </c>
      <c r="H844" t="inlineStr">
        <is>
          <t>2026-08-10</t>
        </is>
      </c>
    </row>
    <row r="845">
      <c r="A845" t="n">
        <v>133</v>
      </c>
      <c r="B845" t="inlineStr">
        <is>
          <t>HiBy</t>
        </is>
      </c>
      <c r="C845" t="inlineStr">
        <is>
          <t>FC5</t>
        </is>
      </c>
      <c r="D845" t="inlineStr">
        <is>
          <t>XLR</t>
        </is>
      </c>
      <c r="E845" t="inlineStr">
        <is>
          <t>Non</t>
        </is>
      </c>
      <c r="F845" t="inlineStr">
        <is>
          <t>https://headfonics.com/hiby-fc5-review/</t>
        </is>
      </c>
      <c r="G845" s="26" t="inlineStr">
        <is>
          <t>One end has a USB-C female connector and the other end has a 4.4mm Pentaconn female headphone output connector that concludes the input and output section.</t>
        </is>
      </c>
      <c r="H845" t="inlineStr">
        <is>
          <t>2026-08-10</t>
        </is>
      </c>
    </row>
    <row r="846">
      <c r="A846" t="n">
        <v>134</v>
      </c>
      <c r="B846" t="inlineStr">
        <is>
          <t>Chord</t>
        </is>
      </c>
      <c r="C846" t="inlineStr">
        <is>
          <t>Mojo 2</t>
        </is>
      </c>
      <c r="D846" t="inlineStr">
        <is>
          <t>Batterie</t>
        </is>
      </c>
      <c r="E846" t="inlineStr">
        <is>
          <t>Oui</t>
        </is>
      </c>
      <c r="F846" t="inlineStr">
        <is>
          <t>https://www.whathifi.com/reviews/chord-mojo-2</t>
        </is>
      </c>
      <c r="G846" s="26" t="inlineStr">
        <is>
          <t>Battery life Eight hours</t>
        </is>
      </c>
      <c r="H846" t="inlineStr">
        <is>
          <t>2026-08-10</t>
        </is>
      </c>
    </row>
    <row r="847">
      <c r="A847" t="n">
        <v>134</v>
      </c>
      <c r="B847" t="inlineStr">
        <is>
          <t>Chord</t>
        </is>
      </c>
      <c r="C847" t="inlineStr">
        <is>
          <t>Mojo 2</t>
        </is>
      </c>
      <c r="D847" t="inlineStr">
        <is>
          <t>Bluetooth</t>
        </is>
      </c>
      <c r="E847" t="inlineStr">
        <is>
          <t>Non</t>
        </is>
      </c>
      <c r="F847" t="inlineStr">
        <is>
          <t>https://www.whathifi.com/reviews/chord-mojo-2</t>
        </is>
      </c>
      <c r="G847" s="26" t="inlineStr">
        <is>
          <t>Inputs Optical, 3.5mm coaxial, USB-C, Micro USB</t>
        </is>
      </c>
      <c r="H847" t="inlineStr">
        <is>
          <t>2026-08-10</t>
        </is>
      </c>
    </row>
    <row r="848">
      <c r="A848" t="n">
        <v>134</v>
      </c>
      <c r="B848" t="inlineStr">
        <is>
          <t>Chord</t>
        </is>
      </c>
      <c r="C848" t="inlineStr">
        <is>
          <t>Mojo 2</t>
        </is>
      </c>
      <c r="D848" t="inlineStr">
        <is>
          <t>3.5mm</t>
        </is>
      </c>
      <c r="E848" t="inlineStr">
        <is>
          <t>Oui</t>
        </is>
      </c>
      <c r="F848" t="inlineStr">
        <is>
          <t>https://www.chordelectronics.co.uk/product/mojo-2/</t>
        </is>
      </c>
      <c r="G848" s="26" t="inlineStr">
        <is>
          <t>1x 3.5 mm/1x 4.4 mm headphone output</t>
        </is>
      </c>
      <c r="H848" t="inlineStr">
        <is>
          <t>2026-08-10</t>
        </is>
      </c>
    </row>
    <row r="849">
      <c r="A849" t="n">
        <v>134</v>
      </c>
      <c r="B849" t="inlineStr">
        <is>
          <t>Chord</t>
        </is>
      </c>
      <c r="C849" t="inlineStr">
        <is>
          <t>Mojo 2</t>
        </is>
      </c>
      <c r="D849" t="inlineStr">
        <is>
          <t>4.4mm</t>
        </is>
      </c>
      <c r="E849" t="inlineStr">
        <is>
          <t>Oui</t>
        </is>
      </c>
      <c r="F849" t="inlineStr">
        <is>
          <t>https://www.chordelectronics.co.uk/product/mojo-2/</t>
        </is>
      </c>
      <c r="G849" s="26" t="inlineStr">
        <is>
          <t>1x 3.5 mm/1x 4.4 mm headphone output</t>
        </is>
      </c>
      <c r="H849" t="inlineStr">
        <is>
          <t>2026-08-10</t>
        </is>
      </c>
    </row>
    <row r="850">
      <c r="A850" t="n">
        <v>134</v>
      </c>
      <c r="B850" t="inlineStr">
        <is>
          <t>Chord</t>
        </is>
      </c>
      <c r="C850" t="inlineStr">
        <is>
          <t>Mojo 2</t>
        </is>
      </c>
      <c r="D850" t="inlineStr">
        <is>
          <t>2.5mm</t>
        </is>
      </c>
      <c r="E850" t="inlineStr">
        <is>
          <t>Non</t>
        </is>
      </c>
      <c r="F850" t="inlineStr">
        <is>
          <t>https://www.chordelectronics.co.uk/product/mojo-2/</t>
        </is>
      </c>
      <c r="G850" s="26" t="inlineStr">
        <is>
          <t>1x 3.5 mm/1x 4.4 mm headphone output</t>
        </is>
      </c>
      <c r="H850" t="inlineStr">
        <is>
          <t>2026-08-10</t>
        </is>
      </c>
    </row>
    <row r="851">
      <c r="A851" t="n">
        <v>134</v>
      </c>
      <c r="B851" t="inlineStr">
        <is>
          <t>Chord</t>
        </is>
      </c>
      <c r="C851" t="inlineStr">
        <is>
          <t>Mojo 2</t>
        </is>
      </c>
      <c r="D851" t="inlineStr">
        <is>
          <t>6.35mm</t>
        </is>
      </c>
      <c r="E851" t="inlineStr">
        <is>
          <t>Non</t>
        </is>
      </c>
      <c r="F851" t="inlineStr">
        <is>
          <t>https://www.chordelectronics.co.uk/product/mojo-2/</t>
        </is>
      </c>
      <c r="G851" s="26" t="inlineStr">
        <is>
          <t>1x 3.5 mm/1x 4.4 mm headphone output</t>
        </is>
      </c>
      <c r="H851" t="inlineStr">
        <is>
          <t>2026-08-10</t>
        </is>
      </c>
    </row>
    <row r="852">
      <c r="A852" t="n">
        <v>134</v>
      </c>
      <c r="B852" t="inlineStr">
        <is>
          <t>Chord</t>
        </is>
      </c>
      <c r="C852" t="inlineStr">
        <is>
          <t>Mojo 2</t>
        </is>
      </c>
      <c r="D852" t="inlineStr">
        <is>
          <t>XLR</t>
        </is>
      </c>
      <c r="E852" t="inlineStr">
        <is>
          <t>Non</t>
        </is>
      </c>
      <c r="F852" t="inlineStr">
        <is>
          <t>https://www.chordelectronics.co.uk/product/mojo-2/</t>
        </is>
      </c>
      <c r="G852" s="26" t="inlineStr">
        <is>
          <t>1x 3.5 mm/1x 4.4 mm headphone output</t>
        </is>
      </c>
      <c r="H852" t="inlineStr">
        <is>
          <t>2026-08-10</t>
        </is>
      </c>
    </row>
    <row r="853">
      <c r="A853" t="n">
        <v>134</v>
      </c>
      <c r="B853" t="inlineStr">
        <is>
          <t>Chord</t>
        </is>
      </c>
      <c r="C853" t="inlineStr">
        <is>
          <t>Mojo 2</t>
        </is>
      </c>
      <c r="D853" t="inlineStr">
        <is>
          <t>DSP/PEQ</t>
        </is>
      </c>
      <c r="E853" t="inlineStr">
        <is>
          <t>Oui</t>
        </is>
      </c>
      <c r="F853" t="inlineStr">
        <is>
          <t>https://www.whathifi.com/reviews/chord-mojo-2</t>
        </is>
      </c>
      <c r="G853" s="26" t="inlineStr">
        <is>
          <t>pressing it twice accesses the tone control adjustment, whereby four equalisation DSP modes (lower bass; mid-bass; lower treble and high treble) can each be adjusted in 18 1dB steps using the volume up and down buttons</t>
        </is>
      </c>
      <c r="H853" t="inlineStr">
        <is>
          <t>2026-08-10</t>
        </is>
      </c>
    </row>
    <row r="854">
      <c r="A854" t="n">
        <v>135</v>
      </c>
      <c r="B854" t="inlineStr">
        <is>
          <t>Cayin</t>
        </is>
      </c>
      <c r="C854" t="inlineStr">
        <is>
          <t>RU6</t>
        </is>
      </c>
      <c r="D854" t="inlineStr">
        <is>
          <t>Batterie</t>
        </is>
      </c>
      <c r="E854" t="inlineStr">
        <is>
          <t>Non</t>
        </is>
      </c>
      <c r="F854" t="inlineStr">
        <is>
          <t>https://headfonics.com/cayin-ru6-review/</t>
        </is>
      </c>
      <c r="G854" s="26" t="inlineStr">
        <is>
          <t>this USB-powered dongle offers impressive performance even under USB power constraints</t>
        </is>
      </c>
      <c r="H854" t="inlineStr">
        <is>
          <t>2026-08-10</t>
        </is>
      </c>
    </row>
    <row r="855">
      <c r="A855" t="n">
        <v>135</v>
      </c>
      <c r="B855" t="inlineStr">
        <is>
          <t>Cayin</t>
        </is>
      </c>
      <c r="C855" t="inlineStr">
        <is>
          <t>RU6</t>
        </is>
      </c>
      <c r="D855" t="inlineStr">
        <is>
          <t>3.5mm</t>
        </is>
      </c>
      <c r="E855" t="inlineStr">
        <is>
          <t>Oui</t>
        </is>
      </c>
      <c r="F855" t="inlineStr">
        <is>
          <t>https://www.headfonia.com/cayin-ru6-review/</t>
        </is>
      </c>
      <c r="G855" s="26" t="inlineStr">
        <is>
          <t>The Cayin RU6 has two headphone outputs, 3.5mm single ended and 4.4mm balanced.</t>
        </is>
      </c>
      <c r="H855" t="inlineStr">
        <is>
          <t>2026-08-10</t>
        </is>
      </c>
    </row>
    <row r="856">
      <c r="A856" t="n">
        <v>135</v>
      </c>
      <c r="B856" t="inlineStr">
        <is>
          <t>Cayin</t>
        </is>
      </c>
      <c r="C856" t="inlineStr">
        <is>
          <t>RU6</t>
        </is>
      </c>
      <c r="D856" t="inlineStr">
        <is>
          <t>4.4mm</t>
        </is>
      </c>
      <c r="E856" t="inlineStr">
        <is>
          <t>Oui</t>
        </is>
      </c>
      <c r="F856" t="inlineStr">
        <is>
          <t>https://www.headfonia.com/cayin-ru6-review/</t>
        </is>
      </c>
      <c r="G856" s="26" t="inlineStr">
        <is>
          <t>The Cayin RU6 has two headphone outputs, 3.5mm single ended and 4.4mm balanced.</t>
        </is>
      </c>
      <c r="H856" t="inlineStr">
        <is>
          <t>2026-08-10</t>
        </is>
      </c>
    </row>
    <row r="857">
      <c r="A857" t="n">
        <v>135</v>
      </c>
      <c r="B857" t="inlineStr">
        <is>
          <t>Cayin</t>
        </is>
      </c>
      <c r="C857" t="inlineStr">
        <is>
          <t>RU6</t>
        </is>
      </c>
      <c r="D857" t="inlineStr">
        <is>
          <t>2.5mm</t>
        </is>
      </c>
      <c r="E857" t="inlineStr">
        <is>
          <t>Non</t>
        </is>
      </c>
      <c r="F857" t="inlineStr">
        <is>
          <t>https://www.headfonia.com/cayin-ru6-review/</t>
        </is>
      </c>
      <c r="G857" s="26" t="inlineStr">
        <is>
          <t>The Cayin RU6 has two headphone outputs, 3.5mm single ended and 4.4mm balanced.</t>
        </is>
      </c>
      <c r="H857" t="inlineStr">
        <is>
          <t>2026-08-10</t>
        </is>
      </c>
    </row>
    <row r="858">
      <c r="A858" t="n">
        <v>135</v>
      </c>
      <c r="B858" t="inlineStr">
        <is>
          <t>Cayin</t>
        </is>
      </c>
      <c r="C858" t="inlineStr">
        <is>
          <t>RU6</t>
        </is>
      </c>
      <c r="D858" t="inlineStr">
        <is>
          <t>6.35mm</t>
        </is>
      </c>
      <c r="E858" t="inlineStr">
        <is>
          <t>Non</t>
        </is>
      </c>
      <c r="F858" t="inlineStr">
        <is>
          <t>https://www.headfonia.com/cayin-ru6-review/</t>
        </is>
      </c>
      <c r="G858" s="26" t="inlineStr">
        <is>
          <t>The Cayin RU6 has two headphone outputs, 3.5mm single ended and 4.4mm balanced.</t>
        </is>
      </c>
      <c r="H858" t="inlineStr">
        <is>
          <t>2026-08-10</t>
        </is>
      </c>
    </row>
    <row r="859">
      <c r="A859" t="n">
        <v>135</v>
      </c>
      <c r="B859" t="inlineStr">
        <is>
          <t>Cayin</t>
        </is>
      </c>
      <c r="C859" t="inlineStr">
        <is>
          <t>RU6</t>
        </is>
      </c>
      <c r="D859" t="inlineStr">
        <is>
          <t>XLR</t>
        </is>
      </c>
      <c r="E859" t="inlineStr">
        <is>
          <t>Non</t>
        </is>
      </c>
      <c r="F859" t="inlineStr">
        <is>
          <t>https://www.headfonia.com/cayin-ru6-review/</t>
        </is>
      </c>
      <c r="G859" s="26" t="inlineStr">
        <is>
          <t>The Cayin RU6 has two headphone outputs, 3.5mm single ended and 4.4mm balanced.</t>
        </is>
      </c>
      <c r="H859" t="inlineStr">
        <is>
          <t>2026-08-10</t>
        </is>
      </c>
    </row>
    <row r="860">
      <c r="A860" t="n">
        <v>135</v>
      </c>
      <c r="B860" t="inlineStr">
        <is>
          <t>Cayin</t>
        </is>
      </c>
      <c r="C860" t="inlineStr">
        <is>
          <t>RU6</t>
        </is>
      </c>
      <c r="D860" t="inlineStr">
        <is>
          <t>DSP/PEQ</t>
        </is>
      </c>
      <c r="E860" t="inlineStr">
        <is>
          <t>Non</t>
        </is>
      </c>
      <c r="F860" t="inlineStr">
        <is>
          <t>https://headfonics.com/cayin-ru6-review/</t>
        </is>
      </c>
      <c r="G860" s="26" t="inlineStr">
        <is>
          <t>By holding down the multi-functional button that lights up or switches off the screen display, users can access the settings for over-sampling/ non-oversampling mode, high or low gain levels, and the screen-off timer.</t>
        </is>
      </c>
      <c r="H860" t="inlineStr">
        <is>
          <t>2026-08-10</t>
        </is>
      </c>
    </row>
    <row r="861">
      <c r="A861" t="n">
        <v>136</v>
      </c>
      <c r="B861" t="inlineStr">
        <is>
          <t>iBasso</t>
        </is>
      </c>
      <c r="C861" t="inlineStr">
        <is>
          <t>DC05</t>
        </is>
      </c>
      <c r="D861" t="inlineStr">
        <is>
          <t>Bluetooth</t>
        </is>
      </c>
      <c r="E861" t="inlineStr">
        <is>
          <t>Non</t>
        </is>
      </c>
      <c r="F861" t="inlineStr">
        <is>
          <t>https://headfonics.com/ibasso-dc05-review/</t>
        </is>
      </c>
      <c r="G861" s="26" t="inlineStr">
        <is>
          <t>The single digital input is a single USB type C connected directly into the dongle shell with a twisted cable wrapped with transparent insulation.</t>
        </is>
      </c>
      <c r="H861" t="inlineStr">
        <is>
          <t>2026-08-10</t>
        </is>
      </c>
    </row>
    <row r="862">
      <c r="A862" t="n">
        <v>136</v>
      </c>
      <c r="B862" t="inlineStr">
        <is>
          <t>iBasso</t>
        </is>
      </c>
      <c r="C862" t="inlineStr">
        <is>
          <t>DC05</t>
        </is>
      </c>
      <c r="D862" t="inlineStr">
        <is>
          <t>3.5mm</t>
        </is>
      </c>
      <c r="E862" t="inlineStr">
        <is>
          <t>Oui</t>
        </is>
      </c>
      <c r="F862" t="inlineStr">
        <is>
          <t>https://headfonics.com/ibasso-dc05-review/</t>
        </is>
      </c>
      <c r="G862" s="26" t="inlineStr">
        <is>
          <t>The other end has a single-ended 3.5mm output plug just like the DC03 and unlike the DC04 which has a single 4.4mm balanced output.</t>
        </is>
      </c>
      <c r="H862" t="inlineStr">
        <is>
          <t>2026-08-10</t>
        </is>
      </c>
    </row>
    <row r="863">
      <c r="A863" t="n">
        <v>136</v>
      </c>
      <c r="B863" t="inlineStr">
        <is>
          <t>iBasso</t>
        </is>
      </c>
      <c r="C863" t="inlineStr">
        <is>
          <t>DC05</t>
        </is>
      </c>
      <c r="D863" t="inlineStr">
        <is>
          <t>4.4mm</t>
        </is>
      </c>
      <c r="E863" t="inlineStr">
        <is>
          <t>Non</t>
        </is>
      </c>
      <c r="F863" t="inlineStr">
        <is>
          <t>https://headfonics.com/ibasso-dc05-review/</t>
        </is>
      </c>
      <c r="G863" s="26" t="inlineStr">
        <is>
          <t>Of all my single-output, single-ended 3.5mm dongle DACs the iBasso DC05 is now one of my favorite models.</t>
        </is>
      </c>
      <c r="H863" t="inlineStr">
        <is>
          <t>2026-08-10</t>
        </is>
      </c>
    </row>
    <row r="864">
      <c r="A864" t="n">
        <v>136</v>
      </c>
      <c r="B864" t="inlineStr">
        <is>
          <t>iBasso</t>
        </is>
      </c>
      <c r="C864" t="inlineStr">
        <is>
          <t>DC05</t>
        </is>
      </c>
      <c r="D864" t="inlineStr">
        <is>
          <t>2.5mm</t>
        </is>
      </c>
      <c r="E864" t="inlineStr">
        <is>
          <t>Non</t>
        </is>
      </c>
      <c r="F864" t="inlineStr">
        <is>
          <t>https://headfonics.com/ibasso-dc05-review/</t>
        </is>
      </c>
      <c r="G864" s="26" t="inlineStr">
        <is>
          <t>Of all my single-output, single-ended 3.5mm dongle DACs the iBasso DC05 is now one of my favorite models.</t>
        </is>
      </c>
      <c r="H864" t="inlineStr">
        <is>
          <t>2026-08-10</t>
        </is>
      </c>
    </row>
    <row r="865">
      <c r="A865" t="n">
        <v>136</v>
      </c>
      <c r="B865" t="inlineStr">
        <is>
          <t>iBasso</t>
        </is>
      </c>
      <c r="C865" t="inlineStr">
        <is>
          <t>DC05</t>
        </is>
      </c>
      <c r="D865" t="inlineStr">
        <is>
          <t>6.35mm</t>
        </is>
      </c>
      <c r="E865" t="inlineStr">
        <is>
          <t>Non</t>
        </is>
      </c>
      <c r="F865" t="inlineStr">
        <is>
          <t>https://headfonics.com/ibasso-dc05-review/</t>
        </is>
      </c>
      <c r="G865" s="26" t="inlineStr">
        <is>
          <t>Of all my single-output, single-ended 3.5mm dongle DACs the iBasso DC05 is now one of my favorite models.</t>
        </is>
      </c>
      <c r="H865" t="inlineStr">
        <is>
          <t>2026-08-10</t>
        </is>
      </c>
    </row>
    <row r="866">
      <c r="A866" t="n">
        <v>136</v>
      </c>
      <c r="B866" t="inlineStr">
        <is>
          <t>iBasso</t>
        </is>
      </c>
      <c r="C866" t="inlineStr">
        <is>
          <t>DC05</t>
        </is>
      </c>
      <c r="D866" t="inlineStr">
        <is>
          <t>XLR</t>
        </is>
      </c>
      <c r="E866" t="inlineStr">
        <is>
          <t>Non</t>
        </is>
      </c>
      <c r="F866" t="inlineStr">
        <is>
          <t>https://headfonics.com/ibasso-dc05-review/</t>
        </is>
      </c>
      <c r="G866" s="26" t="inlineStr">
        <is>
          <t>Of all my single-output, single-ended 3.5mm dongle DACs the iBasso DC05 is now one of my favorite models.</t>
        </is>
      </c>
      <c r="H866" t="inlineStr">
        <is>
          <t>2026-08-10</t>
        </is>
      </c>
    </row>
    <row r="867">
      <c r="A867" t="n">
        <v>136</v>
      </c>
      <c r="B867" t="inlineStr">
        <is>
          <t>iBasso</t>
        </is>
      </c>
      <c r="C867" t="inlineStr">
        <is>
          <t>DC05</t>
        </is>
      </c>
      <c r="D867" t="inlineStr">
        <is>
          <t>DSP/PEQ</t>
        </is>
      </c>
      <c r="E867" t="inlineStr">
        <is>
          <t>Non</t>
        </is>
      </c>
      <c r="F867" t="inlineStr">
        <is>
          <t>https://headfonics.com/ibasso-dc05-review/</t>
        </is>
      </c>
      <c r="G867" s="26" t="inlineStr">
        <is>
          <t>I did not go deep into an iBasso UAC app description because it’s basically a volume control app and not much else except for the firmware update feature but honestly, I rather use the PC for that purpose.</t>
        </is>
      </c>
      <c r="H867" t="inlineStr">
        <is>
          <t>2026-08-10</t>
        </is>
      </c>
    </row>
    <row r="868">
      <c r="A868" t="n">
        <v>137</v>
      </c>
      <c r="B868" t="inlineStr">
        <is>
          <t>FiiO</t>
        </is>
      </c>
      <c r="C868" t="inlineStr">
        <is>
          <t>KA3</t>
        </is>
      </c>
      <c r="D868" t="inlineStr">
        <is>
          <t>Batterie</t>
        </is>
      </c>
      <c r="E868" t="inlineStr">
        <is>
          <t>Non</t>
        </is>
      </c>
      <c r="F868" t="inlineStr">
        <is>
          <t>https://headfonics.com/fiio-ka3-review/</t>
        </is>
      </c>
      <c r="G868" s="26" t="inlineStr">
        <is>
          <t>Remember the KA3 does not have a battery so it relies on the connected source for power so just keep that in mind if your days are long and you depend on your phone and high battery drain worries you some.</t>
        </is>
      </c>
      <c r="H868" t="inlineStr">
        <is>
          <t>2026-08-10</t>
        </is>
      </c>
    </row>
    <row r="869">
      <c r="A869" t="n">
        <v>137</v>
      </c>
      <c r="B869" t="inlineStr">
        <is>
          <t>FiiO</t>
        </is>
      </c>
      <c r="C869" t="inlineStr">
        <is>
          <t>KA3</t>
        </is>
      </c>
      <c r="D869" t="inlineStr">
        <is>
          <t>Bluetooth</t>
        </is>
      </c>
      <c r="E869" t="inlineStr">
        <is>
          <t>Non</t>
        </is>
      </c>
      <c r="F869" t="inlineStr">
        <is>
          <t>https://headfonics.com/fiio-ka3-review/</t>
        </is>
      </c>
      <c r="G869" s="26" t="inlineStr">
        <is>
          <t>The KA3 is no exception to the rule and has a conventional USB-C female connection on one end and two headphone outputs at the other end.</t>
        </is>
      </c>
      <c r="H869" t="inlineStr">
        <is>
          <t>2026-08-10</t>
        </is>
      </c>
    </row>
    <row r="870">
      <c r="A870" t="n">
        <v>137</v>
      </c>
      <c r="B870" t="inlineStr">
        <is>
          <t>FiiO</t>
        </is>
      </c>
      <c r="C870" t="inlineStr">
        <is>
          <t>KA3</t>
        </is>
      </c>
      <c r="D870" t="inlineStr">
        <is>
          <t>3.5mm</t>
        </is>
      </c>
      <c r="E870" t="inlineStr">
        <is>
          <t>Oui</t>
        </is>
      </c>
      <c r="F870" t="inlineStr">
        <is>
          <t>https://headfonics.com/fiio-ka3-review/</t>
        </is>
      </c>
      <c r="G870" s="26" t="inlineStr">
        <is>
          <t>There’s a single-ended 3.5mm plug and a Pentaconn 4.4mm balanced output which is mounted somewhat off-centered</t>
        </is>
      </c>
      <c r="H870" t="inlineStr">
        <is>
          <t>2026-08-10</t>
        </is>
      </c>
    </row>
    <row r="871">
      <c r="A871" t="n">
        <v>137</v>
      </c>
      <c r="B871" t="inlineStr">
        <is>
          <t>FiiO</t>
        </is>
      </c>
      <c r="C871" t="inlineStr">
        <is>
          <t>KA3</t>
        </is>
      </c>
      <c r="D871" t="inlineStr">
        <is>
          <t>4.4mm</t>
        </is>
      </c>
      <c r="E871" t="inlineStr">
        <is>
          <t>Oui</t>
        </is>
      </c>
      <c r="F871" t="inlineStr">
        <is>
          <t>https://headfonics.com/fiio-ka3-review/</t>
        </is>
      </c>
      <c r="G871" s="26" t="inlineStr">
        <is>
          <t>There’s a single-ended 3.5mm plug and a Pentaconn 4.4mm balanced output which is mounted somewhat off-centered</t>
        </is>
      </c>
      <c r="H871" t="inlineStr">
        <is>
          <t>2026-08-10</t>
        </is>
      </c>
    </row>
    <row r="872">
      <c r="A872" t="n">
        <v>137</v>
      </c>
      <c r="B872" t="inlineStr">
        <is>
          <t>FiiO</t>
        </is>
      </c>
      <c r="C872" t="inlineStr">
        <is>
          <t>KA3</t>
        </is>
      </c>
      <c r="D872" t="inlineStr">
        <is>
          <t>2.5mm</t>
        </is>
      </c>
      <c r="E872" t="inlineStr">
        <is>
          <t>Non</t>
        </is>
      </c>
      <c r="F872" t="inlineStr">
        <is>
          <t>https://headfonics.com/fiio-ka3-review/</t>
        </is>
      </c>
      <c r="G872" s="26" t="inlineStr">
        <is>
          <t>has a conventional USB-C female connection on one end and two headphone outputs at the other end</t>
        </is>
      </c>
      <c r="H872" t="inlineStr">
        <is>
          <t>2026-08-10</t>
        </is>
      </c>
    </row>
    <row r="873">
      <c r="A873" t="n">
        <v>137</v>
      </c>
      <c r="B873" t="inlineStr">
        <is>
          <t>FiiO</t>
        </is>
      </c>
      <c r="C873" t="inlineStr">
        <is>
          <t>KA3</t>
        </is>
      </c>
      <c r="D873" t="inlineStr">
        <is>
          <t>6.35mm</t>
        </is>
      </c>
      <c r="E873" t="inlineStr">
        <is>
          <t>Non</t>
        </is>
      </c>
      <c r="F873" t="inlineStr">
        <is>
          <t>https://headfonics.com/fiio-ka3-review/</t>
        </is>
      </c>
      <c r="G873" s="26" t="inlineStr">
        <is>
          <t>has a conventional USB-C female connection on one end and two headphone outputs at the other end</t>
        </is>
      </c>
      <c r="H873" t="inlineStr">
        <is>
          <t>2026-08-10</t>
        </is>
      </c>
    </row>
    <row r="874">
      <c r="A874" t="n">
        <v>137</v>
      </c>
      <c r="B874" t="inlineStr">
        <is>
          <t>FiiO</t>
        </is>
      </c>
      <c r="C874" t="inlineStr">
        <is>
          <t>KA3</t>
        </is>
      </c>
      <c r="D874" t="inlineStr">
        <is>
          <t>XLR</t>
        </is>
      </c>
      <c r="E874" t="inlineStr">
        <is>
          <t>Non</t>
        </is>
      </c>
      <c r="F874" t="inlineStr">
        <is>
          <t>https://headfonics.com/fiio-ka3-review/</t>
        </is>
      </c>
      <c r="G874" s="26" t="inlineStr">
        <is>
          <t>has a conventional USB-C female connection on one end and two headphone outputs at the other end</t>
        </is>
      </c>
      <c r="H874" t="inlineStr">
        <is>
          <t>2026-08-10</t>
        </is>
      </c>
    </row>
    <row r="875">
      <c r="A875" t="n">
        <v>137</v>
      </c>
      <c r="B875" t="inlineStr">
        <is>
          <t>FiiO</t>
        </is>
      </c>
      <c r="C875" t="inlineStr">
        <is>
          <t>KA3</t>
        </is>
      </c>
      <c r="D875" t="inlineStr">
        <is>
          <t>DSP/PEQ</t>
        </is>
      </c>
      <c r="E875" t="inlineStr">
        <is>
          <t>Non</t>
        </is>
      </c>
      <c r="F875" t="inlineStr">
        <is>
          <t>https://headfonics.com/fiio-ka3-review/</t>
        </is>
      </c>
      <c r="G875" s="26" t="inlineStr">
        <is>
          <t>I was unable to locate an equalizer within the app which might irksome.</t>
        </is>
      </c>
      <c r="H875" t="inlineStr">
        <is>
          <t>2026-08-10</t>
        </is>
      </c>
    </row>
    <row r="876">
      <c r="A876" t="n">
        <v>138</v>
      </c>
      <c r="B876" t="inlineStr">
        <is>
          <t>iFi audio</t>
        </is>
      </c>
      <c r="C876" t="inlineStr">
        <is>
          <t>hip-dac2</t>
        </is>
      </c>
      <c r="D876" t="inlineStr">
        <is>
          <t>Batterie</t>
        </is>
      </c>
      <c r="E876" t="inlineStr">
        <is>
          <t>Oui</t>
        </is>
      </c>
      <c r="F876" t="inlineStr">
        <is>
          <t>https://headfonics.com/ifi-audio-hip-dac2-review/</t>
        </is>
      </c>
      <c r="G876" s="26" t="inlineStr">
        <is>
          <t>The internal non-replaceable 2200mAh Lithium Polymer battery is rated to last 8 hours but it did not go that far out for me personally.</t>
        </is>
      </c>
      <c r="H876" t="inlineStr">
        <is>
          <t>2026-08-10</t>
        </is>
      </c>
    </row>
    <row r="877">
      <c r="A877" t="n">
        <v>138</v>
      </c>
      <c r="B877" t="inlineStr">
        <is>
          <t>iFi audio</t>
        </is>
      </c>
      <c r="C877" t="inlineStr">
        <is>
          <t>hip-dac2</t>
        </is>
      </c>
      <c r="D877" t="inlineStr">
        <is>
          <t>Bluetooth</t>
        </is>
      </c>
      <c r="E877" t="inlineStr">
        <is>
          <t>Non</t>
        </is>
      </c>
      <c r="F877" t="inlineStr">
        <is>
          <t>https://headfonics.com/ifi-audio-hip-dac2-review/</t>
        </is>
      </c>
      <c r="G877" s="26" t="inlineStr">
        <is>
          <t>On the rear panel, everything seems the same as the first hip-dac and iFi kept the infamous sunken full-size USB male connection for its only input source.</t>
        </is>
      </c>
      <c r="H877" t="inlineStr">
        <is>
          <t>2026-08-10</t>
        </is>
      </c>
    </row>
    <row r="878">
      <c r="A878" t="n">
        <v>138</v>
      </c>
      <c r="B878" t="inlineStr">
        <is>
          <t>iFi audio</t>
        </is>
      </c>
      <c r="C878" t="inlineStr">
        <is>
          <t>hip-dac2</t>
        </is>
      </c>
      <c r="D878" t="inlineStr">
        <is>
          <t>3.5mm</t>
        </is>
      </c>
      <c r="E878" t="inlineStr">
        <is>
          <t>Oui</t>
        </is>
      </c>
      <c r="F878" t="inlineStr">
        <is>
          <t>https://headfonics.com/ifi-audio-hip-dac2-review/</t>
        </is>
      </c>
      <c r="G878" s="26" t="inlineStr">
        <is>
          <t>The front panel has a 4.4 Pentaconn balanced output with a second 3.5mm which internally assimilates a balanced port with what IFi calls S balanced circuitry.</t>
        </is>
      </c>
      <c r="H878" t="inlineStr">
        <is>
          <t>2026-08-10</t>
        </is>
      </c>
    </row>
    <row r="879">
      <c r="A879" t="n">
        <v>138</v>
      </c>
      <c r="B879" t="inlineStr">
        <is>
          <t>iFi audio</t>
        </is>
      </c>
      <c r="C879" t="inlineStr">
        <is>
          <t>hip-dac2</t>
        </is>
      </c>
      <c r="D879" t="inlineStr">
        <is>
          <t>4.4mm</t>
        </is>
      </c>
      <c r="E879" t="inlineStr">
        <is>
          <t>Oui</t>
        </is>
      </c>
      <c r="F879" t="inlineStr">
        <is>
          <t>https://headfonics.com/ifi-audio-hip-dac2-review/</t>
        </is>
      </c>
      <c r="G879" s="26" t="inlineStr">
        <is>
          <t>The front panel has a 4.4 Pentaconn balanced output with a second 3.5mm which internally assimilates a balanced port with what IFi calls S balanced circuitry.</t>
        </is>
      </c>
      <c r="H879" t="inlineStr">
        <is>
          <t>2026-08-10</t>
        </is>
      </c>
    </row>
    <row r="880">
      <c r="A880" t="n">
        <v>138</v>
      </c>
      <c r="B880" t="inlineStr">
        <is>
          <t>iFi audio</t>
        </is>
      </c>
      <c r="C880" t="inlineStr">
        <is>
          <t>hip-dac2</t>
        </is>
      </c>
      <c r="D880" t="inlineStr">
        <is>
          <t>2.5mm</t>
        </is>
      </c>
      <c r="E880" t="inlineStr">
        <is>
          <t>Non</t>
        </is>
      </c>
      <c r="F880" t="inlineStr">
        <is>
          <t>https://headfonics.com/ifi-audio-hip-dac2-review/</t>
        </is>
      </c>
      <c r="G880" s="26" t="inlineStr">
        <is>
          <t>The front panel has a 4.4 Pentaconn balanced output with a second 3.5mm which internally assimilates a balanced port with what IFi calls S balanced circuitry.</t>
        </is>
      </c>
      <c r="H880" t="inlineStr">
        <is>
          <t>2026-08-10</t>
        </is>
      </c>
    </row>
    <row r="881">
      <c r="A881" t="n">
        <v>138</v>
      </c>
      <c r="B881" t="inlineStr">
        <is>
          <t>iFi audio</t>
        </is>
      </c>
      <c r="C881" t="inlineStr">
        <is>
          <t>hip-dac2</t>
        </is>
      </c>
      <c r="D881" t="inlineStr">
        <is>
          <t>6.35mm</t>
        </is>
      </c>
      <c r="E881" t="inlineStr">
        <is>
          <t>Non</t>
        </is>
      </c>
      <c r="F881" t="inlineStr">
        <is>
          <t>https://headfonics.com/ifi-audio-hip-dac2-review/</t>
        </is>
      </c>
      <c r="G881" s="26" t="inlineStr">
        <is>
          <t>The front panel has a 4.4 Pentaconn balanced output with a second 3.5mm which internally assimilates a balanced port with what IFi calls S balanced circuitry.</t>
        </is>
      </c>
      <c r="H881" t="inlineStr">
        <is>
          <t>2026-08-10</t>
        </is>
      </c>
    </row>
    <row r="882">
      <c r="A882" t="n">
        <v>138</v>
      </c>
      <c r="B882" t="inlineStr">
        <is>
          <t>iFi audio</t>
        </is>
      </c>
      <c r="C882" t="inlineStr">
        <is>
          <t>hip-dac2</t>
        </is>
      </c>
      <c r="D882" t="inlineStr">
        <is>
          <t>XLR</t>
        </is>
      </c>
      <c r="E882" t="inlineStr">
        <is>
          <t>Non</t>
        </is>
      </c>
      <c r="F882" t="inlineStr">
        <is>
          <t>https://headfonics.com/ifi-audio-hip-dac2-review/</t>
        </is>
      </c>
      <c r="G882" s="26" t="inlineStr">
        <is>
          <t>The front panel has a 4.4 Pentaconn balanced output with a second 3.5mm which internally assimilates a balanced port with what IFi calls S balanced circuitry.</t>
        </is>
      </c>
      <c r="H882" t="inlineStr">
        <is>
          <t>2026-08-10</t>
        </is>
      </c>
    </row>
    <row r="883">
      <c r="A883" t="n">
        <v>139</v>
      </c>
      <c r="B883" t="inlineStr">
        <is>
          <t>Hidizs</t>
        </is>
      </c>
      <c r="C883" t="inlineStr">
        <is>
          <t>S9 Pro Copper</t>
        </is>
      </c>
      <c r="D883" t="inlineStr">
        <is>
          <t>Batterie</t>
        </is>
      </c>
      <c r="E883" t="inlineStr">
        <is>
          <t>Non</t>
        </is>
      </c>
      <c r="F883" t="inlineStr">
        <is>
          <t>https://headfonics.com/hidizs-s9-pro-copper-limited-edition-review/</t>
        </is>
      </c>
      <c r="G883" s="26" t="inlineStr">
        <is>
          <t>The S9 PRO Copper Limited Edition does not have its own independent battery; power is drawn efficiently from the source.</t>
        </is>
      </c>
      <c r="H883" t="inlineStr">
        <is>
          <t>2026-08-10</t>
        </is>
      </c>
    </row>
    <row r="884">
      <c r="A884" t="n">
        <v>139</v>
      </c>
      <c r="B884" t="inlineStr">
        <is>
          <t>Hidizs</t>
        </is>
      </c>
      <c r="C884" t="inlineStr">
        <is>
          <t>S9 Pro Copper</t>
        </is>
      </c>
      <c r="D884" t="inlineStr">
        <is>
          <t>Bluetooth</t>
        </is>
      </c>
      <c r="E884" t="inlineStr">
        <is>
          <t>Non</t>
        </is>
      </c>
      <c r="F884" t="inlineStr">
        <is>
          <t>https://headfonics.com/hidizs-s9-pro-copper-limited-edition-review/</t>
        </is>
      </c>
      <c r="G884" s="26" t="inlineStr">
        <is>
          <t>There are only 3 inputs and outputs present; a USB-C connector at the rear of the unit, and a 2.5mm balanced and 3.5mm output right below at the other end.</t>
        </is>
      </c>
      <c r="H884" t="inlineStr">
        <is>
          <t>2026-08-10</t>
        </is>
      </c>
    </row>
    <row r="885">
      <c r="A885" t="n">
        <v>139</v>
      </c>
      <c r="B885" t="inlineStr">
        <is>
          <t>Hidizs</t>
        </is>
      </c>
      <c r="C885" t="inlineStr">
        <is>
          <t>S9 Pro Copper</t>
        </is>
      </c>
      <c r="D885" t="inlineStr">
        <is>
          <t>3.5mm</t>
        </is>
      </c>
      <c r="E885" t="inlineStr">
        <is>
          <t>Oui</t>
        </is>
      </c>
      <c r="F885" t="inlineStr">
        <is>
          <t>https://headfonics.com/hidizs-s9-pro-copper-limited-edition-review/</t>
        </is>
      </c>
      <c r="G885" s="26" t="inlineStr">
        <is>
          <t>There are only 3 inputs and outputs present; a USB-C connector at the rear of the unit, and a 2.5mm balanced and 3.5mm output right below at the other end.</t>
        </is>
      </c>
      <c r="H885" t="inlineStr">
        <is>
          <t>2026-08-10</t>
        </is>
      </c>
    </row>
    <row r="886">
      <c r="A886" t="n">
        <v>139</v>
      </c>
      <c r="B886" t="inlineStr">
        <is>
          <t>Hidizs</t>
        </is>
      </c>
      <c r="C886" t="inlineStr">
        <is>
          <t>S9 Pro Copper</t>
        </is>
      </c>
      <c r="D886" t="inlineStr">
        <is>
          <t>4.4mm</t>
        </is>
      </c>
      <c r="E886" t="inlineStr">
        <is>
          <t>Non</t>
        </is>
      </c>
      <c r="F886" t="inlineStr">
        <is>
          <t>https://headfonics.com/hidizs-s9-pro-copper-limited-edition-review/</t>
        </is>
      </c>
      <c r="G886" s="26" t="inlineStr">
        <is>
          <t>There are only 3 inputs and outputs present; a USB-C connector at the rear of the unit, and a 2.5mm balanced and 3.5mm output right below at the other end.</t>
        </is>
      </c>
      <c r="H886" t="inlineStr">
        <is>
          <t>2026-08-10</t>
        </is>
      </c>
    </row>
    <row r="887">
      <c r="A887" t="n">
        <v>139</v>
      </c>
      <c r="B887" t="inlineStr">
        <is>
          <t>Hidizs</t>
        </is>
      </c>
      <c r="C887" t="inlineStr">
        <is>
          <t>S9 Pro Copper</t>
        </is>
      </c>
      <c r="D887" t="inlineStr">
        <is>
          <t>2.5mm</t>
        </is>
      </c>
      <c r="E887" t="inlineStr">
        <is>
          <t>Oui</t>
        </is>
      </c>
      <c r="F887" t="inlineStr">
        <is>
          <t>https://headfonics.com/hidizs-s9-pro-copper-limited-edition-review/</t>
        </is>
      </c>
      <c r="G887" s="26" t="inlineStr">
        <is>
          <t>There are only 3 inputs and outputs present; a USB-C connector at the rear of the unit, and a 2.5mm balanced and 3.5mm output right below at the other end.</t>
        </is>
      </c>
      <c r="H887" t="inlineStr">
        <is>
          <t>2026-08-10</t>
        </is>
      </c>
    </row>
    <row r="888">
      <c r="A888" t="n">
        <v>139</v>
      </c>
      <c r="B888" t="inlineStr">
        <is>
          <t>Hidizs</t>
        </is>
      </c>
      <c r="C888" t="inlineStr">
        <is>
          <t>S9 Pro Copper</t>
        </is>
      </c>
      <c r="D888" t="inlineStr">
        <is>
          <t>6.35mm</t>
        </is>
      </c>
      <c r="E888" t="inlineStr">
        <is>
          <t>Non</t>
        </is>
      </c>
      <c r="F888" t="inlineStr">
        <is>
          <t>https://headfonics.com/hidizs-s9-pro-copper-limited-edition-review/</t>
        </is>
      </c>
      <c r="G888" s="26" t="inlineStr">
        <is>
          <t>There are only 3 inputs and outputs present; a USB-C connector at the rear of the unit, and a 2.5mm balanced and 3.5mm output right below at the other end.</t>
        </is>
      </c>
      <c r="H888" t="inlineStr">
        <is>
          <t>2026-08-10</t>
        </is>
      </c>
    </row>
    <row r="889">
      <c r="A889" t="n">
        <v>139</v>
      </c>
      <c r="B889" t="inlineStr">
        <is>
          <t>Hidizs</t>
        </is>
      </c>
      <c r="C889" t="inlineStr">
        <is>
          <t>S9 Pro Copper</t>
        </is>
      </c>
      <c r="D889" t="inlineStr">
        <is>
          <t>XLR</t>
        </is>
      </c>
      <c r="E889" t="inlineStr">
        <is>
          <t>Non</t>
        </is>
      </c>
      <c r="F889" t="inlineStr">
        <is>
          <t>https://headfonics.com/hidizs-s9-pro-copper-limited-edition-review/</t>
        </is>
      </c>
      <c r="G889" s="26" t="inlineStr">
        <is>
          <t>There are only 3 inputs and outputs present; a USB-C connector at the rear of the unit, and a 2.5mm balanced and 3.5mm output right below at the other end.</t>
        </is>
      </c>
      <c r="H889" t="inlineStr">
        <is>
          <t>2026-08-10</t>
        </is>
      </c>
    </row>
    <row r="890">
      <c r="A890" t="n">
        <v>140</v>
      </c>
      <c r="B890" t="inlineStr">
        <is>
          <t>Periodic Audio</t>
        </is>
      </c>
      <c r="C890" t="inlineStr">
        <is>
          <t>Rhodium DAC</t>
        </is>
      </c>
      <c r="D890" t="inlineStr">
        <is>
          <t>Bluetooth</t>
        </is>
      </c>
      <c r="E890" t="inlineStr">
        <is>
          <t>Non</t>
        </is>
      </c>
      <c r="F890" t="inlineStr">
        <is>
          <t>https://headfonics.com/periodic-audio-rhodium-dac-review/</t>
        </is>
      </c>
      <c r="G890" s="26" t="inlineStr">
        <is>
          <t>One end has a USB type C male plug and the other end has a 3.5mm headphone jack, the end.</t>
        </is>
      </c>
      <c r="H890" t="inlineStr">
        <is>
          <t>2026-08-10</t>
        </is>
      </c>
    </row>
    <row r="891">
      <c r="A891" t="n">
        <v>140</v>
      </c>
      <c r="B891" t="inlineStr">
        <is>
          <t>Periodic Audio</t>
        </is>
      </c>
      <c r="C891" t="inlineStr">
        <is>
          <t>Rhodium DAC</t>
        </is>
      </c>
      <c r="D891" t="inlineStr">
        <is>
          <t>3.5mm</t>
        </is>
      </c>
      <c r="E891" t="inlineStr">
        <is>
          <t>Oui</t>
        </is>
      </c>
      <c r="F891" t="inlineStr">
        <is>
          <t>https://headfonics.com/periodic-audio-rhodium-dac-review/</t>
        </is>
      </c>
      <c r="G891" s="26" t="inlineStr">
        <is>
          <t>One end has a USB type C male plug and the other end has a 3.5mm headphone jack, the end.</t>
        </is>
      </c>
      <c r="H891" t="inlineStr">
        <is>
          <t>2026-08-10</t>
        </is>
      </c>
    </row>
    <row r="892">
      <c r="A892" t="n">
        <v>140</v>
      </c>
      <c r="B892" t="inlineStr">
        <is>
          <t>Periodic Audio</t>
        </is>
      </c>
      <c r="C892" t="inlineStr">
        <is>
          <t>Rhodium DAC</t>
        </is>
      </c>
      <c r="D892" t="inlineStr">
        <is>
          <t>4.4mm</t>
        </is>
      </c>
      <c r="E892" t="inlineStr">
        <is>
          <t>Non</t>
        </is>
      </c>
      <c r="F892" t="inlineStr">
        <is>
          <t>https://headfonics.com/periodic-audio-rhodium-dac-review/</t>
        </is>
      </c>
      <c r="G892" s="26" t="inlineStr">
        <is>
          <t>One end has a USB type C male plug and the other end has a 3.5mm headphone jack, the end.</t>
        </is>
      </c>
      <c r="H892" t="inlineStr">
        <is>
          <t>2026-08-10</t>
        </is>
      </c>
    </row>
    <row r="893">
      <c r="A893" t="n">
        <v>140</v>
      </c>
      <c r="B893" t="inlineStr">
        <is>
          <t>Periodic Audio</t>
        </is>
      </c>
      <c r="C893" t="inlineStr">
        <is>
          <t>Rhodium DAC</t>
        </is>
      </c>
      <c r="D893" t="inlineStr">
        <is>
          <t>2.5mm</t>
        </is>
      </c>
      <c r="E893" t="inlineStr">
        <is>
          <t>Non</t>
        </is>
      </c>
      <c r="F893" t="inlineStr">
        <is>
          <t>https://headfonics.com/periodic-audio-rhodium-dac-review/</t>
        </is>
      </c>
      <c r="G893" s="26" t="inlineStr">
        <is>
          <t>One end has a USB type C male plug and the other end has a 3.5mm headphone jack, the end.</t>
        </is>
      </c>
      <c r="H893" t="inlineStr">
        <is>
          <t>2026-08-10</t>
        </is>
      </c>
    </row>
    <row r="894">
      <c r="A894" t="n">
        <v>140</v>
      </c>
      <c r="B894" t="inlineStr">
        <is>
          <t>Periodic Audio</t>
        </is>
      </c>
      <c r="C894" t="inlineStr">
        <is>
          <t>Rhodium DAC</t>
        </is>
      </c>
      <c r="D894" t="inlineStr">
        <is>
          <t>6.35mm</t>
        </is>
      </c>
      <c r="E894" t="inlineStr">
        <is>
          <t>Non</t>
        </is>
      </c>
      <c r="F894" t="inlineStr">
        <is>
          <t>https://headfonics.com/periodic-audio-rhodium-dac-review/</t>
        </is>
      </c>
      <c r="G894" s="26" t="inlineStr">
        <is>
          <t>One end has a USB type C male plug and the other end has a 3.5mm headphone jack, the end.</t>
        </is>
      </c>
      <c r="H894" t="inlineStr">
        <is>
          <t>2026-08-10</t>
        </is>
      </c>
    </row>
    <row r="895">
      <c r="A895" t="n">
        <v>140</v>
      </c>
      <c r="B895" t="inlineStr">
        <is>
          <t>Periodic Audio</t>
        </is>
      </c>
      <c r="C895" t="inlineStr">
        <is>
          <t>Rhodium DAC</t>
        </is>
      </c>
      <c r="D895" t="inlineStr">
        <is>
          <t>XLR</t>
        </is>
      </c>
      <c r="E895" t="inlineStr">
        <is>
          <t>Non</t>
        </is>
      </c>
      <c r="F895" t="inlineStr">
        <is>
          <t>https://headfonics.com/periodic-audio-rhodium-dac-review/</t>
        </is>
      </c>
      <c r="G895" s="26" t="inlineStr">
        <is>
          <t>One end has a USB type C male plug and the other end has a 3.5mm headphone jack, the end.</t>
        </is>
      </c>
      <c r="H895" t="inlineStr">
        <is>
          <t>2026-08-10</t>
        </is>
      </c>
    </row>
    <row r="896">
      <c r="A896" t="n">
        <v>140</v>
      </c>
      <c r="B896" t="inlineStr">
        <is>
          <t>Periodic Audio</t>
        </is>
      </c>
      <c r="C896" t="inlineStr">
        <is>
          <t>Rhodium DAC</t>
        </is>
      </c>
      <c r="D896" t="inlineStr">
        <is>
          <t>DSP/PEQ</t>
        </is>
      </c>
      <c r="E896" t="inlineStr">
        <is>
          <t>Non</t>
        </is>
      </c>
      <c r="F896" t="inlineStr">
        <is>
          <t>https://headfonics.com/periodic-audio-rhodium-dac-review/</t>
        </is>
      </c>
      <c r="G896" s="26" t="inlineStr">
        <is>
          <t>I did notice that there is no firmware available on the Periodic Audio website for this device or an app in Play Store so it’s an “as is” product but I did not run into any bugs and the Rhodium did what it was designed to do every time.</t>
        </is>
      </c>
      <c r="H896" t="inlineStr">
        <is>
          <t>2026-08-10</t>
        </is>
      </c>
    </row>
    <row r="897">
      <c r="A897" t="n">
        <v>141</v>
      </c>
      <c r="B897" t="inlineStr">
        <is>
          <t>Hidizs</t>
        </is>
      </c>
      <c r="C897" t="inlineStr">
        <is>
          <t>DH80s</t>
        </is>
      </c>
      <c r="D897" t="inlineStr">
        <is>
          <t>Batterie</t>
        </is>
      </c>
      <c r="E897" t="inlineStr">
        <is>
          <t>Oui</t>
        </is>
      </c>
      <c r="F897" t="inlineStr">
        <is>
          <t>https://www.hidizs.net/products/dh80-dh80s</t>
        </is>
      </c>
      <c r="G897" s="26" t="inlineStr">
        <is>
          <t>a built-in 1300mAh independent battery</t>
        </is>
      </c>
      <c r="H897" t="inlineStr">
        <is>
          <t>2026-08-10</t>
        </is>
      </c>
    </row>
    <row r="898">
      <c r="A898" t="n">
        <v>141</v>
      </c>
      <c r="B898" t="inlineStr">
        <is>
          <t>Hidizs</t>
        </is>
      </c>
      <c r="C898" t="inlineStr">
        <is>
          <t>DH80s</t>
        </is>
      </c>
      <c r="D898" t="inlineStr">
        <is>
          <t>Bluetooth</t>
        </is>
      </c>
      <c r="E898" t="inlineStr">
        <is>
          <t>Non</t>
        </is>
      </c>
      <c r="F898" t="inlineStr">
        <is>
          <t>https://headfonics.com/hidizs-dh80s-review/</t>
        </is>
      </c>
      <c r="G898" s="26" t="inlineStr">
        <is>
          <t>two independent USB-C inputs: one for charging the device, and the other for receiving audible data</t>
        </is>
      </c>
      <c r="H898" t="inlineStr">
        <is>
          <t>2026-08-10</t>
        </is>
      </c>
    </row>
    <row r="899">
      <c r="A899" t="n">
        <v>141</v>
      </c>
      <c r="B899" t="inlineStr">
        <is>
          <t>Hidizs</t>
        </is>
      </c>
      <c r="C899" t="inlineStr">
        <is>
          <t>DH80s</t>
        </is>
      </c>
      <c r="D899" t="inlineStr">
        <is>
          <t>3.5mm</t>
        </is>
      </c>
      <c r="E899" t="inlineStr">
        <is>
          <t>Oui</t>
        </is>
      </c>
      <c r="F899" t="inlineStr">
        <is>
          <t>https://headfonics.com/hidizs-dh80s-review/</t>
        </is>
      </c>
      <c r="G899" s="26" t="inlineStr">
        <is>
          <t>a 4.4mm balanced output, and a 3.5mm single-ended output</t>
        </is>
      </c>
      <c r="H899" t="inlineStr">
        <is>
          <t>2026-08-10</t>
        </is>
      </c>
    </row>
    <row r="900">
      <c r="A900" t="n">
        <v>141</v>
      </c>
      <c r="B900" t="inlineStr">
        <is>
          <t>Hidizs</t>
        </is>
      </c>
      <c r="C900" t="inlineStr">
        <is>
          <t>DH80s</t>
        </is>
      </c>
      <c r="D900" t="inlineStr">
        <is>
          <t>4.4mm</t>
        </is>
      </c>
      <c r="E900" t="inlineStr">
        <is>
          <t>Oui</t>
        </is>
      </c>
      <c r="F900" t="inlineStr">
        <is>
          <t>https://headfonics.com/hidizs-dh80s-review/</t>
        </is>
      </c>
      <c r="G900" s="26" t="inlineStr">
        <is>
          <t>a 4.4mm balanced output, and a 3.5mm single-ended output</t>
        </is>
      </c>
      <c r="H900" t="inlineStr">
        <is>
          <t>2026-08-10</t>
        </is>
      </c>
    </row>
    <row r="901">
      <c r="A901" t="n">
        <v>141</v>
      </c>
      <c r="B901" t="inlineStr">
        <is>
          <t>Hidizs</t>
        </is>
      </c>
      <c r="C901" t="inlineStr">
        <is>
          <t>DH80s</t>
        </is>
      </c>
      <c r="D901" t="inlineStr">
        <is>
          <t>2.5mm</t>
        </is>
      </c>
      <c r="E901" t="inlineStr">
        <is>
          <t>Non</t>
        </is>
      </c>
      <c r="F901" t="inlineStr">
        <is>
          <t>https://headfonics.com/hidizs-dh80s-review/</t>
        </is>
      </c>
      <c r="G901" s="26" t="inlineStr">
        <is>
          <t>a 4.4mm balanced output, and a 3.5mm single-ended output</t>
        </is>
      </c>
      <c r="H901" t="inlineStr">
        <is>
          <t>2026-08-10</t>
        </is>
      </c>
    </row>
    <row r="902">
      <c r="A902" t="n">
        <v>141</v>
      </c>
      <c r="B902" t="inlineStr">
        <is>
          <t>Hidizs</t>
        </is>
      </c>
      <c r="C902" t="inlineStr">
        <is>
          <t>DH80s</t>
        </is>
      </c>
      <c r="D902" t="inlineStr">
        <is>
          <t>6.35mm</t>
        </is>
      </c>
      <c r="E902" t="inlineStr">
        <is>
          <t>Non</t>
        </is>
      </c>
      <c r="F902" t="inlineStr">
        <is>
          <t>https://headfonics.com/hidizs-dh80s-review/</t>
        </is>
      </c>
      <c r="G902" s="26" t="inlineStr">
        <is>
          <t>a 4.4mm balanced output, and a 3.5mm single-ended output</t>
        </is>
      </c>
      <c r="H902" t="inlineStr">
        <is>
          <t>2026-08-10</t>
        </is>
      </c>
    </row>
    <row r="903">
      <c r="A903" t="n">
        <v>141</v>
      </c>
      <c r="B903" t="inlineStr">
        <is>
          <t>Hidizs</t>
        </is>
      </c>
      <c r="C903" t="inlineStr">
        <is>
          <t>DH80s</t>
        </is>
      </c>
      <c r="D903" t="inlineStr">
        <is>
          <t>XLR</t>
        </is>
      </c>
      <c r="E903" t="inlineStr">
        <is>
          <t>Non</t>
        </is>
      </c>
      <c r="F903" t="inlineStr">
        <is>
          <t>https://headfonics.com/hidizs-dh80s-review/</t>
        </is>
      </c>
      <c r="G903" s="26" t="inlineStr">
        <is>
          <t>a 4.4mm balanced output, and a 3.5mm single-ended output</t>
        </is>
      </c>
      <c r="H903" t="inlineStr">
        <is>
          <t>2026-08-10</t>
        </is>
      </c>
    </row>
    <row r="904">
      <c r="A904" t="n">
        <v>142</v>
      </c>
      <c r="B904" t="inlineStr">
        <is>
          <t>Questyle</t>
        </is>
      </c>
      <c r="C904" t="inlineStr">
        <is>
          <t>M12</t>
        </is>
      </c>
      <c r="D904" t="inlineStr">
        <is>
          <t>Bluetooth</t>
        </is>
      </c>
      <c r="E904" t="inlineStr">
        <is>
          <t>Non</t>
        </is>
      </c>
      <c r="F904" t="inlineStr">
        <is>
          <t>https://questyleshop.com/blogs/m12/product-review-questyle-m12-mobile-headphone-amplifier-with-dac</t>
        </is>
      </c>
      <c r="G904" s="26" t="inlineStr">
        <is>
          <t>One side of the DAC features a 3.5mm headphone connection for either headphones or a line-out to an external speaker solution (this one is best used with headphones though). The other end features the USB-C connection which connects to whatever device you'd like to use with it.</t>
        </is>
      </c>
      <c r="H904" t="inlineStr">
        <is>
          <t>2026-08-10</t>
        </is>
      </c>
    </row>
    <row r="905">
      <c r="A905" t="n">
        <v>142</v>
      </c>
      <c r="B905" t="inlineStr">
        <is>
          <t>Questyle</t>
        </is>
      </c>
      <c r="C905" t="inlineStr">
        <is>
          <t>M12</t>
        </is>
      </c>
      <c r="D905" t="inlineStr">
        <is>
          <t>3.5mm</t>
        </is>
      </c>
      <c r="E905" t="inlineStr">
        <is>
          <t>Oui</t>
        </is>
      </c>
      <c r="F905" t="inlineStr">
        <is>
          <t>https://questyleshop.com/blogs/m12/product-review-questyle-m12-mobile-headphone-amplifier-with-dac</t>
        </is>
      </c>
      <c r="G905" s="26" t="inlineStr">
        <is>
          <t>One side of the DAC features a 3.5mm headphone connection for either headphones or a line-out to an external speaker solution</t>
        </is>
      </c>
      <c r="H905" t="inlineStr">
        <is>
          <t>2026-08-10</t>
        </is>
      </c>
    </row>
    <row r="906">
      <c r="A906" t="n">
        <v>142</v>
      </c>
      <c r="B906" t="inlineStr">
        <is>
          <t>Questyle</t>
        </is>
      </c>
      <c r="C906" t="inlineStr">
        <is>
          <t>M12</t>
        </is>
      </c>
      <c r="D906" t="inlineStr">
        <is>
          <t>4.4mm</t>
        </is>
      </c>
      <c r="E906" t="inlineStr">
        <is>
          <t>Non</t>
        </is>
      </c>
      <c r="F906" t="inlineStr">
        <is>
          <t>https://questyleshop.com/blogs/m12/product-review-questyle-m12-mobile-headphone-amplifier-with-dac</t>
        </is>
      </c>
      <c r="G906" s="26" t="inlineStr">
        <is>
          <t>One side of the DAC features a 3.5mm headphone connection ... The other end features the USB-C connection which connects to whatever device you'd like to use with it.</t>
        </is>
      </c>
      <c r="H906" t="inlineStr">
        <is>
          <t>2026-08-10</t>
        </is>
      </c>
    </row>
    <row r="907">
      <c r="A907" t="n">
        <v>142</v>
      </c>
      <c r="B907" t="inlineStr">
        <is>
          <t>Questyle</t>
        </is>
      </c>
      <c r="C907" t="inlineStr">
        <is>
          <t>M12</t>
        </is>
      </c>
      <c r="D907" t="inlineStr">
        <is>
          <t>2.5mm</t>
        </is>
      </c>
      <c r="E907" t="inlineStr">
        <is>
          <t>Non</t>
        </is>
      </c>
      <c r="F907" t="inlineStr">
        <is>
          <t>https://questyleshop.com/blogs/m12/product-review-questyle-m12-mobile-headphone-amplifier-with-dac</t>
        </is>
      </c>
      <c r="G907" s="26" t="inlineStr">
        <is>
          <t>One side of the DAC features a 3.5mm headphone connection ... The other end features the USB-C connection which connects to whatever device you'd like to use with it.</t>
        </is>
      </c>
      <c r="H907" t="inlineStr">
        <is>
          <t>2026-08-10</t>
        </is>
      </c>
    </row>
    <row r="908">
      <c r="A908" t="n">
        <v>142</v>
      </c>
      <c r="B908" t="inlineStr">
        <is>
          <t>Questyle</t>
        </is>
      </c>
      <c r="C908" t="inlineStr">
        <is>
          <t>M12</t>
        </is>
      </c>
      <c r="D908" t="inlineStr">
        <is>
          <t>6.35mm</t>
        </is>
      </c>
      <c r="E908" t="inlineStr">
        <is>
          <t>Non</t>
        </is>
      </c>
      <c r="F908" t="inlineStr">
        <is>
          <t>https://questyleshop.com/blogs/m12/product-review-questyle-m12-mobile-headphone-amplifier-with-dac</t>
        </is>
      </c>
      <c r="G908" s="26" t="inlineStr">
        <is>
          <t>One side of the DAC features a 3.5mm headphone connection ... The other end features the USB-C connection which connects to whatever device you'd like to use with it.</t>
        </is>
      </c>
      <c r="H908" t="inlineStr">
        <is>
          <t>2026-08-10</t>
        </is>
      </c>
    </row>
    <row r="909">
      <c r="A909" t="n">
        <v>142</v>
      </c>
      <c r="B909" t="inlineStr">
        <is>
          <t>Questyle</t>
        </is>
      </c>
      <c r="C909" t="inlineStr">
        <is>
          <t>M12</t>
        </is>
      </c>
      <c r="D909" t="inlineStr">
        <is>
          <t>XLR</t>
        </is>
      </c>
      <c r="E909" t="inlineStr">
        <is>
          <t>Non</t>
        </is>
      </c>
      <c r="F909" t="inlineStr">
        <is>
          <t>https://questyleshop.com/blogs/m12/product-review-questyle-m12-mobile-headphone-amplifier-with-dac</t>
        </is>
      </c>
      <c r="G909" s="26" t="inlineStr">
        <is>
          <t>One side of the DAC features a 3.5mm headphone connection ... The other end features the USB-C connection which connects to whatever device you'd like to use with it.</t>
        </is>
      </c>
      <c r="H909" t="inlineStr">
        <is>
          <t>2026-08-10</t>
        </is>
      </c>
    </row>
    <row r="910">
      <c r="A910" t="n">
        <v>143</v>
      </c>
      <c r="B910" t="inlineStr">
        <is>
          <t>FiiO</t>
        </is>
      </c>
      <c r="C910" t="inlineStr">
        <is>
          <t>E10K TC</t>
        </is>
      </c>
      <c r="D910" t="inlineStr">
        <is>
          <t>3.5mm</t>
        </is>
      </c>
      <c r="E910" t="inlineStr">
        <is>
          <t>Oui</t>
        </is>
      </c>
      <c r="F910" t="inlineStr">
        <is>
          <t>https://www.fiio.com/newsinfo/533818.html</t>
        </is>
      </c>
      <c r="G910" s="26" t="inlineStr">
        <is>
          <t>The E10K-TC supports 3.5mm single-ended headphone, coaxial and line-out output.</t>
        </is>
      </c>
      <c r="H910" t="inlineStr">
        <is>
          <t>2026-08-10</t>
        </is>
      </c>
    </row>
    <row r="911">
      <c r="A911" t="n">
        <v>143</v>
      </c>
      <c r="B911" t="inlineStr">
        <is>
          <t>FiiO</t>
        </is>
      </c>
      <c r="C911" t="inlineStr">
        <is>
          <t>E10K TC</t>
        </is>
      </c>
      <c r="D911" t="inlineStr">
        <is>
          <t>4.4mm</t>
        </is>
      </c>
      <c r="E911" t="inlineStr">
        <is>
          <t>Non</t>
        </is>
      </c>
      <c r="F911" t="inlineStr">
        <is>
          <t>https://www.fiio.com/newsinfo/533818.html</t>
        </is>
      </c>
      <c r="G911" s="26" t="inlineStr">
        <is>
          <t>The E10K-TC supports 3.5mm single-ended headphone, coaxial and line-out output.</t>
        </is>
      </c>
      <c r="H911" t="inlineStr">
        <is>
          <t>2026-08-10</t>
        </is>
      </c>
    </row>
    <row r="912">
      <c r="A912" t="n">
        <v>143</v>
      </c>
      <c r="B912" t="inlineStr">
        <is>
          <t>FiiO</t>
        </is>
      </c>
      <c r="C912" t="inlineStr">
        <is>
          <t>E10K TC</t>
        </is>
      </c>
      <c r="D912" t="inlineStr">
        <is>
          <t>2.5mm</t>
        </is>
      </c>
      <c r="E912" t="inlineStr">
        <is>
          <t>Non</t>
        </is>
      </c>
      <c r="F912" t="inlineStr">
        <is>
          <t>https://www.fiio.com/newsinfo/533818.html</t>
        </is>
      </c>
      <c r="G912" s="26" t="inlineStr">
        <is>
          <t>The E10K-TC supports 3.5mm single-ended headphone, coaxial and line-out output.</t>
        </is>
      </c>
      <c r="H912" t="inlineStr">
        <is>
          <t>2026-08-10</t>
        </is>
      </c>
    </row>
    <row r="913">
      <c r="A913" t="n">
        <v>143</v>
      </c>
      <c r="B913" t="inlineStr">
        <is>
          <t>FiiO</t>
        </is>
      </c>
      <c r="C913" t="inlineStr">
        <is>
          <t>E10K TC</t>
        </is>
      </c>
      <c r="D913" t="inlineStr">
        <is>
          <t>6.35mm</t>
        </is>
      </c>
      <c r="E913" t="inlineStr">
        <is>
          <t>Non</t>
        </is>
      </c>
      <c r="F913" t="inlineStr">
        <is>
          <t>https://www.fiio.com/newsinfo/533818.html</t>
        </is>
      </c>
      <c r="G913" s="26" t="inlineStr">
        <is>
          <t>The E10K-TC supports 3.5mm single-ended headphone, coaxial and line-out output.</t>
        </is>
      </c>
      <c r="H913" t="inlineStr">
        <is>
          <t>2026-08-10</t>
        </is>
      </c>
    </row>
    <row r="914">
      <c r="A914" t="n">
        <v>143</v>
      </c>
      <c r="B914" t="inlineStr">
        <is>
          <t>FiiO</t>
        </is>
      </c>
      <c r="C914" t="inlineStr">
        <is>
          <t>E10K TC</t>
        </is>
      </c>
      <c r="D914" t="inlineStr">
        <is>
          <t>XLR</t>
        </is>
      </c>
      <c r="E914" t="inlineStr">
        <is>
          <t>Non</t>
        </is>
      </c>
      <c r="F914" t="inlineStr">
        <is>
          <t>https://www.fiio.com/newsinfo/533818.html</t>
        </is>
      </c>
      <c r="G914" s="26" t="inlineStr">
        <is>
          <t>The E10K-TC supports 3.5mm single-ended headphone, coaxial and line-out output.</t>
        </is>
      </c>
      <c r="H914" t="inlineStr">
        <is>
          <t>2026-08-10</t>
        </is>
      </c>
    </row>
    <row r="915">
      <c r="A915" t="n">
        <v>144</v>
      </c>
      <c r="B915" t="inlineStr">
        <is>
          <t>Shanling</t>
        </is>
      </c>
      <c r="C915" t="inlineStr">
        <is>
          <t>UA2</t>
        </is>
      </c>
      <c r="D915" t="inlineStr">
        <is>
          <t>Batterie</t>
        </is>
      </c>
      <c r="E915" t="inlineStr">
        <is>
          <t>Non</t>
        </is>
      </c>
      <c r="F915" t="inlineStr">
        <is>
          <t>https://headfonics.com/shanling-ua2-review/</t>
        </is>
      </c>
      <c r="G915" s="26" t="inlineStr">
        <is>
          <t>no internal batteries so they depend on the power of the input source, particularly the USB port</t>
        </is>
      </c>
      <c r="H915" t="inlineStr">
        <is>
          <t>2026-08-10</t>
        </is>
      </c>
    </row>
    <row r="916">
      <c r="A916" t="n">
        <v>144</v>
      </c>
      <c r="B916" t="inlineStr">
        <is>
          <t>Shanling</t>
        </is>
      </c>
      <c r="C916" t="inlineStr">
        <is>
          <t>UA2</t>
        </is>
      </c>
      <c r="D916" t="inlineStr">
        <is>
          <t>3.5mm</t>
        </is>
      </c>
      <c r="E916" t="inlineStr">
        <is>
          <t>Oui</t>
        </is>
      </c>
      <c r="F916" t="inlineStr">
        <is>
          <t>https://en.shanling.com/article/101311</t>
        </is>
      </c>
      <c r="G916" s="26" t="inlineStr">
        <is>
          <t>3.5mm Single ended &amp; 2.5mm Balanced output</t>
        </is>
      </c>
      <c r="H916" t="inlineStr">
        <is>
          <t>2026-08-10</t>
        </is>
      </c>
    </row>
    <row r="917">
      <c r="A917" t="n">
        <v>144</v>
      </c>
      <c r="B917" t="inlineStr">
        <is>
          <t>Shanling</t>
        </is>
      </c>
      <c r="C917" t="inlineStr">
        <is>
          <t>UA2</t>
        </is>
      </c>
      <c r="D917" t="inlineStr">
        <is>
          <t>4.4mm</t>
        </is>
      </c>
      <c r="E917" t="inlineStr">
        <is>
          <t>Non</t>
        </is>
      </c>
      <c r="F917" t="inlineStr">
        <is>
          <t>https://en.shanling.com/article/101311</t>
        </is>
      </c>
      <c r="G917" s="26" t="inlineStr">
        <is>
          <t>3.5mm Single ended &amp; 2.5mm Balanced output</t>
        </is>
      </c>
      <c r="H917" t="inlineStr">
        <is>
          <t>2026-08-10</t>
        </is>
      </c>
    </row>
    <row r="918">
      <c r="A918" t="n">
        <v>144</v>
      </c>
      <c r="B918" t="inlineStr">
        <is>
          <t>Shanling</t>
        </is>
      </c>
      <c r="C918" t="inlineStr">
        <is>
          <t>UA2</t>
        </is>
      </c>
      <c r="D918" t="inlineStr">
        <is>
          <t>2.5mm</t>
        </is>
      </c>
      <c r="E918" t="inlineStr">
        <is>
          <t>Oui</t>
        </is>
      </c>
      <c r="F918" t="inlineStr">
        <is>
          <t>https://en.shanling.com/article/101311</t>
        </is>
      </c>
      <c r="G918" s="26" t="inlineStr">
        <is>
          <t>3.5mm Single ended &amp; 2.5mm Balanced output</t>
        </is>
      </c>
      <c r="H918" t="inlineStr">
        <is>
          <t>2026-08-10</t>
        </is>
      </c>
    </row>
    <row r="919">
      <c r="A919" t="n">
        <v>144</v>
      </c>
      <c r="B919" t="inlineStr">
        <is>
          <t>Shanling</t>
        </is>
      </c>
      <c r="C919" t="inlineStr">
        <is>
          <t>UA2</t>
        </is>
      </c>
      <c r="D919" t="inlineStr">
        <is>
          <t>6.35mm</t>
        </is>
      </c>
      <c r="E919" t="inlineStr">
        <is>
          <t>Non</t>
        </is>
      </c>
      <c r="F919" t="inlineStr">
        <is>
          <t>https://en.shanling.com/article/101311</t>
        </is>
      </c>
      <c r="G919" s="26" t="inlineStr">
        <is>
          <t>3.5mm Single ended &amp; 2.5mm Balanced output</t>
        </is>
      </c>
      <c r="H919" t="inlineStr">
        <is>
          <t>2026-08-10</t>
        </is>
      </c>
    </row>
    <row r="920">
      <c r="A920" t="n">
        <v>144</v>
      </c>
      <c r="B920" t="inlineStr">
        <is>
          <t>Shanling</t>
        </is>
      </c>
      <c r="C920" t="inlineStr">
        <is>
          <t>UA2</t>
        </is>
      </c>
      <c r="D920" t="inlineStr">
        <is>
          <t>XLR</t>
        </is>
      </c>
      <c r="E920" t="inlineStr">
        <is>
          <t>Non</t>
        </is>
      </c>
      <c r="F920" t="inlineStr">
        <is>
          <t>https://en.shanling.com/article/101311</t>
        </is>
      </c>
      <c r="G920" s="26" t="inlineStr">
        <is>
          <t>3.5mm Single ended &amp; 2.5mm Balanced output</t>
        </is>
      </c>
      <c r="H920" t="inlineStr">
        <is>
          <t>2026-08-10</t>
        </is>
      </c>
    </row>
    <row r="921">
      <c r="A921" t="n">
        <v>145</v>
      </c>
      <c r="B921" t="inlineStr">
        <is>
          <t>FiiO</t>
        </is>
      </c>
      <c r="C921" t="inlineStr">
        <is>
          <t>New K3</t>
        </is>
      </c>
      <c r="D921" t="inlineStr">
        <is>
          <t>Bluetooth</t>
        </is>
      </c>
      <c r="E921" t="inlineStr">
        <is>
          <t>Non</t>
        </is>
      </c>
      <c r="F921" t="inlineStr">
        <is>
          <t>https://www.fiio.com/newsinfo/533844.html</t>
        </is>
      </c>
      <c r="G921" s="26" t="inlineStr">
        <is>
          <t>It supports USB input only.</t>
        </is>
      </c>
      <c r="H921" t="inlineStr">
        <is>
          <t>2026-08-10</t>
        </is>
      </c>
    </row>
    <row r="922">
      <c r="A922" t="n">
        <v>145</v>
      </c>
      <c r="B922" t="inlineStr">
        <is>
          <t>FiiO</t>
        </is>
      </c>
      <c r="C922" t="inlineStr">
        <is>
          <t>New K3</t>
        </is>
      </c>
      <c r="D922" t="inlineStr">
        <is>
          <t>3.5mm</t>
        </is>
      </c>
      <c r="E922" t="inlineStr">
        <is>
          <t>Oui</t>
        </is>
      </c>
      <c r="F922" t="inlineStr">
        <is>
          <t>https://www.fiio.com/newsinfo/533844.html</t>
        </is>
      </c>
      <c r="G922" s="26" t="inlineStr">
        <is>
          <t>It supports outputs including 2.5mm balanced headphone out, 3.5mm single-ended headphone out, coaxial out, optical out and Line-out.</t>
        </is>
      </c>
      <c r="H922" t="inlineStr">
        <is>
          <t>2026-08-10</t>
        </is>
      </c>
    </row>
    <row r="923">
      <c r="A923" t="n">
        <v>145</v>
      </c>
      <c r="B923" t="inlineStr">
        <is>
          <t>FiiO</t>
        </is>
      </c>
      <c r="C923" t="inlineStr">
        <is>
          <t>New K3</t>
        </is>
      </c>
      <c r="D923" t="inlineStr">
        <is>
          <t>4.4mm</t>
        </is>
      </c>
      <c r="E923" t="inlineStr">
        <is>
          <t>Non</t>
        </is>
      </c>
      <c r="F923" t="inlineStr">
        <is>
          <t>https://www.fiio.com/newsinfo/533844.html</t>
        </is>
      </c>
      <c r="G923" s="26" t="inlineStr">
        <is>
          <t>It supports outputs including 2.5mm balanced headphone out, 3.5mm single-ended headphone out, coaxial out, optical out and Line-out.</t>
        </is>
      </c>
      <c r="H923" t="inlineStr">
        <is>
          <t>2026-08-10</t>
        </is>
      </c>
    </row>
    <row r="924">
      <c r="A924" t="n">
        <v>145</v>
      </c>
      <c r="B924" t="inlineStr">
        <is>
          <t>FiiO</t>
        </is>
      </c>
      <c r="C924" t="inlineStr">
        <is>
          <t>New K3</t>
        </is>
      </c>
      <c r="D924" t="inlineStr">
        <is>
          <t>2.5mm</t>
        </is>
      </c>
      <c r="E924" t="inlineStr">
        <is>
          <t>Oui</t>
        </is>
      </c>
      <c r="F924" t="inlineStr">
        <is>
          <t>https://www.fiio.com/newsinfo/533844.html</t>
        </is>
      </c>
      <c r="G924" s="26" t="inlineStr">
        <is>
          <t>It supports outputs including 2.5mm balanced headphone out, 3.5mm single-ended headphone out, coaxial out, optical out and Line-out.</t>
        </is>
      </c>
      <c r="H924" t="inlineStr">
        <is>
          <t>2026-08-10</t>
        </is>
      </c>
    </row>
    <row r="925">
      <c r="A925" t="n">
        <v>145</v>
      </c>
      <c r="B925" t="inlineStr">
        <is>
          <t>FiiO</t>
        </is>
      </c>
      <c r="C925" t="inlineStr">
        <is>
          <t>New K3</t>
        </is>
      </c>
      <c r="D925" t="inlineStr">
        <is>
          <t>6.35mm</t>
        </is>
      </c>
      <c r="E925" t="inlineStr">
        <is>
          <t>Non</t>
        </is>
      </c>
      <c r="F925" t="inlineStr">
        <is>
          <t>https://www.fiio.com/newsinfo/533844.html</t>
        </is>
      </c>
      <c r="G925" s="26" t="inlineStr">
        <is>
          <t>It supports outputs including 2.5mm balanced headphone out, 3.5mm single-ended headphone out, coaxial out, optical out and Line-out.</t>
        </is>
      </c>
      <c r="H925" t="inlineStr">
        <is>
          <t>2026-08-10</t>
        </is>
      </c>
    </row>
    <row r="926">
      <c r="A926" t="n">
        <v>145</v>
      </c>
      <c r="B926" t="inlineStr">
        <is>
          <t>FiiO</t>
        </is>
      </c>
      <c r="C926" t="inlineStr">
        <is>
          <t>New K3</t>
        </is>
      </c>
      <c r="D926" t="inlineStr">
        <is>
          <t>XLR</t>
        </is>
      </c>
      <c r="E926" t="inlineStr">
        <is>
          <t>Non</t>
        </is>
      </c>
      <c r="F926" t="inlineStr">
        <is>
          <t>https://www.fiio.com/newsinfo/533844.html</t>
        </is>
      </c>
      <c r="G926" s="26" t="inlineStr">
        <is>
          <t>It supports outputs including 2.5mm balanced headphone out, 3.5mm single-ended headphone out, coaxial out, optical out and Line-out.</t>
        </is>
      </c>
      <c r="H926" t="inlineStr">
        <is>
          <t>2026-08-10</t>
        </is>
      </c>
    </row>
    <row r="927">
      <c r="A927" t="n">
        <v>146</v>
      </c>
      <c r="B927" t="inlineStr">
        <is>
          <t>ddHiFi</t>
        </is>
      </c>
      <c r="C927" t="inlineStr">
        <is>
          <t>TC35 Pro Tetris</t>
        </is>
      </c>
      <c r="D927" t="inlineStr">
        <is>
          <t>Bluetooth</t>
        </is>
      </c>
      <c r="E927" t="inlineStr">
        <is>
          <t>Non</t>
        </is>
      </c>
      <c r="F927" t="inlineStr">
        <is>
          <t>https://headfonics.com/ddhifi-tc35-pro-tetris-review/</t>
        </is>
      </c>
      <c r="G927" s="26" t="inlineStr">
        <is>
          <t>the TC35 Pro only has a USB C input, in the form of a female USB C for the Tetris version of the TC35 Pro</t>
        </is>
      </c>
      <c r="H927" t="inlineStr">
        <is>
          <t>2026-08-10</t>
        </is>
      </c>
    </row>
    <row r="928">
      <c r="A928" t="n">
        <v>146</v>
      </c>
      <c r="B928" t="inlineStr">
        <is>
          <t>ddHiFi</t>
        </is>
      </c>
      <c r="C928" t="inlineStr">
        <is>
          <t>TC35 Pro Tetris</t>
        </is>
      </c>
      <c r="D928" t="inlineStr">
        <is>
          <t>3.5mm</t>
        </is>
      </c>
      <c r="E928" t="inlineStr">
        <is>
          <t>Oui</t>
        </is>
      </c>
      <c r="F928" t="inlineStr">
        <is>
          <t>https://headfonics.com/ddhifi-tc35-pro-tetris-review/</t>
        </is>
      </c>
      <c r="G928" s="26" t="inlineStr">
        <is>
          <t>the output on the TC35 Pro is also as straightforward with just a single 3.5mm jack for the output</t>
        </is>
      </c>
      <c r="H928" t="inlineStr">
        <is>
          <t>2026-08-10</t>
        </is>
      </c>
    </row>
    <row r="929">
      <c r="A929" t="n">
        <v>146</v>
      </c>
      <c r="B929" t="inlineStr">
        <is>
          <t>ddHiFi</t>
        </is>
      </c>
      <c r="C929" t="inlineStr">
        <is>
          <t>TC35 Pro Tetris</t>
        </is>
      </c>
      <c r="D929" t="inlineStr">
        <is>
          <t>4.4mm</t>
        </is>
      </c>
      <c r="E929" t="inlineStr">
        <is>
          <t>Non</t>
        </is>
      </c>
      <c r="F929" t="inlineStr">
        <is>
          <t>https://headfonics.com/ddhifi-tc35-pro-tetris-review/</t>
        </is>
      </c>
      <c r="G929" s="26" t="inlineStr">
        <is>
          <t>the output on the TC35 Pro is also as straightforward with just a single 3.5mm jack for the output</t>
        </is>
      </c>
      <c r="H929" t="inlineStr">
        <is>
          <t>2026-08-10</t>
        </is>
      </c>
    </row>
    <row r="930">
      <c r="A930" t="n">
        <v>146</v>
      </c>
      <c r="B930" t="inlineStr">
        <is>
          <t>ddHiFi</t>
        </is>
      </c>
      <c r="C930" t="inlineStr">
        <is>
          <t>TC35 Pro Tetris</t>
        </is>
      </c>
      <c r="D930" t="inlineStr">
        <is>
          <t>2.5mm</t>
        </is>
      </c>
      <c r="E930" t="inlineStr">
        <is>
          <t>Non</t>
        </is>
      </c>
      <c r="F930" t="inlineStr">
        <is>
          <t>https://headfonics.com/ddhifi-tc35-pro-tetris-review/</t>
        </is>
      </c>
      <c r="G930" s="26" t="inlineStr">
        <is>
          <t>the output on the TC35 Pro is also as straightforward with just a single 3.5mm jack for the output</t>
        </is>
      </c>
      <c r="H930" t="inlineStr">
        <is>
          <t>2026-08-10</t>
        </is>
      </c>
    </row>
    <row r="931">
      <c r="A931" t="n">
        <v>146</v>
      </c>
      <c r="B931" t="inlineStr">
        <is>
          <t>ddHiFi</t>
        </is>
      </c>
      <c r="C931" t="inlineStr">
        <is>
          <t>TC35 Pro Tetris</t>
        </is>
      </c>
      <c r="D931" t="inlineStr">
        <is>
          <t>6.35mm</t>
        </is>
      </c>
      <c r="E931" t="inlineStr">
        <is>
          <t>Non</t>
        </is>
      </c>
      <c r="F931" t="inlineStr">
        <is>
          <t>https://headfonics.com/ddhifi-tc35-pro-tetris-review/</t>
        </is>
      </c>
      <c r="G931" s="26" t="inlineStr">
        <is>
          <t>the output on the TC35 Pro is also as straightforward with just a single 3.5mm jack for the output</t>
        </is>
      </c>
      <c r="H931" t="inlineStr">
        <is>
          <t>2026-08-10</t>
        </is>
      </c>
    </row>
    <row r="932">
      <c r="A932" t="n">
        <v>146</v>
      </c>
      <c r="B932" t="inlineStr">
        <is>
          <t>ddHiFi</t>
        </is>
      </c>
      <c r="C932" t="inlineStr">
        <is>
          <t>TC35 Pro Tetris</t>
        </is>
      </c>
      <c r="D932" t="inlineStr">
        <is>
          <t>XLR</t>
        </is>
      </c>
      <c r="E932" t="inlineStr">
        <is>
          <t>Non</t>
        </is>
      </c>
      <c r="F932" t="inlineStr">
        <is>
          <t>https://headfonics.com/ddhifi-tc35-pro-tetris-review/</t>
        </is>
      </c>
      <c r="G932" s="26" t="inlineStr">
        <is>
          <t>the output on the TC35 Pro is also as straightforward with just a single 3.5mm jack for the output</t>
        </is>
      </c>
      <c r="H932" t="inlineStr">
        <is>
          <t>2026-08-10</t>
        </is>
      </c>
    </row>
    <row r="933">
      <c r="A933" t="n">
        <v>147</v>
      </c>
      <c r="B933" t="inlineStr">
        <is>
          <t>Helm Audio</t>
        </is>
      </c>
      <c r="C933" t="inlineStr">
        <is>
          <t>Bolt</t>
        </is>
      </c>
      <c r="D933" t="inlineStr">
        <is>
          <t>Bluetooth</t>
        </is>
      </c>
      <c r="E933" t="inlineStr">
        <is>
          <t>Non</t>
        </is>
      </c>
      <c r="F933" t="inlineStr">
        <is>
          <t>https://helmaudio.com/products/hifi-bundle</t>
        </is>
      </c>
      <c r="G933" s="26" t="inlineStr">
        <is>
          <t>USB-C Input and 3.5mm Headphone Output</t>
        </is>
      </c>
      <c r="H933" t="inlineStr">
        <is>
          <t>2026-08-10</t>
        </is>
      </c>
    </row>
    <row r="934">
      <c r="A934" t="n">
        <v>147</v>
      </c>
      <c r="B934" t="inlineStr">
        <is>
          <t>Helm Audio</t>
        </is>
      </c>
      <c r="C934" t="inlineStr">
        <is>
          <t>Bolt</t>
        </is>
      </c>
      <c r="D934" t="inlineStr">
        <is>
          <t>3.5mm</t>
        </is>
      </c>
      <c r="E934" t="inlineStr">
        <is>
          <t>Oui</t>
        </is>
      </c>
      <c r="F934" t="inlineStr">
        <is>
          <t>https://helmaudio.com/products/hifi-bundle</t>
        </is>
      </c>
      <c r="G934" s="26" t="inlineStr">
        <is>
          <t>USB-C Input and 3.5mm Headphone Output</t>
        </is>
      </c>
      <c r="H934" t="inlineStr">
        <is>
          <t>2026-08-10</t>
        </is>
      </c>
    </row>
    <row r="935">
      <c r="A935" t="n">
        <v>147</v>
      </c>
      <c r="B935" t="inlineStr">
        <is>
          <t>Helm Audio</t>
        </is>
      </c>
      <c r="C935" t="inlineStr">
        <is>
          <t>Bolt</t>
        </is>
      </c>
      <c r="D935" t="inlineStr">
        <is>
          <t>4.4mm</t>
        </is>
      </c>
      <c r="E935" t="inlineStr">
        <is>
          <t>Non</t>
        </is>
      </c>
      <c r="F935" t="inlineStr">
        <is>
          <t>https://www.audioholics.com/headphone-reviews/helm-bolt-db12-wins-the-portable-dac-amp-combo</t>
        </is>
      </c>
      <c r="G935" s="26" t="inlineStr">
        <is>
          <t>Connectivity - USB-C INPUT, 3.5MM OUTPUT</t>
        </is>
      </c>
      <c r="H935" t="inlineStr">
        <is>
          <t>2026-08-10</t>
        </is>
      </c>
    </row>
    <row r="936">
      <c r="A936" t="n">
        <v>147</v>
      </c>
      <c r="B936" t="inlineStr">
        <is>
          <t>Helm Audio</t>
        </is>
      </c>
      <c r="C936" t="inlineStr">
        <is>
          <t>Bolt</t>
        </is>
      </c>
      <c r="D936" t="inlineStr">
        <is>
          <t>2.5mm</t>
        </is>
      </c>
      <c r="E936" t="inlineStr">
        <is>
          <t>Non</t>
        </is>
      </c>
      <c r="F936" t="inlineStr">
        <is>
          <t>https://www.audioholics.com/headphone-reviews/helm-bolt-db12-wins-the-portable-dac-amp-combo</t>
        </is>
      </c>
      <c r="G936" s="26" t="inlineStr">
        <is>
          <t>Connectivity - USB-C INPUT, 3.5MM OUTPUT</t>
        </is>
      </c>
      <c r="H936" t="inlineStr">
        <is>
          <t>2026-08-10</t>
        </is>
      </c>
    </row>
    <row r="937">
      <c r="A937" t="n">
        <v>147</v>
      </c>
      <c r="B937" t="inlineStr">
        <is>
          <t>Helm Audio</t>
        </is>
      </c>
      <c r="C937" t="inlineStr">
        <is>
          <t>Bolt</t>
        </is>
      </c>
      <c r="D937" t="inlineStr">
        <is>
          <t>6.35mm</t>
        </is>
      </c>
      <c r="E937" t="inlineStr">
        <is>
          <t>Non</t>
        </is>
      </c>
      <c r="F937" t="inlineStr">
        <is>
          <t>https://www.audioholics.com/headphone-reviews/helm-bolt-db12-wins-the-portable-dac-amp-combo</t>
        </is>
      </c>
      <c r="G937" s="26" t="inlineStr">
        <is>
          <t>Connectivity - USB-C INPUT, 3.5MM OUTPUT</t>
        </is>
      </c>
      <c r="H937" t="inlineStr">
        <is>
          <t>2026-08-10</t>
        </is>
      </c>
    </row>
    <row r="938">
      <c r="A938" t="n">
        <v>147</v>
      </c>
      <c r="B938" t="inlineStr">
        <is>
          <t>Helm Audio</t>
        </is>
      </c>
      <c r="C938" t="inlineStr">
        <is>
          <t>Bolt</t>
        </is>
      </c>
      <c r="D938" t="inlineStr">
        <is>
          <t>XLR</t>
        </is>
      </c>
      <c r="E938" t="inlineStr">
        <is>
          <t>Non</t>
        </is>
      </c>
      <c r="F938" t="inlineStr">
        <is>
          <t>https://www.audioholics.com/headphone-reviews/helm-bolt-db12-wins-the-portable-dac-amp-combo</t>
        </is>
      </c>
      <c r="G938" s="26" t="inlineStr">
        <is>
          <t>Connectivity - USB-C INPUT, 3.5MM OUTPUT</t>
        </is>
      </c>
      <c r="H938" t="inlineStr">
        <is>
          <t>2026-08-10</t>
        </is>
      </c>
    </row>
    <row r="939">
      <c r="A939" t="n">
        <v>148</v>
      </c>
      <c r="B939" t="inlineStr">
        <is>
          <t>Luxury &amp; Precision</t>
        </is>
      </c>
      <c r="C939" t="inlineStr">
        <is>
          <t>W2</t>
        </is>
      </c>
      <c r="D939" t="inlineStr">
        <is>
          <t>3.5mm</t>
        </is>
      </c>
      <c r="E939" t="inlineStr">
        <is>
          <t>Oui</t>
        </is>
      </c>
      <c r="F939" t="inlineStr">
        <is>
          <t>https://headfonics.com/luxury-precision-w2-review/</t>
        </is>
      </c>
      <c r="G939" s="26" t="inlineStr">
        <is>
          <t>On the machine you will find a 4.4mm TRRRS output alongside the 3.5mm jack, with full balanced support</t>
        </is>
      </c>
      <c r="H939" t="inlineStr">
        <is>
          <t>2026-08-10</t>
        </is>
      </c>
    </row>
    <row r="940">
      <c r="A940" t="n">
        <v>148</v>
      </c>
      <c r="B940" t="inlineStr">
        <is>
          <t>Luxury &amp; Precision</t>
        </is>
      </c>
      <c r="C940" t="inlineStr">
        <is>
          <t>W2</t>
        </is>
      </c>
      <c r="D940" t="inlineStr">
        <is>
          <t>4.4mm</t>
        </is>
      </c>
      <c r="E940" t="inlineStr">
        <is>
          <t>Oui</t>
        </is>
      </c>
      <c r="F940" t="inlineStr">
        <is>
          <t>https://headfonics.com/luxury-precision-w2-review/</t>
        </is>
      </c>
      <c r="G940" s="26" t="inlineStr">
        <is>
          <t>On the machine you will find a 4.4mm TRRRS output alongside the 3.5mm jack, with full balanced support</t>
        </is>
      </c>
      <c r="H940" t="inlineStr">
        <is>
          <t>2026-08-10</t>
        </is>
      </c>
    </row>
    <row r="941">
      <c r="A941" t="n">
        <v>148</v>
      </c>
      <c r="B941" t="inlineStr">
        <is>
          <t>Luxury &amp; Precision</t>
        </is>
      </c>
      <c r="C941" t="inlineStr">
        <is>
          <t>W2</t>
        </is>
      </c>
      <c r="D941" t="inlineStr">
        <is>
          <t>2.5mm</t>
        </is>
      </c>
      <c r="E941" t="inlineStr">
        <is>
          <t>Non</t>
        </is>
      </c>
      <c r="F941" t="inlineStr">
        <is>
          <t>https://www.headfonia.com/luxury-precision-w2-review/</t>
        </is>
      </c>
      <c r="G941" s="26" t="inlineStr">
        <is>
          <t>a double headphone output: a 4.4mm balanced Pentaconn and a single ended 3.5mm one</t>
        </is>
      </c>
      <c r="H941" t="inlineStr">
        <is>
          <t>2026-08-10</t>
        </is>
      </c>
    </row>
    <row r="942">
      <c r="A942" t="n">
        <v>148</v>
      </c>
      <c r="B942" t="inlineStr">
        <is>
          <t>Luxury &amp; Precision</t>
        </is>
      </c>
      <c r="C942" t="inlineStr">
        <is>
          <t>W2</t>
        </is>
      </c>
      <c r="D942" t="inlineStr">
        <is>
          <t>6.35mm</t>
        </is>
      </c>
      <c r="E942" t="inlineStr">
        <is>
          <t>Non</t>
        </is>
      </c>
      <c r="F942" t="inlineStr">
        <is>
          <t>https://www.headfonia.com/luxury-precision-w2-review/</t>
        </is>
      </c>
      <c r="G942" s="26" t="inlineStr">
        <is>
          <t>a double headphone output: a 4.4mm balanced Pentaconn and a single ended 3.5mm one</t>
        </is>
      </c>
      <c r="H942" t="inlineStr">
        <is>
          <t>2026-08-10</t>
        </is>
      </c>
    </row>
    <row r="943">
      <c r="A943" t="n">
        <v>148</v>
      </c>
      <c r="B943" t="inlineStr">
        <is>
          <t>Luxury &amp; Precision</t>
        </is>
      </c>
      <c r="C943" t="inlineStr">
        <is>
          <t>W2</t>
        </is>
      </c>
      <c r="D943" t="inlineStr">
        <is>
          <t>XLR</t>
        </is>
      </c>
      <c r="E943" t="inlineStr">
        <is>
          <t>Non</t>
        </is>
      </c>
      <c r="F943" t="inlineStr">
        <is>
          <t>https://www.headfonia.com/luxury-precision-w2-review/</t>
        </is>
      </c>
      <c r="G943" s="26" t="inlineStr">
        <is>
          <t>a double headphone output: a 4.4mm balanced Pentaconn and a single ended 3.5mm one</t>
        </is>
      </c>
      <c r="H943" t="inlineStr">
        <is>
          <t>2026-08-10</t>
        </is>
      </c>
    </row>
    <row r="944">
      <c r="A944" t="n">
        <v>149</v>
      </c>
      <c r="B944" t="inlineStr">
        <is>
          <t>Hidizs</t>
        </is>
      </c>
      <c r="C944" t="inlineStr">
        <is>
          <t>S9 Pro</t>
        </is>
      </c>
      <c r="D944" t="inlineStr">
        <is>
          <t>Batterie</t>
        </is>
      </c>
      <c r="E944" t="inlineStr">
        <is>
          <t>Non</t>
        </is>
      </c>
      <c r="F944" t="inlineStr">
        <is>
          <t>https://headfonics.com/hidizs-s9-pro-review/</t>
        </is>
      </c>
      <c r="G944" s="26" t="inlineStr">
        <is>
          <t>The S9 Pro does not have a built-in battery; it derives its power from its source device.</t>
        </is>
      </c>
      <c r="H944" t="inlineStr">
        <is>
          <t>2026-08-10</t>
        </is>
      </c>
    </row>
    <row r="945">
      <c r="A945" t="n">
        <v>149</v>
      </c>
      <c r="B945" t="inlineStr">
        <is>
          <t>Hidizs</t>
        </is>
      </c>
      <c r="C945" t="inlineStr">
        <is>
          <t>S9 Pro</t>
        </is>
      </c>
      <c r="D945" t="inlineStr">
        <is>
          <t>Bluetooth</t>
        </is>
      </c>
      <c r="E945" t="inlineStr">
        <is>
          <t>Non</t>
        </is>
      </c>
      <c r="F945" t="inlineStr">
        <is>
          <t>https://headfonics.com/hidizs-s9-pro-review/</t>
        </is>
      </c>
      <c r="G945" s="26" t="inlineStr">
        <is>
          <t>Transmission Interface: USB Type-C.</t>
        </is>
      </c>
      <c r="H945" t="inlineStr">
        <is>
          <t>2026-08-10</t>
        </is>
      </c>
    </row>
    <row r="946">
      <c r="A946" t="n">
        <v>149</v>
      </c>
      <c r="B946" t="inlineStr">
        <is>
          <t>Hidizs</t>
        </is>
      </c>
      <c r="C946" t="inlineStr">
        <is>
          <t>S9 Pro</t>
        </is>
      </c>
      <c r="D946" t="inlineStr">
        <is>
          <t>3.5mm</t>
        </is>
      </c>
      <c r="E946" t="inlineStr">
        <is>
          <t>Oui</t>
        </is>
      </c>
      <c r="F946" t="inlineStr">
        <is>
          <t>https://www.hidizs.net/pages/hidizs-s9-balanced-single-ended-mini-hifi-dac-amp-specifications</t>
        </is>
      </c>
      <c r="G946" s="26" t="inlineStr">
        <is>
          <t>Model No. | S8 | S9 | S9 PRO ... Headphone Jack | 3.5mm | 3.5mm +2.5mm | 3.5mm +2.5mm</t>
        </is>
      </c>
      <c r="H946" t="inlineStr">
        <is>
          <t>2026-08-10</t>
        </is>
      </c>
    </row>
    <row r="947">
      <c r="A947" t="n">
        <v>149</v>
      </c>
      <c r="B947" t="inlineStr">
        <is>
          <t>Hidizs</t>
        </is>
      </c>
      <c r="C947" t="inlineStr">
        <is>
          <t>S9 Pro</t>
        </is>
      </c>
      <c r="D947" t="inlineStr">
        <is>
          <t>4.4mm</t>
        </is>
      </c>
      <c r="E947" t="inlineStr">
        <is>
          <t>Non</t>
        </is>
      </c>
      <c r="F947" t="inlineStr">
        <is>
          <t>https://www.hidizs.net/pages/hidizs-s9-balanced-single-ended-mini-hifi-dac-amp-specifications</t>
        </is>
      </c>
      <c r="G947" s="26" t="inlineStr">
        <is>
          <t>Model No. | S8 | S9 | S9 PRO ... Headphone Jack | 3.5mm | 3.5mm +2.5mm | 3.5mm +2.5mm</t>
        </is>
      </c>
      <c r="H947" t="inlineStr">
        <is>
          <t>2026-08-10</t>
        </is>
      </c>
    </row>
    <row r="948">
      <c r="A948" t="n">
        <v>149</v>
      </c>
      <c r="B948" t="inlineStr">
        <is>
          <t>Hidizs</t>
        </is>
      </c>
      <c r="C948" t="inlineStr">
        <is>
          <t>S9 Pro</t>
        </is>
      </c>
      <c r="D948" t="inlineStr">
        <is>
          <t>2.5mm</t>
        </is>
      </c>
      <c r="E948" t="inlineStr">
        <is>
          <t>Oui</t>
        </is>
      </c>
      <c r="F948" t="inlineStr">
        <is>
          <t>https://www.hidizs.net/pages/hidizs-s9-balanced-single-ended-mini-hifi-dac-amp-specifications</t>
        </is>
      </c>
      <c r="G948" s="26" t="inlineStr">
        <is>
          <t>Model No. | S8 | S9 | S9 PRO ... Headphone Jack | 3.5mm | 3.5mm +2.5mm | 3.5mm +2.5mm</t>
        </is>
      </c>
      <c r="H948" t="inlineStr">
        <is>
          <t>2026-08-10</t>
        </is>
      </c>
    </row>
    <row r="949">
      <c r="A949" t="n">
        <v>149</v>
      </c>
      <c r="B949" t="inlineStr">
        <is>
          <t>Hidizs</t>
        </is>
      </c>
      <c r="C949" t="inlineStr">
        <is>
          <t>S9 Pro</t>
        </is>
      </c>
      <c r="D949" t="inlineStr">
        <is>
          <t>6.35mm</t>
        </is>
      </c>
      <c r="E949" t="inlineStr">
        <is>
          <t>Non</t>
        </is>
      </c>
      <c r="F949" t="inlineStr">
        <is>
          <t>https://www.hidizs.net/pages/hidizs-s9-balanced-single-ended-mini-hifi-dac-amp-specifications</t>
        </is>
      </c>
      <c r="G949" s="26" t="inlineStr">
        <is>
          <t>Model No. | S8 | S9 | S9 PRO ... Headphone Jack | 3.5mm | 3.5mm +2.5mm | 3.5mm +2.5mm</t>
        </is>
      </c>
      <c r="H949" t="inlineStr">
        <is>
          <t>2026-08-10</t>
        </is>
      </c>
    </row>
    <row r="950">
      <c r="A950" t="n">
        <v>149</v>
      </c>
      <c r="B950" t="inlineStr">
        <is>
          <t>Hidizs</t>
        </is>
      </c>
      <c r="C950" t="inlineStr">
        <is>
          <t>S9 Pro</t>
        </is>
      </c>
      <c r="D950" t="inlineStr">
        <is>
          <t>XLR</t>
        </is>
      </c>
      <c r="E950" t="inlineStr">
        <is>
          <t>Non</t>
        </is>
      </c>
      <c r="F950" t="inlineStr">
        <is>
          <t>https://www.hidizs.net/pages/hidizs-s9-balanced-single-ended-mini-hifi-dac-amp-specifications</t>
        </is>
      </c>
      <c r="G950" s="26" t="inlineStr">
        <is>
          <t>Model No. | S8 | S9 | S9 PRO ... Headphone Jack | 3.5mm | 3.5mm +2.5mm | 3.5mm +2.5mm</t>
        </is>
      </c>
      <c r="H950" t="inlineStr">
        <is>
          <t>2026-08-10</t>
        </is>
      </c>
    </row>
    <row r="951">
      <c r="A951" t="n">
        <v>150</v>
      </c>
      <c r="B951" t="inlineStr">
        <is>
          <t>Hidizs</t>
        </is>
      </c>
      <c r="C951" t="inlineStr">
        <is>
          <t>S3 Pro</t>
        </is>
      </c>
      <c r="D951" t="inlineStr">
        <is>
          <t>3.5mm</t>
        </is>
      </c>
      <c r="E951" t="inlineStr">
        <is>
          <t>Oui</t>
        </is>
      </c>
      <c r="F951" t="inlineStr">
        <is>
          <t>https://primeaudio.org/hidizs-s3-pro-review/</t>
        </is>
      </c>
      <c r="G951" s="26" t="inlineStr">
        <is>
          <t>Headphone output: Single-Ended 3.5mm</t>
        </is>
      </c>
      <c r="H951" t="inlineStr">
        <is>
          <t>2026-08-10</t>
        </is>
      </c>
    </row>
    <row r="952">
      <c r="A952" t="n">
        <v>150</v>
      </c>
      <c r="B952" t="inlineStr">
        <is>
          <t>Hidizs</t>
        </is>
      </c>
      <c r="C952" t="inlineStr">
        <is>
          <t>S3 Pro</t>
        </is>
      </c>
      <c r="D952" t="inlineStr">
        <is>
          <t>4.4mm</t>
        </is>
      </c>
      <c r="E952" t="inlineStr">
        <is>
          <t>Non</t>
        </is>
      </c>
      <c r="F952" t="inlineStr">
        <is>
          <t>https://primeaudio.org/hidizs-s3-pro-review/</t>
        </is>
      </c>
      <c r="G952" s="26" t="inlineStr">
        <is>
          <t>Headphone output: Single-Ended 3.5mm</t>
        </is>
      </c>
      <c r="H952" t="inlineStr">
        <is>
          <t>2026-08-10</t>
        </is>
      </c>
    </row>
    <row r="953">
      <c r="A953" t="n">
        <v>150</v>
      </c>
      <c r="B953" t="inlineStr">
        <is>
          <t>Hidizs</t>
        </is>
      </c>
      <c r="C953" t="inlineStr">
        <is>
          <t>S3 Pro</t>
        </is>
      </c>
      <c r="D953" t="inlineStr">
        <is>
          <t>2.5mm</t>
        </is>
      </c>
      <c r="E953" t="inlineStr">
        <is>
          <t>Non</t>
        </is>
      </c>
      <c r="F953" t="inlineStr">
        <is>
          <t>https://primeaudio.org/hidizs-s3-pro-review/</t>
        </is>
      </c>
      <c r="G953" s="26" t="inlineStr">
        <is>
          <t>Headphone output: Single-Ended 3.5mm</t>
        </is>
      </c>
      <c r="H953" t="inlineStr">
        <is>
          <t>2026-08-10</t>
        </is>
      </c>
    </row>
    <row r="954">
      <c r="A954" t="n">
        <v>150</v>
      </c>
      <c r="B954" t="inlineStr">
        <is>
          <t>Hidizs</t>
        </is>
      </c>
      <c r="C954" t="inlineStr">
        <is>
          <t>S3 Pro</t>
        </is>
      </c>
      <c r="D954" t="inlineStr">
        <is>
          <t>6.35mm</t>
        </is>
      </c>
      <c r="E954" t="inlineStr">
        <is>
          <t>Non</t>
        </is>
      </c>
      <c r="F954" t="inlineStr">
        <is>
          <t>https://primeaudio.org/hidizs-s3-pro-review/</t>
        </is>
      </c>
      <c r="G954" s="26" t="inlineStr">
        <is>
          <t>Headphone output: Single-Ended 3.5mm</t>
        </is>
      </c>
      <c r="H954" t="inlineStr">
        <is>
          <t>2026-08-10</t>
        </is>
      </c>
    </row>
    <row r="955">
      <c r="A955" t="n">
        <v>150</v>
      </c>
      <c r="B955" t="inlineStr">
        <is>
          <t>Hidizs</t>
        </is>
      </c>
      <c r="C955" t="inlineStr">
        <is>
          <t>S3 Pro</t>
        </is>
      </c>
      <c r="D955" t="inlineStr">
        <is>
          <t>XLR</t>
        </is>
      </c>
      <c r="E955" t="inlineStr">
        <is>
          <t>Non</t>
        </is>
      </c>
      <c r="F955" t="inlineStr">
        <is>
          <t>https://primeaudio.org/hidizs-s3-pro-review/</t>
        </is>
      </c>
      <c r="G955" s="26" t="inlineStr">
        <is>
          <t>Headphone output: Single-Ended 3.5mm</t>
        </is>
      </c>
      <c r="H955" t="inlineStr">
        <is>
          <t>2026-08-10</t>
        </is>
      </c>
    </row>
    <row r="956">
      <c r="A956" t="n">
        <v>151</v>
      </c>
      <c r="B956" t="inlineStr">
        <is>
          <t>iFi audio</t>
        </is>
      </c>
      <c r="C956" t="inlineStr">
        <is>
          <t>iDSD Diablo</t>
        </is>
      </c>
      <c r="D956" t="inlineStr">
        <is>
          <t>Batterie</t>
        </is>
      </c>
      <c r="E956" t="inlineStr">
        <is>
          <t>Oui</t>
        </is>
      </c>
      <c r="F956" t="inlineStr">
        <is>
          <t>https://ifi-audio.com/pages/idsd-diablo</t>
        </is>
      </c>
      <c r="G956" s="26" t="inlineStr">
        <is>
          <t>Battery | Lithium-polymer 4800mAh</t>
        </is>
      </c>
      <c r="H956" t="inlineStr">
        <is>
          <t>2026-08-10</t>
        </is>
      </c>
    </row>
    <row r="957">
      <c r="A957" t="n">
        <v>151</v>
      </c>
      <c r="B957" t="inlineStr">
        <is>
          <t>iFi audio</t>
        </is>
      </c>
      <c r="C957" t="inlineStr">
        <is>
          <t>iDSD Diablo</t>
        </is>
      </c>
      <c r="D957" t="inlineStr">
        <is>
          <t>Bluetooth</t>
        </is>
      </c>
      <c r="E957" t="inlineStr">
        <is>
          <t>Non</t>
        </is>
      </c>
      <c r="F957" t="inlineStr">
        <is>
          <t>https://ifi-audio.com/pages/idsd-diablo</t>
        </is>
      </c>
      <c r="G957" s="26" t="inlineStr">
        <is>
          <t>the iDSD Diablo sets aside sonic tailoring as well as Bluetooth connectivity to focus on pure sonic power</t>
        </is>
      </c>
      <c r="H957" t="inlineStr">
        <is>
          <t>2026-08-10</t>
        </is>
      </c>
    </row>
    <row r="958">
      <c r="A958" t="n">
        <v>151</v>
      </c>
      <c r="B958" t="inlineStr">
        <is>
          <t>iFi audio</t>
        </is>
      </c>
      <c r="C958" t="inlineStr">
        <is>
          <t>iDSD Diablo</t>
        </is>
      </c>
      <c r="D958" t="inlineStr">
        <is>
          <t>3.5mm</t>
        </is>
      </c>
      <c r="E958" t="inlineStr">
        <is>
          <t>Non</t>
        </is>
      </c>
      <c r="F958" t="inlineStr">
        <is>
          <t>https://downloads.ifi-audio.com/wp-content/uploads/2021/03/iDSD-Diablo-manual_Ver1.4.0.pdf</t>
        </is>
      </c>
      <c r="G958" s="26" t="inlineStr">
        <is>
          <t>1. Single-ended 6.3mm output Connection for 6.3 single ended headphones . Please use 3.5 to 6.3 mm adaptor for 3.5 single ended headphones.</t>
        </is>
      </c>
      <c r="H958" t="inlineStr">
        <is>
          <t>2026-08-10</t>
        </is>
      </c>
    </row>
    <row r="959">
      <c r="A959" t="n">
        <v>151</v>
      </c>
      <c r="B959" t="inlineStr">
        <is>
          <t>iFi audio</t>
        </is>
      </c>
      <c r="C959" t="inlineStr">
        <is>
          <t>iDSD Diablo</t>
        </is>
      </c>
      <c r="D959" t="inlineStr">
        <is>
          <t>4.4mm</t>
        </is>
      </c>
      <c r="E959" t="inlineStr">
        <is>
          <t>Oui</t>
        </is>
      </c>
      <c r="F959" t="inlineStr">
        <is>
          <t>https://downloads.ifi-audio.com/wp-content/uploads/2021/03/iDSD-Diablo-manual_Ver1.4.0.pdf</t>
        </is>
      </c>
      <c r="G959" s="26" t="inlineStr">
        <is>
          <t>2. Balanced 4.4mm analogue output Connect balanced 4.4mm headphones.</t>
        </is>
      </c>
      <c r="H959" t="inlineStr">
        <is>
          <t>2026-08-10</t>
        </is>
      </c>
    </row>
    <row r="960">
      <c r="A960" t="n">
        <v>151</v>
      </c>
      <c r="B960" t="inlineStr">
        <is>
          <t>iFi audio</t>
        </is>
      </c>
      <c r="C960" t="inlineStr">
        <is>
          <t>iDSD Diablo</t>
        </is>
      </c>
      <c r="D960" t="inlineStr">
        <is>
          <t>2.5mm</t>
        </is>
      </c>
      <c r="E960" t="inlineStr">
        <is>
          <t>Non</t>
        </is>
      </c>
      <c r="F960" t="inlineStr">
        <is>
          <t>https://downloads.ifi-audio.com/wp-content/uploads/2021/03/iDSD-Diablo-manual_Ver1.4.0.pdf</t>
        </is>
      </c>
      <c r="G960" s="26" t="inlineStr">
        <is>
          <t>1. Single-ended 6.3mm output ... 2. Balanced 4.4mm analogue output ... 6. S/PDIF 3.5mm Coaxial/Optical input ... 7. Balanced 4.4mm fixed analogue output</t>
        </is>
      </c>
      <c r="H960" t="inlineStr">
        <is>
          <t>2026-08-10</t>
        </is>
      </c>
    </row>
    <row r="961">
      <c r="A961" t="n">
        <v>151</v>
      </c>
      <c r="B961" t="inlineStr">
        <is>
          <t>iFi audio</t>
        </is>
      </c>
      <c r="C961" t="inlineStr">
        <is>
          <t>iDSD Diablo</t>
        </is>
      </c>
      <c r="D961" t="inlineStr">
        <is>
          <t>6.35mm</t>
        </is>
      </c>
      <c r="E961" t="inlineStr">
        <is>
          <t>Oui</t>
        </is>
      </c>
      <c r="F961" t="inlineStr">
        <is>
          <t>https://downloads.ifi-audio.com/wp-content/uploads/2021/03/iDSD-Diablo-manual_Ver1.4.0.pdf</t>
        </is>
      </c>
      <c r="G961" s="26" t="inlineStr">
        <is>
          <t>1. Single-ended 6.3mm output Connection for 6.3 single ended headphones . Please use 3.5 to 6.3 mm adaptor for 3.5 single ended headphones.</t>
        </is>
      </c>
      <c r="H961" t="inlineStr">
        <is>
          <t>2026-08-10</t>
        </is>
      </c>
    </row>
    <row r="962">
      <c r="A962" t="n">
        <v>151</v>
      </c>
      <c r="B962" t="inlineStr">
        <is>
          <t>iFi audio</t>
        </is>
      </c>
      <c r="C962" t="inlineStr">
        <is>
          <t>iDSD Diablo</t>
        </is>
      </c>
      <c r="D962" t="inlineStr">
        <is>
          <t>XLR</t>
        </is>
      </c>
      <c r="E962" t="inlineStr">
        <is>
          <t>Non</t>
        </is>
      </c>
      <c r="F962" t="inlineStr">
        <is>
          <t>https://downloads.ifi-audio.com/wp-content/uploads/2021/03/iDSD-Diablo-manual_Ver1.4.0.pdf</t>
        </is>
      </c>
      <c r="G962" s="26" t="inlineStr">
        <is>
          <t>1. Single-ended 6.3mm output ... 2. Balanced 4.4mm analogue output ... 6. S/PDIF 3.5mm Coaxial/Optical input ... 7. Balanced 4.4mm fixed analogue output</t>
        </is>
      </c>
      <c r="H962" t="inlineStr">
        <is>
          <t>2026-08-10</t>
        </is>
      </c>
    </row>
    <row r="963">
      <c r="A963" t="n">
        <v>151</v>
      </c>
      <c r="B963" t="inlineStr">
        <is>
          <t>iFi audio</t>
        </is>
      </c>
      <c r="C963" t="inlineStr">
        <is>
          <t>iDSD Diablo</t>
        </is>
      </c>
      <c r="D963" t="inlineStr">
        <is>
          <t>DSP/PEQ</t>
        </is>
      </c>
      <c r="E963" t="inlineStr">
        <is>
          <t>Non</t>
        </is>
      </c>
      <c r="F963" t="inlineStr">
        <is>
          <t>https://ifi-audio.com/pages/idsd-diablo</t>
        </is>
      </c>
      <c r="G963" s="26" t="inlineStr">
        <is>
          <t>the iDSD Diablo sets aside sonic tailoring as well as Bluetooth connectivity to focus on pure sonic power</t>
        </is>
      </c>
      <c r="H963" t="inlineStr">
        <is>
          <t>2026-08-10</t>
        </is>
      </c>
    </row>
    <row r="964">
      <c r="A964" t="n">
        <v>152</v>
      </c>
      <c r="B964" t="inlineStr">
        <is>
          <t>Phatlab</t>
        </is>
      </c>
      <c r="C964" t="inlineStr">
        <is>
          <t>Chimera</t>
        </is>
      </c>
      <c r="D964" t="inlineStr">
        <is>
          <t>Batterie</t>
        </is>
      </c>
      <c r="E964" t="inlineStr">
        <is>
          <t>Oui</t>
        </is>
      </c>
      <c r="F964" t="inlineStr">
        <is>
          <t>https://headfonics.com/phatlab-chimera-review/</t>
        </is>
      </c>
      <c r="G964" s="26" t="inlineStr">
        <is>
          <t>The final Chimera input option is a DC In 5V micro-USB for charging the internal battery.</t>
        </is>
      </c>
      <c r="H964" t="inlineStr">
        <is>
          <t>2026-08-10</t>
        </is>
      </c>
    </row>
    <row r="965">
      <c r="A965" t="n">
        <v>152</v>
      </c>
      <c r="B965" t="inlineStr">
        <is>
          <t>Phatlab</t>
        </is>
      </c>
      <c r="C965" t="inlineStr">
        <is>
          <t>Chimera</t>
        </is>
      </c>
      <c r="D965" t="inlineStr">
        <is>
          <t>3.5mm</t>
        </is>
      </c>
      <c r="E965" t="inlineStr">
        <is>
          <t>Oui</t>
        </is>
      </c>
      <c r="F965" t="inlineStr">
        <is>
          <t>https://headfonics.com/phatlab-chimera-review/</t>
        </is>
      </c>
      <c r="G965" s="26" t="inlineStr">
        <is>
          <t>Aside from the gold plated 4.4mm you get a 3.5mm TRSS SE output, SE 3.5mm line-in, high/low gain switch, and a fairly hefty potentiometer, (volume control and power on/off).</t>
        </is>
      </c>
      <c r="H965" t="inlineStr">
        <is>
          <t>2026-08-10</t>
        </is>
      </c>
    </row>
    <row r="966">
      <c r="A966" t="n">
        <v>152</v>
      </c>
      <c r="B966" t="inlineStr">
        <is>
          <t>Phatlab</t>
        </is>
      </c>
      <c r="C966" t="inlineStr">
        <is>
          <t>Chimera</t>
        </is>
      </c>
      <c r="D966" t="inlineStr">
        <is>
          <t>4.4mm</t>
        </is>
      </c>
      <c r="E966" t="inlineStr">
        <is>
          <t>Oui</t>
        </is>
      </c>
      <c r="F966" t="inlineStr">
        <is>
          <t>https://headfonics.com/phatlab-chimera-review/</t>
        </is>
      </c>
      <c r="G966" s="26" t="inlineStr">
        <is>
          <t>Aside from the gold plated 4.4mm you get a 3.5mm TRSS SE output, SE 3.5mm line-in, high/low gain switch, and a fairly hefty potentiometer, (volume control and power on/off).</t>
        </is>
      </c>
      <c r="H966" t="inlineStr">
        <is>
          <t>2026-08-10</t>
        </is>
      </c>
    </row>
    <row r="967">
      <c r="A967" t="n">
        <v>152</v>
      </c>
      <c r="B967" t="inlineStr">
        <is>
          <t>Phatlab</t>
        </is>
      </c>
      <c r="C967" t="inlineStr">
        <is>
          <t>Chimera</t>
        </is>
      </c>
      <c r="D967" t="inlineStr">
        <is>
          <t>2.5mm</t>
        </is>
      </c>
      <c r="E967" t="inlineStr">
        <is>
          <t>Non</t>
        </is>
      </c>
      <c r="F967" t="inlineStr">
        <is>
          <t>https://headfonics.com/phatlab-chimera-review/</t>
        </is>
      </c>
      <c r="G967" s="26" t="inlineStr">
        <is>
          <t>Aside from the gold plated 4.4mm you get a 3.5mm TRSS SE output, SE 3.5mm line-in, high/low gain switch, and a fairly hefty potentiometer, (volume control and power on/off).</t>
        </is>
      </c>
      <c r="H967" t="inlineStr">
        <is>
          <t>2026-08-10</t>
        </is>
      </c>
    </row>
    <row r="968">
      <c r="A968" t="n">
        <v>152</v>
      </c>
      <c r="B968" t="inlineStr">
        <is>
          <t>Phatlab</t>
        </is>
      </c>
      <c r="C968" t="inlineStr">
        <is>
          <t>Chimera</t>
        </is>
      </c>
      <c r="D968" t="inlineStr">
        <is>
          <t>6.35mm</t>
        </is>
      </c>
      <c r="E968" t="inlineStr">
        <is>
          <t>Non</t>
        </is>
      </c>
      <c r="F968" t="inlineStr">
        <is>
          <t>https://headfonics.com/phatlab-chimera-review/</t>
        </is>
      </c>
      <c r="G968" s="26" t="inlineStr">
        <is>
          <t>Aside from the gold plated 4.4mm you get a 3.5mm TRSS SE output, SE 3.5mm line-in, high/low gain switch, and a fairly hefty potentiometer, (volume control and power on/off).</t>
        </is>
      </c>
      <c r="H968" t="inlineStr">
        <is>
          <t>2026-08-10</t>
        </is>
      </c>
    </row>
    <row r="969">
      <c r="A969" t="n">
        <v>152</v>
      </c>
      <c r="B969" t="inlineStr">
        <is>
          <t>Phatlab</t>
        </is>
      </c>
      <c r="C969" t="inlineStr">
        <is>
          <t>Chimera</t>
        </is>
      </c>
      <c r="D969" t="inlineStr">
        <is>
          <t>XLR</t>
        </is>
      </c>
      <c r="E969" t="inlineStr">
        <is>
          <t>Non</t>
        </is>
      </c>
      <c r="F969" t="inlineStr">
        <is>
          <t>https://headfonics.com/phatlab-chimera-review/</t>
        </is>
      </c>
      <c r="G969" s="26" t="inlineStr">
        <is>
          <t>Aside from the gold plated 4.4mm you get a 3.5mm TRSS SE output, SE 3.5mm line-in, high/low gain switch, and a fairly hefty potentiometer, (volume control and power on/off).</t>
        </is>
      </c>
      <c r="H969" t="inlineStr">
        <is>
          <t>2026-08-10</t>
        </is>
      </c>
    </row>
    <row r="970">
      <c r="A970" t="n">
        <v>153</v>
      </c>
      <c r="B970" t="inlineStr">
        <is>
          <t>HiBy</t>
        </is>
      </c>
      <c r="C970" t="inlineStr">
        <is>
          <t>FC3</t>
        </is>
      </c>
      <c r="D970" t="inlineStr">
        <is>
          <t>Batterie</t>
        </is>
      </c>
      <c r="E970" t="inlineStr">
        <is>
          <t>Non</t>
        </is>
      </c>
      <c r="F970" t="inlineStr">
        <is>
          <t>https://headfonics.com/hiby-fc3-review/</t>
        </is>
      </c>
      <c r="G970" s="26" t="inlineStr">
        <is>
          <t>The Hiby FC3 is a USB-powered micro DAC headphone amplifier dongle device capable of taking the raw digital audio signal from any PC, laptop USB port, or most phones equipped with a USB-C OTG compatible device and converting the signal to an analog headphone output.</t>
        </is>
      </c>
      <c r="H970" t="inlineStr">
        <is>
          <t>2026-08-10</t>
        </is>
      </c>
    </row>
    <row r="971">
      <c r="A971" t="n">
        <v>153</v>
      </c>
      <c r="B971" t="inlineStr">
        <is>
          <t>HiBy</t>
        </is>
      </c>
      <c r="C971" t="inlineStr">
        <is>
          <t>FC3</t>
        </is>
      </c>
      <c r="D971" t="inlineStr">
        <is>
          <t>Bluetooth</t>
        </is>
      </c>
      <c r="E971" t="inlineStr">
        <is>
          <t>Non</t>
        </is>
      </c>
      <c r="F971" t="inlineStr">
        <is>
          <t>https://headfonics.com/hiby-fc3-review/</t>
        </is>
      </c>
      <c r="G971" s="26" t="inlineStr">
        <is>
          <t>USB Port Type C</t>
        </is>
      </c>
      <c r="H971" t="inlineStr">
        <is>
          <t>2026-08-10</t>
        </is>
      </c>
    </row>
    <row r="972">
      <c r="A972" t="n">
        <v>153</v>
      </c>
      <c r="B972" t="inlineStr">
        <is>
          <t>HiBy</t>
        </is>
      </c>
      <c r="C972" t="inlineStr">
        <is>
          <t>FC3</t>
        </is>
      </c>
      <c r="D972" t="inlineStr">
        <is>
          <t>3.5mm</t>
        </is>
      </c>
      <c r="E972" t="inlineStr">
        <is>
          <t>Oui</t>
        </is>
      </c>
      <c r="F972" t="inlineStr">
        <is>
          <t>https://headfonics.com/hiby-fc3-review/</t>
        </is>
      </c>
      <c r="G972" s="26" t="inlineStr">
        <is>
          <t>Headphone Port Standard 3.5mm TRS (Does not support Line Control)</t>
        </is>
      </c>
      <c r="H972" t="inlineStr">
        <is>
          <t>2026-08-10</t>
        </is>
      </c>
    </row>
    <row r="973">
      <c r="A973" t="n">
        <v>153</v>
      </c>
      <c r="B973" t="inlineStr">
        <is>
          <t>HiBy</t>
        </is>
      </c>
      <c r="C973" t="inlineStr">
        <is>
          <t>FC3</t>
        </is>
      </c>
      <c r="D973" t="inlineStr">
        <is>
          <t>4.4mm</t>
        </is>
      </c>
      <c r="E973" t="inlineStr">
        <is>
          <t>Non</t>
        </is>
      </c>
      <c r="F973" t="inlineStr">
        <is>
          <t>https://headfonics.com/hiby-fc3-review/</t>
        </is>
      </c>
      <c r="G973" s="26" t="inlineStr">
        <is>
          <t>Headphone Port Standard 3.5mm TRS (Does not support Line Control)</t>
        </is>
      </c>
      <c r="H973" t="inlineStr">
        <is>
          <t>2026-08-10</t>
        </is>
      </c>
    </row>
    <row r="974">
      <c r="A974" t="n">
        <v>153</v>
      </c>
      <c r="B974" t="inlineStr">
        <is>
          <t>HiBy</t>
        </is>
      </c>
      <c r="C974" t="inlineStr">
        <is>
          <t>FC3</t>
        </is>
      </c>
      <c r="D974" t="inlineStr">
        <is>
          <t>2.5mm</t>
        </is>
      </c>
      <c r="E974" t="inlineStr">
        <is>
          <t>Non</t>
        </is>
      </c>
      <c r="F974" t="inlineStr">
        <is>
          <t>https://headfonics.com/hiby-fc3-review/</t>
        </is>
      </c>
      <c r="G974" s="26" t="inlineStr">
        <is>
          <t>Headphone Port Standard 3.5mm TRS (Does not support Line Control)</t>
        </is>
      </c>
      <c r="H974" t="inlineStr">
        <is>
          <t>2026-08-10</t>
        </is>
      </c>
    </row>
    <row r="975">
      <c r="A975" t="n">
        <v>153</v>
      </c>
      <c r="B975" t="inlineStr">
        <is>
          <t>HiBy</t>
        </is>
      </c>
      <c r="C975" t="inlineStr">
        <is>
          <t>FC3</t>
        </is>
      </c>
      <c r="D975" t="inlineStr">
        <is>
          <t>6.35mm</t>
        </is>
      </c>
      <c r="E975" t="inlineStr">
        <is>
          <t>Non</t>
        </is>
      </c>
      <c r="F975" t="inlineStr">
        <is>
          <t>https://headfonics.com/hiby-fc3-review/</t>
        </is>
      </c>
      <c r="G975" s="26" t="inlineStr">
        <is>
          <t>Headphone Port Standard 3.5mm TRS (Does not support Line Control)</t>
        </is>
      </c>
      <c r="H975" t="inlineStr">
        <is>
          <t>2026-08-10</t>
        </is>
      </c>
    </row>
    <row r="976">
      <c r="A976" t="n">
        <v>153</v>
      </c>
      <c r="B976" t="inlineStr">
        <is>
          <t>HiBy</t>
        </is>
      </c>
      <c r="C976" t="inlineStr">
        <is>
          <t>FC3</t>
        </is>
      </c>
      <c r="D976" t="inlineStr">
        <is>
          <t>XLR</t>
        </is>
      </c>
      <c r="E976" t="inlineStr">
        <is>
          <t>Non</t>
        </is>
      </c>
      <c r="F976" t="inlineStr">
        <is>
          <t>https://headfonics.com/hiby-fc3-review/</t>
        </is>
      </c>
      <c r="G976" s="26" t="inlineStr">
        <is>
          <t>Headphone Port Standard 3.5mm TRS (Does not support Line Control)</t>
        </is>
      </c>
      <c r="H976" t="inlineStr">
        <is>
          <t>2026-08-10</t>
        </is>
      </c>
    </row>
    <row r="977">
      <c r="A977" t="n">
        <v>154</v>
      </c>
      <c r="B977" t="inlineStr">
        <is>
          <t>Khadas</t>
        </is>
      </c>
      <c r="C977" t="inlineStr">
        <is>
          <t>Tone2 Pro</t>
        </is>
      </c>
      <c r="D977" t="inlineStr">
        <is>
          <t>Batterie</t>
        </is>
      </c>
      <c r="E977" t="inlineStr">
        <is>
          <t>Non</t>
        </is>
      </c>
      <c r="F977" t="inlineStr">
        <is>
          <t>https://headfonics.com/khadas-tone2-pro-review/</t>
        </is>
      </c>
      <c r="G977" s="26" t="inlineStr">
        <is>
          <t>USB-powered</t>
        </is>
      </c>
      <c r="H977" t="inlineStr">
        <is>
          <t>2026-08-10</t>
        </is>
      </c>
    </row>
    <row r="978">
      <c r="A978" t="n">
        <v>154</v>
      </c>
      <c r="B978" t="inlineStr">
        <is>
          <t>Khadas</t>
        </is>
      </c>
      <c r="C978" t="inlineStr">
        <is>
          <t>Tone2 Pro</t>
        </is>
      </c>
      <c r="D978" t="inlineStr">
        <is>
          <t>Bluetooth</t>
        </is>
      </c>
      <c r="E978" t="inlineStr">
        <is>
          <t>Non</t>
        </is>
      </c>
      <c r="F978" t="inlineStr">
        <is>
          <t>https://headfonics.com/khadas-tone2-pro-review/</t>
        </is>
      </c>
      <c r="G978" s="26" t="inlineStr">
        <is>
          <t>USB C and Coaxial</t>
        </is>
      </c>
      <c r="H978" t="inlineStr">
        <is>
          <t>2026-08-10</t>
        </is>
      </c>
    </row>
    <row r="979">
      <c r="A979" t="n">
        <v>154</v>
      </c>
      <c r="B979" t="inlineStr">
        <is>
          <t>Khadas</t>
        </is>
      </c>
      <c r="C979" t="inlineStr">
        <is>
          <t>Tone2 Pro</t>
        </is>
      </c>
      <c r="D979" t="inlineStr">
        <is>
          <t>3.5mm</t>
        </is>
      </c>
      <c r="E979" t="inlineStr">
        <is>
          <t>Oui</t>
        </is>
      </c>
      <c r="F979" t="inlineStr">
        <is>
          <t>https://headfonics.com/khadas-tone2-pro-review/</t>
        </is>
      </c>
      <c r="G979" s="26" t="inlineStr">
        <is>
          <t>a 3.5mm single-ended output</t>
        </is>
      </c>
      <c r="H979" t="inlineStr">
        <is>
          <t>2026-08-10</t>
        </is>
      </c>
    </row>
    <row r="980">
      <c r="A980" t="n">
        <v>154</v>
      </c>
      <c r="B980" t="inlineStr">
        <is>
          <t>Khadas</t>
        </is>
      </c>
      <c r="C980" t="inlineStr">
        <is>
          <t>Tone2 Pro</t>
        </is>
      </c>
      <c r="D980" t="inlineStr">
        <is>
          <t>4.4mm</t>
        </is>
      </c>
      <c r="E980" t="inlineStr">
        <is>
          <t>Oui</t>
        </is>
      </c>
      <c r="F980" t="inlineStr">
        <is>
          <t>https://headfonics.com/khadas-tone2-pro-review/</t>
        </is>
      </c>
      <c r="G980" s="26" t="inlineStr">
        <is>
          <t>a 4.4mm balanced output</t>
        </is>
      </c>
      <c r="H980" t="inlineStr">
        <is>
          <t>2026-08-10</t>
        </is>
      </c>
    </row>
    <row r="981">
      <c r="A981" t="n">
        <v>154</v>
      </c>
      <c r="B981" t="inlineStr">
        <is>
          <t>Khadas</t>
        </is>
      </c>
      <c r="C981" t="inlineStr">
        <is>
          <t>Tone2 Pro</t>
        </is>
      </c>
      <c r="D981" t="inlineStr">
        <is>
          <t>2.5mm</t>
        </is>
      </c>
      <c r="E981" t="inlineStr">
        <is>
          <t>Non</t>
        </is>
      </c>
      <c r="F981" t="inlineStr">
        <is>
          <t>https://headfonics.com/khadas-tone2-pro-review/</t>
        </is>
      </c>
      <c r="G981" s="26" t="inlineStr">
        <is>
          <t>a 3.5mm single-ended output ... a 4.4mm balanced output ... a specialized balanced RCA output in the rear</t>
        </is>
      </c>
      <c r="H981" t="inlineStr">
        <is>
          <t>2026-08-10</t>
        </is>
      </c>
    </row>
    <row r="982">
      <c r="A982" t="n">
        <v>154</v>
      </c>
      <c r="B982" t="inlineStr">
        <is>
          <t>Khadas</t>
        </is>
      </c>
      <c r="C982" t="inlineStr">
        <is>
          <t>Tone2 Pro</t>
        </is>
      </c>
      <c r="D982" t="inlineStr">
        <is>
          <t>6.35mm</t>
        </is>
      </c>
      <c r="E982" t="inlineStr">
        <is>
          <t>Non</t>
        </is>
      </c>
      <c r="F982" t="inlineStr">
        <is>
          <t>https://headfonics.com/khadas-tone2-pro-review/</t>
        </is>
      </c>
      <c r="G982" s="26" t="inlineStr">
        <is>
          <t>a 3.5mm single-ended output ... a 4.4mm balanced output ... a specialized balanced RCA output in the rear</t>
        </is>
      </c>
      <c r="H982" t="inlineStr">
        <is>
          <t>2026-08-10</t>
        </is>
      </c>
    </row>
    <row r="983">
      <c r="A983" t="n">
        <v>154</v>
      </c>
      <c r="B983" t="inlineStr">
        <is>
          <t>Khadas</t>
        </is>
      </c>
      <c r="C983" t="inlineStr">
        <is>
          <t>Tone2 Pro</t>
        </is>
      </c>
      <c r="D983" t="inlineStr">
        <is>
          <t>XLR</t>
        </is>
      </c>
      <c r="E983" t="inlineStr">
        <is>
          <t>Non</t>
        </is>
      </c>
      <c r="F983" t="inlineStr">
        <is>
          <t>https://headfonics.com/khadas-tone2-pro-review/</t>
        </is>
      </c>
      <c r="G983" s="26" t="inlineStr">
        <is>
          <t>a 3.5mm single-ended output ... a 4.4mm balanced output ... a specialized balanced RCA output in the rear</t>
        </is>
      </c>
      <c r="H983" t="inlineStr">
        <is>
          <t>2026-08-10</t>
        </is>
      </c>
    </row>
    <row r="984">
      <c r="A984" t="n">
        <v>155</v>
      </c>
      <c r="B984" t="inlineStr">
        <is>
          <t>Hidizs</t>
        </is>
      </c>
      <c r="C984" t="inlineStr">
        <is>
          <t>DH80</t>
        </is>
      </c>
      <c r="D984" t="inlineStr">
        <is>
          <t>Batterie</t>
        </is>
      </c>
      <c r="E984" t="inlineStr">
        <is>
          <t>Oui</t>
        </is>
      </c>
      <c r="F984" t="inlineStr">
        <is>
          <t>https://www.hidizs.net/pages/dh80-dh80s-specifications</t>
        </is>
      </c>
      <c r="G984" s="26" t="inlineStr">
        <is>
          <t>1300mAh 3.7V Li-Polymer Battery</t>
        </is>
      </c>
      <c r="H984" t="inlineStr">
        <is>
          <t>2026-08-10</t>
        </is>
      </c>
    </row>
    <row r="985">
      <c r="A985" t="n">
        <v>155</v>
      </c>
      <c r="B985" t="inlineStr">
        <is>
          <t>Hidizs</t>
        </is>
      </c>
      <c r="C985" t="inlineStr">
        <is>
          <t>DH80</t>
        </is>
      </c>
      <c r="D985" t="inlineStr">
        <is>
          <t>3.5mm</t>
        </is>
      </c>
      <c r="E985" t="inlineStr">
        <is>
          <t>Oui</t>
        </is>
      </c>
      <c r="F985" t="inlineStr">
        <is>
          <t>https://www.hidizs.net/pages/dh80-dh80s-specifications</t>
        </is>
      </c>
      <c r="G985" s="26" t="inlineStr">
        <is>
          <t>EARPHONES PORT PARAMETERS ... PO(3.5) ... BAL(4.4)</t>
        </is>
      </c>
      <c r="H985" t="inlineStr">
        <is>
          <t>2026-08-10</t>
        </is>
      </c>
    </row>
    <row r="986">
      <c r="A986" t="n">
        <v>155</v>
      </c>
      <c r="B986" t="inlineStr">
        <is>
          <t>Hidizs</t>
        </is>
      </c>
      <c r="C986" t="inlineStr">
        <is>
          <t>DH80</t>
        </is>
      </c>
      <c r="D986" t="inlineStr">
        <is>
          <t>4.4mm</t>
        </is>
      </c>
      <c r="E986" t="inlineStr">
        <is>
          <t>Oui</t>
        </is>
      </c>
      <c r="F986" t="inlineStr">
        <is>
          <t>https://www.hidizs.net/pages/dh80-dh80s-specifications</t>
        </is>
      </c>
      <c r="G986" s="26" t="inlineStr">
        <is>
          <t>EARPHONES PORT PARAMETERS ... PO(3.5) ... BAL(4.4)</t>
        </is>
      </c>
      <c r="H986" t="inlineStr">
        <is>
          <t>2026-08-10</t>
        </is>
      </c>
    </row>
    <row r="987">
      <c r="A987" t="n">
        <v>155</v>
      </c>
      <c r="B987" t="inlineStr">
        <is>
          <t>Hidizs</t>
        </is>
      </c>
      <c r="C987" t="inlineStr">
        <is>
          <t>DH80</t>
        </is>
      </c>
      <c r="D987" t="inlineStr">
        <is>
          <t>2.5mm</t>
        </is>
      </c>
      <c r="E987" t="inlineStr">
        <is>
          <t>Non</t>
        </is>
      </c>
      <c r="F987" t="inlineStr">
        <is>
          <t>https://www.hidizs.net/pages/dh80-dh80s-specifications</t>
        </is>
      </c>
      <c r="G987" s="26" t="inlineStr">
        <is>
          <t>EARPHONES PORT PARAMETERS ... PO(3.5) ... BAL(4.4)</t>
        </is>
      </c>
      <c r="H987" t="inlineStr">
        <is>
          <t>2026-08-10</t>
        </is>
      </c>
    </row>
    <row r="988">
      <c r="A988" t="n">
        <v>155</v>
      </c>
      <c r="B988" t="inlineStr">
        <is>
          <t>Hidizs</t>
        </is>
      </c>
      <c r="C988" t="inlineStr">
        <is>
          <t>DH80</t>
        </is>
      </c>
      <c r="D988" t="inlineStr">
        <is>
          <t>6.35mm</t>
        </is>
      </c>
      <c r="E988" t="inlineStr">
        <is>
          <t>Non</t>
        </is>
      </c>
      <c r="F988" t="inlineStr">
        <is>
          <t>https://www.hidizs.net/pages/dh80-dh80s-specifications</t>
        </is>
      </c>
      <c r="G988" s="26" t="inlineStr">
        <is>
          <t>EARPHONES PORT PARAMETERS ... PO(3.5) ... BAL(4.4)</t>
        </is>
      </c>
      <c r="H988" t="inlineStr">
        <is>
          <t>2026-08-10</t>
        </is>
      </c>
    </row>
    <row r="989">
      <c r="A989" t="n">
        <v>155</v>
      </c>
      <c r="B989" t="inlineStr">
        <is>
          <t>Hidizs</t>
        </is>
      </c>
      <c r="C989" t="inlineStr">
        <is>
          <t>DH80</t>
        </is>
      </c>
      <c r="D989" t="inlineStr">
        <is>
          <t>XLR</t>
        </is>
      </c>
      <c r="E989" t="inlineStr">
        <is>
          <t>Non</t>
        </is>
      </c>
      <c r="F989" t="inlineStr">
        <is>
          <t>https://www.hidizs.net/pages/dh80-dh80s-specifications</t>
        </is>
      </c>
      <c r="G989" s="26" t="inlineStr">
        <is>
          <t>EARPHONES PORT PARAMETERS ... PO(3.5) ... BAL(4.4)</t>
        </is>
      </c>
      <c r="H989" t="inlineStr">
        <is>
          <t>2026-08-10</t>
        </is>
      </c>
    </row>
    <row r="990">
      <c r="A990" t="n">
        <v>156</v>
      </c>
      <c r="B990" t="inlineStr">
        <is>
          <t>iBasso</t>
        </is>
      </c>
      <c r="C990" t="inlineStr">
        <is>
          <t>DC04</t>
        </is>
      </c>
      <c r="D990" t="inlineStr">
        <is>
          <t>Batterie</t>
        </is>
      </c>
      <c r="E990" t="inlineStr">
        <is>
          <t>Non</t>
        </is>
      </c>
      <c r="F990" t="inlineStr">
        <is>
          <t>https://headfonics.com/ibasso-dc04-review/</t>
        </is>
      </c>
      <c r="G990" s="26" t="inlineStr">
        <is>
          <t>The Ibasso DC04 does not have an internal battery and depends on the source for power and uses the 5 volts available at the USB port</t>
        </is>
      </c>
      <c r="H990" t="inlineStr">
        <is>
          <t>2026-08-10</t>
        </is>
      </c>
    </row>
    <row r="991">
      <c r="A991" t="n">
        <v>156</v>
      </c>
      <c r="B991" t="inlineStr">
        <is>
          <t>iBasso</t>
        </is>
      </c>
      <c r="C991" t="inlineStr">
        <is>
          <t>DC04</t>
        </is>
      </c>
      <c r="D991" t="inlineStr">
        <is>
          <t>3.5mm</t>
        </is>
      </c>
      <c r="E991" t="inlineStr">
        <is>
          <t>Non</t>
        </is>
      </c>
      <c r="F991" t="inlineStr">
        <is>
          <t>https://headfonics.com/ibasso-dc04-review/</t>
        </is>
      </c>
      <c r="G991" s="26" t="inlineStr">
        <is>
          <t>I have several micro DACs and this one is the only one I have that has a single 4.4mm balanced connector for headphone output</t>
        </is>
      </c>
      <c r="H991" t="inlineStr">
        <is>
          <t>2026-08-10</t>
        </is>
      </c>
    </row>
    <row r="992">
      <c r="A992" t="n">
        <v>156</v>
      </c>
      <c r="B992" t="inlineStr">
        <is>
          <t>iBasso</t>
        </is>
      </c>
      <c r="C992" t="inlineStr">
        <is>
          <t>DC04</t>
        </is>
      </c>
      <c r="D992" t="inlineStr">
        <is>
          <t>4.4mm</t>
        </is>
      </c>
      <c r="E992" t="inlineStr">
        <is>
          <t>Oui</t>
        </is>
      </c>
      <c r="F992" t="inlineStr">
        <is>
          <t>https://headfonics.com/ibasso-dc04-review/</t>
        </is>
      </c>
      <c r="G992" s="26" t="inlineStr">
        <is>
          <t>The iBasso DC04 is a dual CS43131 DAC and balanced 4.4mm output capable dongle delivering up to 195mW into 32Ω.</t>
        </is>
      </c>
      <c r="H992" t="inlineStr">
        <is>
          <t>2026-08-10</t>
        </is>
      </c>
    </row>
    <row r="993">
      <c r="A993" t="n">
        <v>156</v>
      </c>
      <c r="B993" t="inlineStr">
        <is>
          <t>iBasso</t>
        </is>
      </c>
      <c r="C993" t="inlineStr">
        <is>
          <t>DC04</t>
        </is>
      </c>
      <c r="D993" t="inlineStr">
        <is>
          <t>2.5mm</t>
        </is>
      </c>
      <c r="E993" t="inlineStr">
        <is>
          <t>Non</t>
        </is>
      </c>
      <c r="F993" t="inlineStr">
        <is>
          <t>https://headfonics.com/ibasso-dc04-review/</t>
        </is>
      </c>
      <c r="G993" s="26" t="inlineStr">
        <is>
          <t>this one is the only one I have that has a single 4.4mm balanced connector for headphone output</t>
        </is>
      </c>
      <c r="H993" t="inlineStr">
        <is>
          <t>2026-08-10</t>
        </is>
      </c>
    </row>
    <row r="994">
      <c r="A994" t="n">
        <v>156</v>
      </c>
      <c r="B994" t="inlineStr">
        <is>
          <t>iBasso</t>
        </is>
      </c>
      <c r="C994" t="inlineStr">
        <is>
          <t>DC04</t>
        </is>
      </c>
      <c r="D994" t="inlineStr">
        <is>
          <t>6.35mm</t>
        </is>
      </c>
      <c r="E994" t="inlineStr">
        <is>
          <t>Non</t>
        </is>
      </c>
      <c r="F994" t="inlineStr">
        <is>
          <t>https://headfonics.com/ibasso-dc04-review/</t>
        </is>
      </c>
      <c r="G994" s="26" t="inlineStr">
        <is>
          <t>this one is the only one I have that has a single 4.4mm balanced connector for headphone output</t>
        </is>
      </c>
      <c r="H994" t="inlineStr">
        <is>
          <t>2026-08-10</t>
        </is>
      </c>
    </row>
    <row r="995">
      <c r="A995" t="n">
        <v>156</v>
      </c>
      <c r="B995" t="inlineStr">
        <is>
          <t>iBasso</t>
        </is>
      </c>
      <c r="C995" t="inlineStr">
        <is>
          <t>DC04</t>
        </is>
      </c>
      <c r="D995" t="inlineStr">
        <is>
          <t>XLR</t>
        </is>
      </c>
      <c r="E995" t="inlineStr">
        <is>
          <t>Non</t>
        </is>
      </c>
      <c r="F995" t="inlineStr">
        <is>
          <t>https://headfonics.com/ibasso-dc04-review/</t>
        </is>
      </c>
      <c r="G995" s="26" t="inlineStr">
        <is>
          <t>this one is the only one I have that has a single 4.4mm balanced connector for headphone output</t>
        </is>
      </c>
      <c r="H995" t="inlineStr">
        <is>
          <t>2026-08-10</t>
        </is>
      </c>
    </row>
    <row r="996">
      <c r="A996" t="n">
        <v>157</v>
      </c>
      <c r="B996" t="inlineStr">
        <is>
          <t>HiBy</t>
        </is>
      </c>
      <c r="C996" t="inlineStr">
        <is>
          <t>FD1 &amp; Beans</t>
        </is>
      </c>
      <c r="D996" t="inlineStr">
        <is>
          <t>Batterie</t>
        </is>
      </c>
      <c r="E996" t="inlineStr">
        <is>
          <t>Non</t>
        </is>
      </c>
      <c r="F996" t="inlineStr">
        <is>
          <t>https://guide.hiby.com/en/docs/products/usb_dac/hiby-fd1/spec</t>
        </is>
      </c>
      <c r="G996" s="26" t="inlineStr">
        <is>
          <t>Battery | None</t>
        </is>
      </c>
      <c r="H996" t="inlineStr">
        <is>
          <t>2026-08-10</t>
        </is>
      </c>
    </row>
    <row r="997">
      <c r="A997" t="n">
        <v>157</v>
      </c>
      <c r="B997" t="inlineStr">
        <is>
          <t>HiBy</t>
        </is>
      </c>
      <c r="C997" t="inlineStr">
        <is>
          <t>FD1 &amp; Beans</t>
        </is>
      </c>
      <c r="D997" t="inlineStr">
        <is>
          <t>3.5mm</t>
        </is>
      </c>
      <c r="E997" t="inlineStr">
        <is>
          <t>Oui</t>
        </is>
      </c>
      <c r="F997" t="inlineStr">
        <is>
          <t>https://store.hiby.com/pages/fd1-specs</t>
        </is>
      </c>
      <c r="G997" s="26" t="inlineStr">
        <is>
          <t>Headphone output | 3.5mm Single Ended headphone port(supports wired remote)</t>
        </is>
      </c>
      <c r="H997" t="inlineStr">
        <is>
          <t>2026-08-10</t>
        </is>
      </c>
    </row>
    <row r="998">
      <c r="A998" t="n">
        <v>157</v>
      </c>
      <c r="B998" t="inlineStr">
        <is>
          <t>HiBy</t>
        </is>
      </c>
      <c r="C998" t="inlineStr">
        <is>
          <t>FD1 &amp; Beans</t>
        </is>
      </c>
      <c r="D998" t="inlineStr">
        <is>
          <t>4.4mm</t>
        </is>
      </c>
      <c r="E998" t="inlineStr">
        <is>
          <t>Non</t>
        </is>
      </c>
      <c r="F998" t="inlineStr">
        <is>
          <t>https://guide.hiby.com/en/docs/products/usb_dac/hiby-fd1/spec</t>
        </is>
      </c>
      <c r="G998" s="26" t="inlineStr">
        <is>
          <t>LineOut | None ... PhoneOut | 3.5mm ... Balance LineOut | None ... Balance | 2.5m</t>
        </is>
      </c>
      <c r="H998" t="inlineStr">
        <is>
          <t>2026-08-10</t>
        </is>
      </c>
    </row>
    <row r="999">
      <c r="A999" t="n">
        <v>157</v>
      </c>
      <c r="B999" t="inlineStr">
        <is>
          <t>HiBy</t>
        </is>
      </c>
      <c r="C999" t="inlineStr">
        <is>
          <t>FD1 &amp; Beans</t>
        </is>
      </c>
      <c r="D999" t="inlineStr">
        <is>
          <t>2.5mm</t>
        </is>
      </c>
      <c r="E999" t="inlineStr">
        <is>
          <t>Oui</t>
        </is>
      </c>
      <c r="F999" t="inlineStr">
        <is>
          <t>https://store.hiby.com/pages/fd1-specs</t>
        </is>
      </c>
      <c r="G999" s="26" t="inlineStr">
        <is>
          <t>Balanced output | 2.5mm Balanced headphone port</t>
        </is>
      </c>
      <c r="H999" t="inlineStr">
        <is>
          <t>2026-08-10</t>
        </is>
      </c>
    </row>
    <row r="1000">
      <c r="A1000" t="n">
        <v>157</v>
      </c>
      <c r="B1000" t="inlineStr">
        <is>
          <t>HiBy</t>
        </is>
      </c>
      <c r="C1000" t="inlineStr">
        <is>
          <t>FD1 &amp; Beans</t>
        </is>
      </c>
      <c r="D1000" t="inlineStr">
        <is>
          <t>6.35mm</t>
        </is>
      </c>
      <c r="E1000" t="inlineStr">
        <is>
          <t>Non</t>
        </is>
      </c>
      <c r="F1000" t="inlineStr">
        <is>
          <t>https://guide.hiby.com/en/docs/products/usb_dac/hiby-fd1/spec</t>
        </is>
      </c>
      <c r="G1000" s="26" t="inlineStr">
        <is>
          <t>LineOut | None ... PhoneOut | 3.5mm ... Balance LineOut | None ... Balance | 2.5m</t>
        </is>
      </c>
      <c r="H1000" t="inlineStr">
        <is>
          <t>2026-08-10</t>
        </is>
      </c>
    </row>
    <row r="1001">
      <c r="A1001" t="n">
        <v>157</v>
      </c>
      <c r="B1001" t="inlineStr">
        <is>
          <t>HiBy</t>
        </is>
      </c>
      <c r="C1001" t="inlineStr">
        <is>
          <t>FD1 &amp; Beans</t>
        </is>
      </c>
      <c r="D1001" t="inlineStr">
        <is>
          <t>XLR</t>
        </is>
      </c>
      <c r="E1001" t="inlineStr">
        <is>
          <t>Non</t>
        </is>
      </c>
      <c r="F1001" t="inlineStr">
        <is>
          <t>https://guide.hiby.com/en/docs/products/usb_dac/hiby-fd1/spec</t>
        </is>
      </c>
      <c r="G1001" s="26" t="inlineStr">
        <is>
          <t>LineOut | None ... PhoneOut | 3.5mm ... Balance LineOut | None ... Balance | 2.5m</t>
        </is>
      </c>
      <c r="H1001" t="inlineStr">
        <is>
          <t>2026-08-10</t>
        </is>
      </c>
    </row>
    <row r="1002">
      <c r="A1002" t="n">
        <v>158</v>
      </c>
      <c r="B1002" t="inlineStr">
        <is>
          <t>iFi audio</t>
        </is>
      </c>
      <c r="C1002" t="inlineStr">
        <is>
          <t>iDSD Valkyrie</t>
        </is>
      </c>
      <c r="D1002" t="inlineStr">
        <is>
          <t>Batterie</t>
        </is>
      </c>
      <c r="E1002" t="inlineStr">
        <is>
          <t>Oui</t>
        </is>
      </c>
      <c r="F1002" t="inlineStr">
        <is>
          <t>https://www.audiophonics.fr/fr/dac-portables/ifi-audio-idsd-valkyrie-noir-p-21756.html</t>
        </is>
      </c>
      <c r="G1002" s="26" t="inlineStr">
        <is>
          <t>Batterie | 20000mAh</t>
        </is>
      </c>
      <c r="H1002" t="inlineStr">
        <is>
          <t>2026-08-10</t>
        </is>
      </c>
    </row>
    <row r="1003">
      <c r="A1003" t="n">
        <v>158</v>
      </c>
      <c r="B1003" t="inlineStr">
        <is>
          <t>iFi audio</t>
        </is>
      </c>
      <c r="C1003" t="inlineStr">
        <is>
          <t>iDSD Valkyrie</t>
        </is>
      </c>
      <c r="D1003" t="inlineStr">
        <is>
          <t>Bluetooth</t>
        </is>
      </c>
      <c r="E1003" t="inlineStr">
        <is>
          <t>Oui</t>
        </is>
      </c>
      <c r="F1003" t="inlineStr">
        <is>
          <t>https://www.audiophonics.fr/fr/dac-portables/ifi-audio-idsd-valkyrie-noir-p-21756.html</t>
        </is>
      </c>
      <c r="G1003" s="26" t="inlineStr">
        <is>
          <t>Codecs Bluetooth supportés | aptX Lossless, aptX Adaptive, aptX, LDAC, LHDC/HWA, AAC, SBC</t>
        </is>
      </c>
      <c r="H1003" t="inlineStr">
        <is>
          <t>2026-08-10</t>
        </is>
      </c>
    </row>
    <row r="1004">
      <c r="A1004" t="n">
        <v>158</v>
      </c>
      <c r="B1004" t="inlineStr">
        <is>
          <t>iFi audio</t>
        </is>
      </c>
      <c r="C1004" t="inlineStr">
        <is>
          <t>iDSD Valkyrie</t>
        </is>
      </c>
      <c r="D1004" t="inlineStr">
        <is>
          <t>3.5mm</t>
        </is>
      </c>
      <c r="E1004" t="inlineStr">
        <is>
          <t>Oui</t>
        </is>
      </c>
      <c r="F1004" t="inlineStr">
        <is>
          <t>https://www.audiophonics.fr/fr/dac-portables/ifi-audio-idsd-valkyrie-noir-p-21756.html</t>
        </is>
      </c>
      <c r="G1004" s="26" t="inlineStr">
        <is>
          <t>Sorties | 2x Jack 3.5mm | 1x Jack 4.4mm | 1x RCA stéréo | 1x Sortie ligne Jack 3.5mm | 1x Sortie ligne Jack 4.4mm</t>
        </is>
      </c>
      <c r="H1004" t="inlineStr">
        <is>
          <t>2026-08-10</t>
        </is>
      </c>
    </row>
    <row r="1005">
      <c r="A1005" t="n">
        <v>158</v>
      </c>
      <c r="B1005" t="inlineStr">
        <is>
          <t>iFi audio</t>
        </is>
      </c>
      <c r="C1005" t="inlineStr">
        <is>
          <t>iDSD Valkyrie</t>
        </is>
      </c>
      <c r="D1005" t="inlineStr">
        <is>
          <t>4.4mm</t>
        </is>
      </c>
      <c r="E1005" t="inlineStr">
        <is>
          <t>Oui</t>
        </is>
      </c>
      <c r="F1005" t="inlineStr">
        <is>
          <t>https://www.audiophonics.fr/fr/dac-portables/ifi-audio-idsd-valkyrie-noir-p-21756.html</t>
        </is>
      </c>
      <c r="G1005" s="26" t="inlineStr">
        <is>
          <t>Sorties | 2x Jack 3.5mm | 1x Jack 4.4mm | 1x RCA stéréo | 1x Sortie ligne Jack 3.5mm | 1x Sortie ligne Jack 4.4mm</t>
        </is>
      </c>
      <c r="H1005" t="inlineStr">
        <is>
          <t>2026-08-10</t>
        </is>
      </c>
    </row>
    <row r="1006">
      <c r="A1006" t="n">
        <v>158</v>
      </c>
      <c r="B1006" t="inlineStr">
        <is>
          <t>iFi audio</t>
        </is>
      </c>
      <c r="C1006" t="inlineStr">
        <is>
          <t>iDSD Valkyrie</t>
        </is>
      </c>
      <c r="D1006" t="inlineStr">
        <is>
          <t>2.5mm</t>
        </is>
      </c>
      <c r="E1006" t="inlineStr">
        <is>
          <t>Non</t>
        </is>
      </c>
      <c r="F1006" t="inlineStr">
        <is>
          <t>https://www.audiophonics.fr/fr/dac-portables/ifi-audio-idsd-valkyrie-noir-p-21756.html</t>
        </is>
      </c>
      <c r="G1006" s="26" t="inlineStr">
        <is>
          <t>Sorties | 2x Jack 3.5mm | 1x Jack 4.4mm | 1x RCA stéréo | 1x Sortie ligne Jack 3.5mm | 1x Sortie ligne Jack 4.4mm</t>
        </is>
      </c>
      <c r="H1006" t="inlineStr">
        <is>
          <t>2026-08-10</t>
        </is>
      </c>
    </row>
    <row r="1007">
      <c r="A1007" t="n">
        <v>158</v>
      </c>
      <c r="B1007" t="inlineStr">
        <is>
          <t>iFi audio</t>
        </is>
      </c>
      <c r="C1007" t="inlineStr">
        <is>
          <t>iDSD Valkyrie</t>
        </is>
      </c>
      <c r="D1007" t="inlineStr">
        <is>
          <t>6.35mm</t>
        </is>
      </c>
      <c r="E1007" t="inlineStr">
        <is>
          <t>Non</t>
        </is>
      </c>
      <c r="F1007" t="inlineStr">
        <is>
          <t>https://www.audiophonics.fr/fr/dac-portables/ifi-audio-idsd-valkyrie-noir-p-21756.html</t>
        </is>
      </c>
      <c r="G1007" s="26" t="inlineStr">
        <is>
          <t>Sorties | 2x Jack 3.5mm | 1x Jack 4.4mm | 1x RCA stéréo | 1x Sortie ligne Jack 3.5mm | 1x Sortie ligne Jack 4.4mm</t>
        </is>
      </c>
      <c r="H1007" t="inlineStr">
        <is>
          <t>2026-08-10</t>
        </is>
      </c>
    </row>
    <row r="1008">
      <c r="A1008" t="n">
        <v>158</v>
      </c>
      <c r="B1008" t="inlineStr">
        <is>
          <t>iFi audio</t>
        </is>
      </c>
      <c r="C1008" t="inlineStr">
        <is>
          <t>iDSD Valkyrie</t>
        </is>
      </c>
      <c r="D1008" t="inlineStr">
        <is>
          <t>XLR</t>
        </is>
      </c>
      <c r="E1008" t="inlineStr">
        <is>
          <t>Non</t>
        </is>
      </c>
      <c r="F1008" t="inlineStr">
        <is>
          <t>https://www.audiophonics.fr/fr/dac-portables/ifi-audio-idsd-valkyrie-noir-p-21756.html</t>
        </is>
      </c>
      <c r="G1008" s="26" t="inlineStr">
        <is>
          <t>Sorties | 2x Jack 3.5mm | 1x Jack 4.4mm | 1x RCA stéréo | 1x Sortie ligne Jack 3.5mm | 1x Sortie ligne Jack 4.4mm</t>
        </is>
      </c>
      <c r="H1008" t="inlineStr">
        <is>
          <t>2026-08-10</t>
        </is>
      </c>
    </row>
    <row r="1009">
      <c r="A1009" t="n">
        <v>159</v>
      </c>
      <c r="B1009" t="inlineStr">
        <is>
          <t>FangSound</t>
        </is>
      </c>
      <c r="C1009" t="inlineStr">
        <is>
          <t>Prometheus</t>
        </is>
      </c>
      <c r="D1009" t="inlineStr">
        <is>
          <t>Batterie</t>
        </is>
      </c>
      <c r="E1009" t="inlineStr">
        <is>
          <t>Non</t>
        </is>
      </c>
      <c r="F1009" t="inlineStr">
        <is>
          <t>https://www.audiophonics.fr/fr/dac-portables/fangsound-prometheus-p-21765.html</t>
        </is>
      </c>
      <c r="G1009" s="26" t="inlineStr">
        <is>
          <t>Alimentation | Via USB-C</t>
        </is>
      </c>
      <c r="H1009" t="inlineStr">
        <is>
          <t>2026-08-10</t>
        </is>
      </c>
    </row>
    <row r="1010">
      <c r="A1010" t="n">
        <v>159</v>
      </c>
      <c r="B1010" t="inlineStr">
        <is>
          <t>FangSound</t>
        </is>
      </c>
      <c r="C1010" t="inlineStr">
        <is>
          <t>Prometheus</t>
        </is>
      </c>
      <c r="D1010" t="inlineStr">
        <is>
          <t>Bluetooth</t>
        </is>
      </c>
      <c r="E1010" t="inlineStr">
        <is>
          <t>Non</t>
        </is>
      </c>
      <c r="F1010" t="inlineStr">
        <is>
          <t>https://www.audiophonics.fr/fr/dac-portables/fangsound-prometheus-p-21765.html</t>
        </is>
      </c>
      <c r="G1010" s="26" t="inlineStr">
        <is>
          <t>Entrée | 1x USB-C</t>
        </is>
      </c>
      <c r="H1010" t="inlineStr">
        <is>
          <t>2026-08-10</t>
        </is>
      </c>
    </row>
    <row r="1011">
      <c r="A1011" t="n">
        <v>159</v>
      </c>
      <c r="B1011" t="inlineStr">
        <is>
          <t>FangSound</t>
        </is>
      </c>
      <c r="C1011" t="inlineStr">
        <is>
          <t>Prometheus</t>
        </is>
      </c>
      <c r="D1011" t="inlineStr">
        <is>
          <t>3.5mm</t>
        </is>
      </c>
      <c r="E1011" t="inlineStr">
        <is>
          <t>Oui</t>
        </is>
      </c>
      <c r="F1011" t="inlineStr">
        <is>
          <t>https://www.audiophonics.fr/fr/dac-portables/fangsound-prometheus-p-21765.html</t>
        </is>
      </c>
      <c r="G1011" s="26" t="inlineStr">
        <is>
          <t>Sortie | 1x Jack 3.5mm asymétrique | 1x Jack 4.4mm symétrique</t>
        </is>
      </c>
      <c r="H1011" t="inlineStr">
        <is>
          <t>2026-08-10</t>
        </is>
      </c>
    </row>
    <row r="1012">
      <c r="A1012" t="n">
        <v>159</v>
      </c>
      <c r="B1012" t="inlineStr">
        <is>
          <t>FangSound</t>
        </is>
      </c>
      <c r="C1012" t="inlineStr">
        <is>
          <t>Prometheus</t>
        </is>
      </c>
      <c r="D1012" t="inlineStr">
        <is>
          <t>4.4mm</t>
        </is>
      </c>
      <c r="E1012" t="inlineStr">
        <is>
          <t>Oui</t>
        </is>
      </c>
      <c r="F1012" t="inlineStr">
        <is>
          <t>https://www.audiophonics.fr/fr/dac-portables/fangsound-prometheus-p-21765.html</t>
        </is>
      </c>
      <c r="G1012" s="26" t="inlineStr">
        <is>
          <t>Sortie | 1x Jack 3.5mm asymétrique | 1x Jack 4.4mm symétrique</t>
        </is>
      </c>
      <c r="H1012" t="inlineStr">
        <is>
          <t>2026-08-10</t>
        </is>
      </c>
    </row>
    <row r="1013">
      <c r="A1013" t="n">
        <v>159</v>
      </c>
      <c r="B1013" t="inlineStr">
        <is>
          <t>FangSound</t>
        </is>
      </c>
      <c r="C1013" t="inlineStr">
        <is>
          <t>Prometheus</t>
        </is>
      </c>
      <c r="D1013" t="inlineStr">
        <is>
          <t>2.5mm</t>
        </is>
      </c>
      <c r="E1013" t="inlineStr">
        <is>
          <t>Non</t>
        </is>
      </c>
      <c r="F1013" t="inlineStr">
        <is>
          <t>https://www.audiophonics.fr/fr/dac-portables/fangsound-prometheus-p-21765.html</t>
        </is>
      </c>
      <c r="G1013" s="26" t="inlineStr">
        <is>
          <t>Sortie | 1x Jack 3.5mm asymétrique | 1x Jack 4.4mm symétrique</t>
        </is>
      </c>
      <c r="H1013" t="inlineStr">
        <is>
          <t>2026-08-10</t>
        </is>
      </c>
    </row>
    <row r="1014">
      <c r="A1014" t="n">
        <v>159</v>
      </c>
      <c r="B1014" t="inlineStr">
        <is>
          <t>FangSound</t>
        </is>
      </c>
      <c r="C1014" t="inlineStr">
        <is>
          <t>Prometheus</t>
        </is>
      </c>
      <c r="D1014" t="inlineStr">
        <is>
          <t>6.35mm</t>
        </is>
      </c>
      <c r="E1014" t="inlineStr">
        <is>
          <t>Non</t>
        </is>
      </c>
      <c r="F1014" t="inlineStr">
        <is>
          <t>https://www.audiophonics.fr/fr/dac-portables/fangsound-prometheus-p-21765.html</t>
        </is>
      </c>
      <c r="G1014" s="26" t="inlineStr">
        <is>
          <t>Sortie | 1x Jack 3.5mm asymétrique | 1x Jack 4.4mm symétrique</t>
        </is>
      </c>
      <c r="H1014" t="inlineStr">
        <is>
          <t>2026-08-10</t>
        </is>
      </c>
    </row>
    <row r="1015">
      <c r="A1015" t="n">
        <v>159</v>
      </c>
      <c r="B1015" t="inlineStr">
        <is>
          <t>FangSound</t>
        </is>
      </c>
      <c r="C1015" t="inlineStr">
        <is>
          <t>Prometheus</t>
        </is>
      </c>
      <c r="D1015" t="inlineStr">
        <is>
          <t>XLR</t>
        </is>
      </c>
      <c r="E1015" t="inlineStr">
        <is>
          <t>Non</t>
        </is>
      </c>
      <c r="F1015" t="inlineStr">
        <is>
          <t>https://www.audiophonics.fr/fr/dac-portables/fangsound-prometheus-p-21765.html</t>
        </is>
      </c>
      <c r="G1015" s="26" t="inlineStr">
        <is>
          <t>Sortie | 1x Jack 3.5mm asymétrique | 1x Jack 4.4mm symétrique</t>
        </is>
      </c>
      <c r="H1015" t="inlineStr">
        <is>
          <t>2026-08-10</t>
        </is>
      </c>
    </row>
    <row r="1016">
      <c r="A1016" t="n">
        <v>160</v>
      </c>
      <c r="B1016" t="inlineStr">
        <is>
          <t>xDuoo</t>
        </is>
      </c>
      <c r="C1016" t="inlineStr">
        <is>
          <t>XD05T</t>
        </is>
      </c>
      <c r="D1016" t="inlineStr">
        <is>
          <t>Batterie</t>
        </is>
      </c>
      <c r="E1016" t="inlineStr">
        <is>
          <t>Oui</t>
        </is>
      </c>
      <c r="F1016" t="inlineStr">
        <is>
          <t>https://www.audiophonics.fr/fr/amplificateurs-casque-mobiles/xduoo-xd05t-p-20232.html</t>
        </is>
      </c>
      <c r="G1016" s="26" t="inlineStr">
        <is>
          <t>Batterie | 3.7V / 6000mAh</t>
        </is>
      </c>
      <c r="H1016" t="inlineStr">
        <is>
          <t>2026-08-10</t>
        </is>
      </c>
    </row>
    <row r="1017">
      <c r="A1017" t="n">
        <v>160</v>
      </c>
      <c r="B1017" t="inlineStr">
        <is>
          <t>xDuoo</t>
        </is>
      </c>
      <c r="C1017" t="inlineStr">
        <is>
          <t>XD05T</t>
        </is>
      </c>
      <c r="D1017" t="inlineStr">
        <is>
          <t>Bluetooth</t>
        </is>
      </c>
      <c r="E1017" t="inlineStr">
        <is>
          <t>Oui</t>
        </is>
      </c>
      <c r="F1017" t="inlineStr">
        <is>
          <t>https://www.audiophonics.fr/fr/amplificateurs-casque-mobiles/xduoo-xd05t-p-20232.html</t>
        </is>
      </c>
      <c r="G1017" s="26" t="inlineStr">
        <is>
          <t>Codecs Bluetooth supportés | SBC, AAC, aptX, aptX LL, aptX HD, LDAC</t>
        </is>
      </c>
      <c r="H1017" t="inlineStr">
        <is>
          <t>2026-08-10</t>
        </is>
      </c>
    </row>
    <row r="1018">
      <c r="A1018" t="n">
        <v>160</v>
      </c>
      <c r="B1018" t="inlineStr">
        <is>
          <t>xDuoo</t>
        </is>
      </c>
      <c r="C1018" t="inlineStr">
        <is>
          <t>XD05T</t>
        </is>
      </c>
      <c r="D1018" t="inlineStr">
        <is>
          <t>3.5mm</t>
        </is>
      </c>
      <c r="E1018" t="inlineStr">
        <is>
          <t>Non</t>
        </is>
      </c>
      <c r="F1018" t="inlineStr">
        <is>
          <t>https://www.audiophonics.fr/fr/amplificateurs-casque-mobiles/xduoo-xd05t-p-20232.html</t>
        </is>
      </c>
      <c r="G1018" s="26" t="inlineStr">
        <is>
          <t>Sorties | 1x Sortie casque Jack 6.35mm asymétrique | 1x Sortie casque Jack 4.4mm symétrique | 1x Entrée / Sortie AUX Jack 3.5mm asymétrique | 1x Entrée / Sortie AUX Jack 4.4mm symétrique</t>
        </is>
      </c>
      <c r="H1018" t="inlineStr">
        <is>
          <t>2026-08-10</t>
        </is>
      </c>
    </row>
    <row r="1019">
      <c r="A1019" t="n">
        <v>160</v>
      </c>
      <c r="B1019" t="inlineStr">
        <is>
          <t>xDuoo</t>
        </is>
      </c>
      <c r="C1019" t="inlineStr">
        <is>
          <t>XD05T</t>
        </is>
      </c>
      <c r="D1019" t="inlineStr">
        <is>
          <t>4.4mm</t>
        </is>
      </c>
      <c r="E1019" t="inlineStr">
        <is>
          <t>Oui</t>
        </is>
      </c>
      <c r="F1019" t="inlineStr">
        <is>
          <t>https://www.audiophonics.fr/fr/amplificateurs-casque-mobiles/xduoo-xd05t-p-20232.html</t>
        </is>
      </c>
      <c r="G1019" s="26" t="inlineStr">
        <is>
          <t>1x Sortie casque Jack 4.4mm symétrique</t>
        </is>
      </c>
      <c r="H1019" t="inlineStr">
        <is>
          <t>2026-08-10</t>
        </is>
      </c>
    </row>
    <row r="1020">
      <c r="A1020" t="n">
        <v>160</v>
      </c>
      <c r="B1020" t="inlineStr">
        <is>
          <t>xDuoo</t>
        </is>
      </c>
      <c r="C1020" t="inlineStr">
        <is>
          <t>XD05T</t>
        </is>
      </c>
      <c r="D1020" t="inlineStr">
        <is>
          <t>2.5mm</t>
        </is>
      </c>
      <c r="E1020" t="inlineStr">
        <is>
          <t>Non</t>
        </is>
      </c>
      <c r="F1020" t="inlineStr">
        <is>
          <t>https://www.audiophonics.fr/fr/amplificateurs-casque-mobiles/xduoo-xd05t-p-20232.html</t>
        </is>
      </c>
      <c r="G1020" s="26" t="inlineStr">
        <is>
          <t>Sorties | 1x Sortie casque Jack 6.35mm asymétrique | 1x Sortie casque Jack 4.4mm symétrique | 1x Entrée / Sortie AUX Jack 3.5mm asymétrique | 1x Entrée / Sortie AUX Jack 4.4mm symétrique</t>
        </is>
      </c>
      <c r="H1020" t="inlineStr">
        <is>
          <t>2026-08-10</t>
        </is>
      </c>
    </row>
    <row r="1021">
      <c r="A1021" t="n">
        <v>160</v>
      </c>
      <c r="B1021" t="inlineStr">
        <is>
          <t>xDuoo</t>
        </is>
      </c>
      <c r="C1021" t="inlineStr">
        <is>
          <t>XD05T</t>
        </is>
      </c>
      <c r="D1021" t="inlineStr">
        <is>
          <t>6.35mm</t>
        </is>
      </c>
      <c r="E1021" t="inlineStr">
        <is>
          <t>Oui</t>
        </is>
      </c>
      <c r="F1021" t="inlineStr">
        <is>
          <t>https://www.audiophonics.fr/fr/amplificateurs-casque-mobiles/xduoo-xd05t-p-20232.html</t>
        </is>
      </c>
      <c r="G1021" s="26" t="inlineStr">
        <is>
          <t>1x Sortie casque Jack 6.35mm asymétrique</t>
        </is>
      </c>
      <c r="H1021" t="inlineStr">
        <is>
          <t>2026-08-10</t>
        </is>
      </c>
    </row>
    <row r="1022">
      <c r="A1022" t="n">
        <v>160</v>
      </c>
      <c r="B1022" t="inlineStr">
        <is>
          <t>xDuoo</t>
        </is>
      </c>
      <c r="C1022" t="inlineStr">
        <is>
          <t>XD05T</t>
        </is>
      </c>
      <c r="D1022" t="inlineStr">
        <is>
          <t>XLR</t>
        </is>
      </c>
      <c r="E1022" t="inlineStr">
        <is>
          <t>Non</t>
        </is>
      </c>
      <c r="F1022" t="inlineStr">
        <is>
          <t>https://www.audiophonics.fr/fr/amplificateurs-casque-mobiles/xduoo-xd05t-p-20232.html</t>
        </is>
      </c>
      <c r="G1022" s="26" t="inlineStr">
        <is>
          <t>Sorties | 1x Sortie casque Jack 6.35mm asymétrique | 1x Sortie casque Jack 4.4mm symétrique | 1x Entrée / Sortie AUX Jack 3.5mm asymétrique | 1x Entrée / Sortie AUX Jack 4.4mm symétrique</t>
        </is>
      </c>
      <c r="H1022" t="inlineStr">
        <is>
          <t>2026-08-10</t>
        </is>
      </c>
    </row>
    <row r="1023">
      <c r="A1023" t="n">
        <v>161</v>
      </c>
      <c r="B1023" t="inlineStr">
        <is>
          <t>iFi audio</t>
        </is>
      </c>
      <c r="C1023" t="inlineStr">
        <is>
          <t>iDSD GR 2</t>
        </is>
      </c>
      <c r="D1023" t="inlineStr">
        <is>
          <t>Batterie</t>
        </is>
      </c>
      <c r="E1023" t="inlineStr">
        <is>
          <t>Oui</t>
        </is>
      </c>
      <c r="F1023" t="inlineStr">
        <is>
          <t>https://ifi-audio.com/products/idsd-gr-2</t>
        </is>
      </c>
      <c r="G1023" s="26" t="inlineStr">
        <is>
          <t>BATTERY | Lithium-Polymer 4,900mAh; ~7h battery life</t>
        </is>
      </c>
      <c r="H1023" t="inlineStr">
        <is>
          <t>2026-08-10</t>
        </is>
      </c>
    </row>
    <row r="1024">
      <c r="A1024" t="n">
        <v>161</v>
      </c>
      <c r="B1024" t="inlineStr">
        <is>
          <t>iFi audio</t>
        </is>
      </c>
      <c r="C1024" t="inlineStr">
        <is>
          <t>iDSD GR 2</t>
        </is>
      </c>
      <c r="D1024" t="inlineStr">
        <is>
          <t>Bluetooth</t>
        </is>
      </c>
      <c r="E1024" t="inlineStr">
        <is>
          <t>Oui</t>
        </is>
      </c>
      <c r="F1024" t="inlineStr">
        <is>
          <t>https://ifi-audio.com/products/idsd-gr-2</t>
        </is>
      </c>
      <c r="G1024" s="26" t="inlineStr">
        <is>
          <t>DIGITAL INPUTS | 1x USB-C; 1x S/PDIF (optical/coaxial); Bluetooth 5.4</t>
        </is>
      </c>
      <c r="H1024" t="inlineStr">
        <is>
          <t>2026-08-10</t>
        </is>
      </c>
    </row>
    <row r="1025">
      <c r="A1025" t="n">
        <v>161</v>
      </c>
      <c r="B1025" t="inlineStr">
        <is>
          <t>iFi audio</t>
        </is>
      </c>
      <c r="C1025" t="inlineStr">
        <is>
          <t>iDSD GR 2</t>
        </is>
      </c>
      <c r="D1025" t="inlineStr">
        <is>
          <t>3.5mm</t>
        </is>
      </c>
      <c r="E1025" t="inlineStr">
        <is>
          <t>Oui</t>
        </is>
      </c>
      <c r="F1025" t="inlineStr">
        <is>
          <t>https://ifi-audio.com/products/idsd-gr-2</t>
        </is>
      </c>
      <c r="G1025" s="26" t="inlineStr">
        <is>
          <t>HEADPHONE OUTPUT | 1 x Balanced 4.4mm; 1 x S-Balanced 3.5mm</t>
        </is>
      </c>
      <c r="H1025" t="inlineStr">
        <is>
          <t>2026-08-10</t>
        </is>
      </c>
    </row>
    <row r="1026">
      <c r="A1026" t="n">
        <v>161</v>
      </c>
      <c r="B1026" t="inlineStr">
        <is>
          <t>iFi audio</t>
        </is>
      </c>
      <c r="C1026" t="inlineStr">
        <is>
          <t>iDSD GR 2</t>
        </is>
      </c>
      <c r="D1026" t="inlineStr">
        <is>
          <t>4.4mm</t>
        </is>
      </c>
      <c r="E1026" t="inlineStr">
        <is>
          <t>Oui</t>
        </is>
      </c>
      <c r="F1026" t="inlineStr">
        <is>
          <t>https://ifi-audio.com/products/idsd-gr-2</t>
        </is>
      </c>
      <c r="G1026" s="26" t="inlineStr">
        <is>
          <t>HEADPHONE OUTPUT | 1 x Balanced 4.4mm; 1 x S-Balanced 3.5mm</t>
        </is>
      </c>
      <c r="H1026" t="inlineStr">
        <is>
          <t>2026-08-10</t>
        </is>
      </c>
    </row>
    <row r="1027">
      <c r="A1027" t="n">
        <v>161</v>
      </c>
      <c r="B1027" t="inlineStr">
        <is>
          <t>iFi audio</t>
        </is>
      </c>
      <c r="C1027" t="inlineStr">
        <is>
          <t>iDSD GR 2</t>
        </is>
      </c>
      <c r="D1027" t="inlineStr">
        <is>
          <t>2.5mm</t>
        </is>
      </c>
      <c r="E1027" t="inlineStr">
        <is>
          <t>Non</t>
        </is>
      </c>
      <c r="F1027" t="inlineStr">
        <is>
          <t>https://ifi-audio.com/products/idsd-gr-2</t>
        </is>
      </c>
      <c r="G1027" s="26" t="inlineStr">
        <is>
          <t>ANALOGUE OUTPUTS | 1 x Balanced 4.4mm, 1 x Single-Ended 3.5mm</t>
        </is>
      </c>
      <c r="H1027" t="inlineStr">
        <is>
          <t>2026-08-10</t>
        </is>
      </c>
    </row>
    <row r="1028">
      <c r="A1028" t="n">
        <v>161</v>
      </c>
      <c r="B1028" t="inlineStr">
        <is>
          <t>iFi audio</t>
        </is>
      </c>
      <c r="C1028" t="inlineStr">
        <is>
          <t>iDSD GR 2</t>
        </is>
      </c>
      <c r="D1028" t="inlineStr">
        <is>
          <t>6.35mm</t>
        </is>
      </c>
      <c r="E1028" t="inlineStr">
        <is>
          <t>Non</t>
        </is>
      </c>
      <c r="F1028" t="inlineStr">
        <is>
          <t>https://ifi-audio.com/products/idsd-gr-2</t>
        </is>
      </c>
      <c r="G1028" s="26" t="inlineStr">
        <is>
          <t>ANALOGUE OUTPUTS | 1 x Balanced 4.4mm, 1 x Single-Ended 3.5mm</t>
        </is>
      </c>
      <c r="H1028" t="inlineStr">
        <is>
          <t>2026-08-10</t>
        </is>
      </c>
    </row>
    <row r="1029">
      <c r="A1029" t="n">
        <v>161</v>
      </c>
      <c r="B1029" t="inlineStr">
        <is>
          <t>iFi audio</t>
        </is>
      </c>
      <c r="C1029" t="inlineStr">
        <is>
          <t>iDSD GR 2</t>
        </is>
      </c>
      <c r="D1029" t="inlineStr">
        <is>
          <t>XLR</t>
        </is>
      </c>
      <c r="E1029" t="inlineStr">
        <is>
          <t>Non</t>
        </is>
      </c>
      <c r="F1029" t="inlineStr">
        <is>
          <t>https://ifi-audio.com/products/idsd-gr-2</t>
        </is>
      </c>
      <c r="G1029" s="26" t="inlineStr">
        <is>
          <t>ANALOGUE OUTPUTS | 1 x Balanced 4.4mm, 1 x Single-Ended 3.5mm</t>
        </is>
      </c>
      <c r="H1029" t="inlineStr">
        <is>
          <t>2026-08-10</t>
        </is>
      </c>
    </row>
    <row r="1030">
      <c r="A1030" t="n">
        <v>162</v>
      </c>
      <c r="B1030" t="inlineStr">
        <is>
          <t>xDuoo</t>
        </is>
      </c>
      <c r="C1030" t="inlineStr">
        <is>
          <t>XD05 BAL</t>
        </is>
      </c>
      <c r="D1030" t="inlineStr">
        <is>
          <t>Batterie</t>
        </is>
      </c>
      <c r="E1030" t="inlineStr">
        <is>
          <t>Oui</t>
        </is>
      </c>
      <c r="F1030" t="inlineStr">
        <is>
          <t>https://www.audiophonics.fr/fr/amplificateurs-casque-mobiles/xduoo-xd05-bal-amplificateur-casque-portable-symetrique-2x-es9038q2m-xmos-bluetooth-50-32bit-768khz-dsd512-argent-p-15104.html</t>
        </is>
      </c>
      <c r="G1030" s="26" t="inlineStr">
        <is>
          <t>Batterie | 3.8V 5000mAh</t>
        </is>
      </c>
      <c r="H1030" t="inlineStr">
        <is>
          <t>2026-08-10</t>
        </is>
      </c>
    </row>
    <row r="1031">
      <c r="A1031" t="n">
        <v>162</v>
      </c>
      <c r="B1031" t="inlineStr">
        <is>
          <t>xDuoo</t>
        </is>
      </c>
      <c r="C1031" t="inlineStr">
        <is>
          <t>XD05 BAL</t>
        </is>
      </c>
      <c r="D1031" t="inlineStr">
        <is>
          <t>Bluetooth</t>
        </is>
      </c>
      <c r="E1031" t="inlineStr">
        <is>
          <t>Oui</t>
        </is>
      </c>
      <c r="F1031" t="inlineStr">
        <is>
          <t>https://www.audiophonics.fr/fr/amplificateurs-casque-mobiles/xduoo-xd05-bal-amplificateur-casque-portable-symetrique-2x-es9038q2m-xmos-bluetooth-50-32bit-768khz-dsd512-argent-p-15104.html</t>
        </is>
      </c>
      <c r="G1031" s="26" t="inlineStr">
        <is>
          <t>Codecs Bluetooth supportés | AAC, SBC, aptX, aptX LL, aptX HD, LDAC</t>
        </is>
      </c>
      <c r="H1031" t="inlineStr">
        <is>
          <t>2026-08-10</t>
        </is>
      </c>
    </row>
    <row r="1032">
      <c r="A1032" t="n">
        <v>162</v>
      </c>
      <c r="B1032" t="inlineStr">
        <is>
          <t>xDuoo</t>
        </is>
      </c>
      <c r="C1032" t="inlineStr">
        <is>
          <t>XD05 BAL</t>
        </is>
      </c>
      <c r="D1032" t="inlineStr">
        <is>
          <t>3.5mm</t>
        </is>
      </c>
      <c r="E1032" t="inlineStr">
        <is>
          <t>Non</t>
        </is>
      </c>
      <c r="F1032" t="inlineStr">
        <is>
          <t>https://www.audiophonics.fr/fr/amplificateurs-casque-mobiles/xduoo-xd05-bal-amplificateur-casque-portable-symetrique-2x-es9038q2m-xmos-bluetooth-50-32bit-768khz-dsd512-argent-p-15104.html</t>
        </is>
      </c>
      <c r="G1032" s="26" t="inlineStr">
        <is>
          <t>Sorties | 1x Jack 6.35mm asymétrique | 1x Jack 4.4mm symétrique | 1x AUX Jack 3.5mm</t>
        </is>
      </c>
      <c r="H1032" t="inlineStr">
        <is>
          <t>2026-08-10</t>
        </is>
      </c>
    </row>
    <row r="1033">
      <c r="A1033" t="n">
        <v>162</v>
      </c>
      <c r="B1033" t="inlineStr">
        <is>
          <t>xDuoo</t>
        </is>
      </c>
      <c r="C1033" t="inlineStr">
        <is>
          <t>XD05 BAL</t>
        </is>
      </c>
      <c r="D1033" t="inlineStr">
        <is>
          <t>4.4mm</t>
        </is>
      </c>
      <c r="E1033" t="inlineStr">
        <is>
          <t>Oui</t>
        </is>
      </c>
      <c r="F1033" t="inlineStr">
        <is>
          <t>https://www.audiophonics.fr/fr/amplificateurs-casque-mobiles/xduoo-xd05-bal-amplificateur-casque-portable-symetrique-2x-es9038q2m-xmos-bluetooth-50-32bit-768khz-dsd512-argent-p-15104.html</t>
        </is>
      </c>
      <c r="G1033" s="26" t="inlineStr">
        <is>
          <t>Sorties | 1x Jack 6.35mm asymétrique | 1x Jack 4.4mm symétrique | 1x AUX Jack 3.5mm</t>
        </is>
      </c>
      <c r="H1033" t="inlineStr">
        <is>
          <t>2026-08-10</t>
        </is>
      </c>
    </row>
    <row r="1034">
      <c r="A1034" t="n">
        <v>162</v>
      </c>
      <c r="B1034" t="inlineStr">
        <is>
          <t>xDuoo</t>
        </is>
      </c>
      <c r="C1034" t="inlineStr">
        <is>
          <t>XD05 BAL</t>
        </is>
      </c>
      <c r="D1034" t="inlineStr">
        <is>
          <t>2.5mm</t>
        </is>
      </c>
      <c r="E1034" t="inlineStr">
        <is>
          <t>Non</t>
        </is>
      </c>
      <c r="F1034" t="inlineStr">
        <is>
          <t>https://www.audiophonics.fr/fr/amplificateurs-casque-mobiles/xduoo-xd05-bal-amplificateur-casque-portable-symetrique-2x-es9038q2m-xmos-bluetooth-50-32bit-768khz-dsd512-argent-p-15104.html</t>
        </is>
      </c>
      <c r="G1034" s="26" t="inlineStr">
        <is>
          <t>Sorties | 1x Jack 6.35mm asymétrique | 1x Jack 4.4mm symétrique | 1x AUX Jack 3.5mm</t>
        </is>
      </c>
      <c r="H1034" t="inlineStr">
        <is>
          <t>2026-08-10</t>
        </is>
      </c>
    </row>
    <row r="1035">
      <c r="A1035" t="n">
        <v>162</v>
      </c>
      <c r="B1035" t="inlineStr">
        <is>
          <t>xDuoo</t>
        </is>
      </c>
      <c r="C1035" t="inlineStr">
        <is>
          <t>XD05 BAL</t>
        </is>
      </c>
      <c r="D1035" t="inlineStr">
        <is>
          <t>6.35mm</t>
        </is>
      </c>
      <c r="E1035" t="inlineStr">
        <is>
          <t>Oui</t>
        </is>
      </c>
      <c r="F1035" t="inlineStr">
        <is>
          <t>https://www.audiophonics.fr/fr/amplificateurs-casque-mobiles/xduoo-xd05-bal-amplificateur-casque-portable-symetrique-2x-es9038q2m-xmos-bluetooth-50-32bit-768khz-dsd512-argent-p-15104.html</t>
        </is>
      </c>
      <c r="G1035" s="26" t="inlineStr">
        <is>
          <t>Sorties | 1x Jack 6.35mm asymétrique | 1x Jack 4.4mm symétrique | 1x AUX Jack 3.5mm</t>
        </is>
      </c>
      <c r="H1035" t="inlineStr">
        <is>
          <t>2026-08-10</t>
        </is>
      </c>
    </row>
    <row r="1036">
      <c r="A1036" t="n">
        <v>162</v>
      </c>
      <c r="B1036" t="inlineStr">
        <is>
          <t>xDuoo</t>
        </is>
      </c>
      <c r="C1036" t="inlineStr">
        <is>
          <t>XD05 BAL</t>
        </is>
      </c>
      <c r="D1036" t="inlineStr">
        <is>
          <t>XLR</t>
        </is>
      </c>
      <c r="E1036" t="inlineStr">
        <is>
          <t>Non</t>
        </is>
      </c>
      <c r="F1036" t="inlineStr">
        <is>
          <t>https://www.audiophonics.fr/fr/amplificateurs-casque-mobiles/xduoo-xd05-bal-amplificateur-casque-portable-symetrique-2x-es9038q2m-xmos-bluetooth-50-32bit-768khz-dsd512-argent-p-15104.html</t>
        </is>
      </c>
      <c r="G1036" s="26" t="inlineStr">
        <is>
          <t>Sorties | 1x Jack 6.35mm asymétrique | 1x Jack 4.4mm symétrique | 1x AUX Jack 3.5mm</t>
        </is>
      </c>
      <c r="H1036" t="inlineStr">
        <is>
          <t>2026-08-10</t>
        </is>
      </c>
    </row>
    <row r="1037">
      <c r="A1037" t="n">
        <v>163</v>
      </c>
      <c r="B1037" t="inlineStr">
        <is>
          <t>FiiO</t>
        </is>
      </c>
      <c r="C1037" t="inlineStr">
        <is>
          <t>BTR7</t>
        </is>
      </c>
      <c r="D1037" t="inlineStr">
        <is>
          <t>Batterie</t>
        </is>
      </c>
      <c r="E1037" t="inlineStr">
        <is>
          <t>Oui</t>
        </is>
      </c>
      <c r="F1037" t="inlineStr">
        <is>
          <t>https://www.audiophonics.fr/fr/amplificateurs-casque-mobiles/fiio-btr7-amplificateur-casque-dac-portable-2x-thx-aaa-28-2x-es9219c-bluetooth-51-aptx-hd-ldac-32bit-384khz-dsd256-p-16614.html</t>
        </is>
      </c>
      <c r="G1037" s="26" t="inlineStr">
        <is>
          <t>Batterie | 880mAh</t>
        </is>
      </c>
      <c r="H1037" t="inlineStr">
        <is>
          <t>2026-08-10</t>
        </is>
      </c>
    </row>
    <row r="1038">
      <c r="A1038" t="n">
        <v>163</v>
      </c>
      <c r="B1038" t="inlineStr">
        <is>
          <t>FiiO</t>
        </is>
      </c>
      <c r="C1038" t="inlineStr">
        <is>
          <t>BTR7</t>
        </is>
      </c>
      <c r="D1038" t="inlineStr">
        <is>
          <t>Bluetooth</t>
        </is>
      </c>
      <c r="E1038" t="inlineStr">
        <is>
          <t>Oui</t>
        </is>
      </c>
      <c r="F1038" t="inlineStr">
        <is>
          <t>https://www.audiophonics.fr/fr/amplificateurs-casque-mobiles/fiio-btr7-amplificateur-casque-dac-portable-2x-thx-aaa-28-2x-es9219c-bluetooth-51-aptx-hd-ldac-32bit-384khz-dsd256-p-16614.html</t>
        </is>
      </c>
      <c r="G1038" s="26" t="inlineStr">
        <is>
          <t>Codecs Bluetooth supportés | SBC, AAC, aptX, aptX LL, aptX HD, aptX Adaptive, LDAC</t>
        </is>
      </c>
      <c r="H1038" t="inlineStr">
        <is>
          <t>2026-08-10</t>
        </is>
      </c>
    </row>
    <row r="1039">
      <c r="A1039" t="n">
        <v>163</v>
      </c>
      <c r="B1039" t="inlineStr">
        <is>
          <t>FiiO</t>
        </is>
      </c>
      <c r="C1039" t="inlineStr">
        <is>
          <t>BTR7</t>
        </is>
      </c>
      <c r="D1039" t="inlineStr">
        <is>
          <t>3.5mm</t>
        </is>
      </c>
      <c r="E1039" t="inlineStr">
        <is>
          <t>Oui</t>
        </is>
      </c>
      <c r="F1039" t="inlineStr">
        <is>
          <t>https://www.audiophonics.fr/fr/amplificateurs-casque-mobiles/fiio-btr7-amplificateur-casque-dac-portable-2x-thx-aaa-28-2x-es9219c-bluetooth-51-aptx-hd-ldac-32bit-384khz-dsd256-p-16614.html</t>
        </is>
      </c>
      <c r="G1039" s="26" t="inlineStr">
        <is>
          <t>Sorties | 1x Sortie casque Jack 3.5mm asymétrique | 1x Sortie casque Jack 4.4mm symétrique</t>
        </is>
      </c>
      <c r="H1039" t="inlineStr">
        <is>
          <t>2026-08-10</t>
        </is>
      </c>
    </row>
    <row r="1040">
      <c r="A1040" t="n">
        <v>163</v>
      </c>
      <c r="B1040" t="inlineStr">
        <is>
          <t>FiiO</t>
        </is>
      </c>
      <c r="C1040" t="inlineStr">
        <is>
          <t>BTR7</t>
        </is>
      </c>
      <c r="D1040" t="inlineStr">
        <is>
          <t>4.4mm</t>
        </is>
      </c>
      <c r="E1040" t="inlineStr">
        <is>
          <t>Oui</t>
        </is>
      </c>
      <c r="F1040" t="inlineStr">
        <is>
          <t>https://www.audiophonics.fr/fr/amplificateurs-casque-mobiles/fiio-btr7-amplificateur-casque-dac-portable-2x-thx-aaa-28-2x-es9219c-bluetooth-51-aptx-hd-ldac-32bit-384khz-dsd256-p-16614.html</t>
        </is>
      </c>
      <c r="G1040" s="26" t="inlineStr">
        <is>
          <t>Sorties | 1x Sortie casque Jack 3.5mm asymétrique | 1x Sortie casque Jack 4.4mm symétrique</t>
        </is>
      </c>
      <c r="H1040" t="inlineStr">
        <is>
          <t>2026-08-10</t>
        </is>
      </c>
    </row>
    <row r="1041">
      <c r="A1041" t="n">
        <v>163</v>
      </c>
      <c r="B1041" t="inlineStr">
        <is>
          <t>FiiO</t>
        </is>
      </c>
      <c r="C1041" t="inlineStr">
        <is>
          <t>BTR7</t>
        </is>
      </c>
      <c r="D1041" t="inlineStr">
        <is>
          <t>2.5mm</t>
        </is>
      </c>
      <c r="E1041" t="inlineStr">
        <is>
          <t>Non</t>
        </is>
      </c>
      <c r="F1041" t="inlineStr">
        <is>
          <t>https://www.audiophonics.fr/fr/amplificateurs-casque-mobiles/fiio-btr7-amplificateur-casque-dac-portable-2x-thx-aaa-28-2x-es9219c-bluetooth-51-aptx-hd-ldac-32bit-384khz-dsd256-p-16614.html</t>
        </is>
      </c>
      <c r="G1041" s="26" t="inlineStr">
        <is>
          <t>Sorties | 1x Sortie casque Jack 3.5mm asymétrique | 1x Sortie casque Jack 4.4mm symétrique</t>
        </is>
      </c>
      <c r="H1041" t="inlineStr">
        <is>
          <t>2026-08-10</t>
        </is>
      </c>
    </row>
    <row r="1042">
      <c r="A1042" t="n">
        <v>163</v>
      </c>
      <c r="B1042" t="inlineStr">
        <is>
          <t>FiiO</t>
        </is>
      </c>
      <c r="C1042" t="inlineStr">
        <is>
          <t>BTR7</t>
        </is>
      </c>
      <c r="D1042" t="inlineStr">
        <is>
          <t>6.35mm</t>
        </is>
      </c>
      <c r="E1042" t="inlineStr">
        <is>
          <t>Non</t>
        </is>
      </c>
      <c r="F1042" t="inlineStr">
        <is>
          <t>https://www.audiophonics.fr/fr/amplificateurs-casque-mobiles/fiio-btr7-amplificateur-casque-dac-portable-2x-thx-aaa-28-2x-es9219c-bluetooth-51-aptx-hd-ldac-32bit-384khz-dsd256-p-16614.html</t>
        </is>
      </c>
      <c r="G1042" s="26" t="inlineStr">
        <is>
          <t>Sorties | 1x Sortie casque Jack 3.5mm asymétrique | 1x Sortie casque Jack 4.4mm symétrique</t>
        </is>
      </c>
      <c r="H1042" t="inlineStr">
        <is>
          <t>2026-08-10</t>
        </is>
      </c>
    </row>
    <row r="1043">
      <c r="A1043" t="n">
        <v>163</v>
      </c>
      <c r="B1043" t="inlineStr">
        <is>
          <t>FiiO</t>
        </is>
      </c>
      <c r="C1043" t="inlineStr">
        <is>
          <t>BTR7</t>
        </is>
      </c>
      <c r="D1043" t="inlineStr">
        <is>
          <t>XLR</t>
        </is>
      </c>
      <c r="E1043" t="inlineStr">
        <is>
          <t>Non</t>
        </is>
      </c>
      <c r="F1043" t="inlineStr">
        <is>
          <t>https://www.audiophonics.fr/fr/amplificateurs-casque-mobiles/fiio-btr7-amplificateur-casque-dac-portable-2x-thx-aaa-28-2x-es9219c-bluetooth-51-aptx-hd-ldac-32bit-384khz-dsd256-p-16614.html</t>
        </is>
      </c>
      <c r="G1043" s="26" t="inlineStr">
        <is>
          <t>Sorties | 1x Sortie casque Jack 3.5mm asymétrique | 1x Sortie casque Jack 4.4mm symétrique</t>
        </is>
      </c>
      <c r="H1043" t="inlineStr">
        <is>
          <t>2026-08-10</t>
        </is>
      </c>
    </row>
    <row r="1044">
      <c r="A1044" t="n">
        <v>164</v>
      </c>
      <c r="B1044" t="inlineStr">
        <is>
          <t>E1DA</t>
        </is>
      </c>
      <c r="C1044" t="inlineStr">
        <is>
          <t>9039S</t>
        </is>
      </c>
      <c r="D1044" t="inlineStr">
        <is>
          <t>Batterie</t>
        </is>
      </c>
      <c r="E1044" t="inlineStr">
        <is>
          <t>Non</t>
        </is>
      </c>
      <c r="F1044" t="inlineStr">
        <is>
          <t>https://www.audiophonics.fr/fr/dac-portables/e1da-9039s-p-20971.html</t>
        </is>
      </c>
      <c r="G1044" s="26" t="inlineStr">
        <is>
          <t>Compact et sans batterie interne, le 9039S tire son alimentation directement de l'appareil auquel il est connecté (smartphone, tablette, ordinateur)</t>
        </is>
      </c>
      <c r="H1044" t="inlineStr">
        <is>
          <t>2026-08-10</t>
        </is>
      </c>
    </row>
    <row r="1045">
      <c r="A1045" t="n">
        <v>164</v>
      </c>
      <c r="B1045" t="inlineStr">
        <is>
          <t>E1DA</t>
        </is>
      </c>
      <c r="C1045" t="inlineStr">
        <is>
          <t>9039S</t>
        </is>
      </c>
      <c r="D1045" t="inlineStr">
        <is>
          <t>Bluetooth</t>
        </is>
      </c>
      <c r="E1045" t="inlineStr">
        <is>
          <t>Non</t>
        </is>
      </c>
      <c r="F1045" t="inlineStr">
        <is>
          <t>https://www.audiophonics.fr/fr/dac-portables/e1da-9039s-p-20971.html</t>
        </is>
      </c>
      <c r="G1045" s="26" t="inlineStr">
        <is>
          <t>Entrée | 1x USB-C</t>
        </is>
      </c>
      <c r="H1045" t="inlineStr">
        <is>
          <t>2026-08-10</t>
        </is>
      </c>
    </row>
    <row r="1046">
      <c r="A1046" t="n">
        <v>164</v>
      </c>
      <c r="B1046" t="inlineStr">
        <is>
          <t>E1DA</t>
        </is>
      </c>
      <c r="C1046" t="inlineStr">
        <is>
          <t>9039S</t>
        </is>
      </c>
      <c r="D1046" t="inlineStr">
        <is>
          <t>3.5mm</t>
        </is>
      </c>
      <c r="E1046" t="inlineStr">
        <is>
          <t>Non</t>
        </is>
      </c>
      <c r="F1046" t="inlineStr">
        <is>
          <t>https://www.audiophonics.fr/fr/dac-portables/e1da-9039s-p-20971.html</t>
        </is>
      </c>
      <c r="G1046" s="26" t="inlineStr">
        <is>
          <t>Sortie | 1x Jack 2.5mm symétrique (pinout Astell &amp; Kern)</t>
        </is>
      </c>
      <c r="H1046" t="inlineStr">
        <is>
          <t>2026-08-10</t>
        </is>
      </c>
    </row>
    <row r="1047">
      <c r="A1047" t="n">
        <v>164</v>
      </c>
      <c r="B1047" t="inlineStr">
        <is>
          <t>E1DA</t>
        </is>
      </c>
      <c r="C1047" t="inlineStr">
        <is>
          <t>9039S</t>
        </is>
      </c>
      <c r="D1047" t="inlineStr">
        <is>
          <t>4.4mm</t>
        </is>
      </c>
      <c r="E1047" t="inlineStr">
        <is>
          <t>Non</t>
        </is>
      </c>
      <c r="F1047" t="inlineStr">
        <is>
          <t>https://www.audiophonics.fr/fr/dac-portables/e1da-9039s-p-20971.html</t>
        </is>
      </c>
      <c r="G1047" s="26" t="inlineStr">
        <is>
          <t>Sortie | 1x Jack 2.5mm symétrique (pinout Astell &amp; Kern)</t>
        </is>
      </c>
      <c r="H1047" t="inlineStr">
        <is>
          <t>2026-08-10</t>
        </is>
      </c>
    </row>
    <row r="1048">
      <c r="A1048" t="n">
        <v>164</v>
      </c>
      <c r="B1048" t="inlineStr">
        <is>
          <t>E1DA</t>
        </is>
      </c>
      <c r="C1048" t="inlineStr">
        <is>
          <t>9039S</t>
        </is>
      </c>
      <c r="D1048" t="inlineStr">
        <is>
          <t>2.5mm</t>
        </is>
      </c>
      <c r="E1048" t="inlineStr">
        <is>
          <t>Oui</t>
        </is>
      </c>
      <c r="F1048" t="inlineStr">
        <is>
          <t>https://www.audiophonics.fr/fr/dac-portables/e1da-9039s-p-20971.html</t>
        </is>
      </c>
      <c r="G1048" s="26" t="inlineStr">
        <is>
          <t>Sortie | 1x Jack 2.5mm symétrique (pinout Astell &amp; Kern)</t>
        </is>
      </c>
      <c r="H1048" t="inlineStr">
        <is>
          <t>2026-08-10</t>
        </is>
      </c>
    </row>
    <row r="1049">
      <c r="A1049" t="n">
        <v>164</v>
      </c>
      <c r="B1049" t="inlineStr">
        <is>
          <t>E1DA</t>
        </is>
      </c>
      <c r="C1049" t="inlineStr">
        <is>
          <t>9039S</t>
        </is>
      </c>
      <c r="D1049" t="inlineStr">
        <is>
          <t>6.35mm</t>
        </is>
      </c>
      <c r="E1049" t="inlineStr">
        <is>
          <t>Non</t>
        </is>
      </c>
      <c r="F1049" t="inlineStr">
        <is>
          <t>https://www.audiophonics.fr/fr/dac-portables/e1da-9039s-p-20971.html</t>
        </is>
      </c>
      <c r="G1049" s="26" t="inlineStr">
        <is>
          <t>Sortie | 1x Jack 2.5mm symétrique (pinout Astell &amp; Kern)</t>
        </is>
      </c>
      <c r="H1049" t="inlineStr">
        <is>
          <t>2026-08-10</t>
        </is>
      </c>
    </row>
    <row r="1050">
      <c r="A1050" t="n">
        <v>164</v>
      </c>
      <c r="B1050" t="inlineStr">
        <is>
          <t>E1DA</t>
        </is>
      </c>
      <c r="C1050" t="inlineStr">
        <is>
          <t>9039S</t>
        </is>
      </c>
      <c r="D1050" t="inlineStr">
        <is>
          <t>XLR</t>
        </is>
      </c>
      <c r="E1050" t="inlineStr">
        <is>
          <t>Non</t>
        </is>
      </c>
      <c r="F1050" t="inlineStr">
        <is>
          <t>https://www.audiophonics.fr/fr/dac-portables/e1da-9039s-p-20971.html</t>
        </is>
      </c>
      <c r="G1050" s="26" t="inlineStr">
        <is>
          <t>Sortie | 1x Jack 2.5mm symétrique (pinout Astell &amp; Kern)</t>
        </is>
      </c>
      <c r="H1050" t="inlineStr">
        <is>
          <t>2026-08-10</t>
        </is>
      </c>
    </row>
    <row r="1051">
      <c r="A1051" t="n">
        <v>165</v>
      </c>
      <c r="B1051" t="inlineStr">
        <is>
          <t>Aune</t>
        </is>
      </c>
      <c r="C1051" t="inlineStr">
        <is>
          <t>Yuki</t>
        </is>
      </c>
      <c r="D1051" t="inlineStr">
        <is>
          <t>Bluetooth</t>
        </is>
      </c>
      <c r="E1051" t="inlineStr">
        <is>
          <t>Non</t>
        </is>
      </c>
      <c r="F1051" t="inlineStr">
        <is>
          <t>https://www.audiophonics.fr/fr/dac-portables/aune-yuki-p-18617.html</t>
        </is>
      </c>
      <c r="G1051" s="26" t="inlineStr">
        <is>
          <t>Entrées | USB-C</t>
        </is>
      </c>
      <c r="H1051" t="inlineStr">
        <is>
          <t>2026-08-10</t>
        </is>
      </c>
    </row>
    <row r="1052">
      <c r="A1052" t="n">
        <v>165</v>
      </c>
      <c r="B1052" t="inlineStr">
        <is>
          <t>Aune</t>
        </is>
      </c>
      <c r="C1052" t="inlineStr">
        <is>
          <t>Yuki</t>
        </is>
      </c>
      <c r="D1052" t="inlineStr">
        <is>
          <t>3.5mm</t>
        </is>
      </c>
      <c r="E1052" t="inlineStr">
        <is>
          <t>Oui</t>
        </is>
      </c>
      <c r="F1052" t="inlineStr">
        <is>
          <t>https://www.audiophonics.fr/fr/dac-portables/aune-yuki-p-18617.html</t>
        </is>
      </c>
      <c r="G1052" s="26" t="inlineStr">
        <is>
          <t>Sortie | 1x Jack 3.5mm | 1x Jack symétrique 4.4mm</t>
        </is>
      </c>
      <c r="H1052" t="inlineStr">
        <is>
          <t>2026-08-10</t>
        </is>
      </c>
    </row>
    <row r="1053">
      <c r="A1053" t="n">
        <v>165</v>
      </c>
      <c r="B1053" t="inlineStr">
        <is>
          <t>Aune</t>
        </is>
      </c>
      <c r="C1053" t="inlineStr">
        <is>
          <t>Yuki</t>
        </is>
      </c>
      <c r="D1053" t="inlineStr">
        <is>
          <t>4.4mm</t>
        </is>
      </c>
      <c r="E1053" t="inlineStr">
        <is>
          <t>Oui</t>
        </is>
      </c>
      <c r="F1053" t="inlineStr">
        <is>
          <t>https://www.audiophonics.fr/fr/dac-portables/aune-yuki-p-18617.html</t>
        </is>
      </c>
      <c r="G1053" s="26" t="inlineStr">
        <is>
          <t>Sortie | 1x Jack 3.5mm | 1x Jack symétrique 4.4mm</t>
        </is>
      </c>
      <c r="H1053" t="inlineStr">
        <is>
          <t>2026-08-10</t>
        </is>
      </c>
    </row>
    <row r="1054">
      <c r="A1054" t="n">
        <v>165</v>
      </c>
      <c r="B1054" t="inlineStr">
        <is>
          <t>Aune</t>
        </is>
      </c>
      <c r="C1054" t="inlineStr">
        <is>
          <t>Yuki</t>
        </is>
      </c>
      <c r="D1054" t="inlineStr">
        <is>
          <t>2.5mm</t>
        </is>
      </c>
      <c r="E1054" t="inlineStr">
        <is>
          <t>Non</t>
        </is>
      </c>
      <c r="F1054" t="inlineStr">
        <is>
          <t>https://www.audiophonics.fr/fr/dac-portables/aune-yuki-p-18617.html</t>
        </is>
      </c>
      <c r="G1054" s="26" t="inlineStr">
        <is>
          <t>Sortie | 1x Jack 3.5mm | 1x Jack symétrique 4.4mm</t>
        </is>
      </c>
      <c r="H1054" t="inlineStr">
        <is>
          <t>2026-08-10</t>
        </is>
      </c>
    </row>
    <row r="1055">
      <c r="A1055" t="n">
        <v>165</v>
      </c>
      <c r="B1055" t="inlineStr">
        <is>
          <t>Aune</t>
        </is>
      </c>
      <c r="C1055" t="inlineStr">
        <is>
          <t>Yuki</t>
        </is>
      </c>
      <c r="D1055" t="inlineStr">
        <is>
          <t>6.35mm</t>
        </is>
      </c>
      <c r="E1055" t="inlineStr">
        <is>
          <t>Non</t>
        </is>
      </c>
      <c r="F1055" t="inlineStr">
        <is>
          <t>https://www.audiophonics.fr/fr/dac-portables/aune-yuki-p-18617.html</t>
        </is>
      </c>
      <c r="G1055" s="26" t="inlineStr">
        <is>
          <t>Sortie | 1x Jack 3.5mm | 1x Jack symétrique 4.4mm</t>
        </is>
      </c>
      <c r="H1055" t="inlineStr">
        <is>
          <t>2026-08-10</t>
        </is>
      </c>
    </row>
    <row r="1056">
      <c r="A1056" t="n">
        <v>165</v>
      </c>
      <c r="B1056" t="inlineStr">
        <is>
          <t>Aune</t>
        </is>
      </c>
      <c r="C1056" t="inlineStr">
        <is>
          <t>Yuki</t>
        </is>
      </c>
      <c r="D1056" t="inlineStr">
        <is>
          <t>XLR</t>
        </is>
      </c>
      <c r="E1056" t="inlineStr">
        <is>
          <t>Non</t>
        </is>
      </c>
      <c r="F1056" t="inlineStr">
        <is>
          <t>https://www.audiophonics.fr/fr/dac-portables/aune-yuki-p-18617.html</t>
        </is>
      </c>
      <c r="G1056" s="26" t="inlineStr">
        <is>
          <t>Sortie | 1x Jack 3.5mm | 1x Jack symétrique 4.4mm</t>
        </is>
      </c>
      <c r="H1056" t="inlineStr">
        <is>
          <t>2026-08-10</t>
        </is>
      </c>
    </row>
    <row r="1057">
      <c r="A1057" t="n">
        <v>166</v>
      </c>
      <c r="B1057" t="inlineStr">
        <is>
          <t>E1DA</t>
        </is>
      </c>
      <c r="C1057" t="inlineStr">
        <is>
          <t>9038D6K</t>
        </is>
      </c>
      <c r="D1057" t="inlineStr">
        <is>
          <t>Batterie</t>
        </is>
      </c>
      <c r="E1057" t="inlineStr">
        <is>
          <t>Non</t>
        </is>
      </c>
      <c r="F1057" t="inlineStr">
        <is>
          <t>https://www.audiophonics.fr/fr/amplificateurs-casque-mobiles/e1da-9038d6k-amplificateur-casque-dac-usb-es9038q2m-ad8397-32bit-384khz-dsd256-p-17305.html</t>
        </is>
      </c>
      <c r="G1057" s="26" t="inlineStr">
        <is>
          <t>Le 9038D6K fonctionne sans batterie et est directement alimenté par votre périphérique de lecture (smartphone, DAP...)</t>
        </is>
      </c>
      <c r="H1057" t="inlineStr">
        <is>
          <t>2026-08-10</t>
        </is>
      </c>
    </row>
    <row r="1058">
      <c r="A1058" t="n">
        <v>166</v>
      </c>
      <c r="B1058" t="inlineStr">
        <is>
          <t>E1DA</t>
        </is>
      </c>
      <c r="C1058" t="inlineStr">
        <is>
          <t>9038D6K</t>
        </is>
      </c>
      <c r="D1058" t="inlineStr">
        <is>
          <t>Bluetooth</t>
        </is>
      </c>
      <c r="E1058" t="inlineStr">
        <is>
          <t>Non</t>
        </is>
      </c>
      <c r="F1058" t="inlineStr">
        <is>
          <t>https://www.audiophonics.fr/fr/amplificateurs-casque-mobiles/e1da-9038d6k-amplificateur-casque-dac-usb-es9038q2m-ad8397-32bit-384khz-dsd256-p-17305.html</t>
        </is>
      </c>
      <c r="G1058" s="26" t="inlineStr">
        <is>
          <t>Entrée | USB-C</t>
        </is>
      </c>
      <c r="H1058" t="inlineStr">
        <is>
          <t>2026-08-10</t>
        </is>
      </c>
    </row>
    <row r="1059">
      <c r="A1059" t="n">
        <v>166</v>
      </c>
      <c r="B1059" t="inlineStr">
        <is>
          <t>E1DA</t>
        </is>
      </c>
      <c r="C1059" t="inlineStr">
        <is>
          <t>9038D6K</t>
        </is>
      </c>
      <c r="D1059" t="inlineStr">
        <is>
          <t>3.5mm</t>
        </is>
      </c>
      <c r="E1059" t="inlineStr">
        <is>
          <t>Oui</t>
        </is>
      </c>
      <c r="F1059" t="inlineStr">
        <is>
          <t>https://www.audiophonics.fr/fr/amplificateurs-casque-mobiles/e1da-9038d6k-amplificateur-casque-dac-usb-es9038q2m-ad8397-32bit-384khz-dsd256-p-17305.html</t>
        </is>
      </c>
      <c r="G1059" s="26" t="inlineStr">
        <is>
          <t>Sortie | Jack 3.5mm</t>
        </is>
      </c>
      <c r="H1059" t="inlineStr">
        <is>
          <t>2026-08-10</t>
        </is>
      </c>
    </row>
    <row r="1060">
      <c r="A1060" t="n">
        <v>166</v>
      </c>
      <c r="B1060" t="inlineStr">
        <is>
          <t>E1DA</t>
        </is>
      </c>
      <c r="C1060" t="inlineStr">
        <is>
          <t>9038D6K</t>
        </is>
      </c>
      <c r="D1060" t="inlineStr">
        <is>
          <t>4.4mm</t>
        </is>
      </c>
      <c r="E1060" t="inlineStr">
        <is>
          <t>Non</t>
        </is>
      </c>
      <c r="F1060" t="inlineStr">
        <is>
          <t>https://www.audiophonics.fr/fr/amplificateurs-casque-mobiles/e1da-9038d6k-amplificateur-casque-dac-usb-es9038q2m-ad8397-32bit-384khz-dsd256-p-17305.html</t>
        </is>
      </c>
      <c r="G1060" s="26" t="inlineStr">
        <is>
          <t>Sortie | Jack 3.5mm</t>
        </is>
      </c>
      <c r="H1060" t="inlineStr">
        <is>
          <t>2026-08-10</t>
        </is>
      </c>
    </row>
    <row r="1061">
      <c r="A1061" t="n">
        <v>166</v>
      </c>
      <c r="B1061" t="inlineStr">
        <is>
          <t>E1DA</t>
        </is>
      </c>
      <c r="C1061" t="inlineStr">
        <is>
          <t>9038D6K</t>
        </is>
      </c>
      <c r="D1061" t="inlineStr">
        <is>
          <t>2.5mm</t>
        </is>
      </c>
      <c r="E1061" t="inlineStr">
        <is>
          <t>Non</t>
        </is>
      </c>
      <c r="F1061" t="inlineStr">
        <is>
          <t>https://www.audiophonics.fr/fr/amplificateurs-casque-mobiles/e1da-9038d6k-amplificateur-casque-dac-usb-es9038q2m-ad8397-32bit-384khz-dsd256-p-17305.html</t>
        </is>
      </c>
      <c r="G1061" s="26" t="inlineStr">
        <is>
          <t>Sortie | Jack 3.5mm</t>
        </is>
      </c>
      <c r="H1061" t="inlineStr">
        <is>
          <t>2026-08-10</t>
        </is>
      </c>
    </row>
    <row r="1062">
      <c r="A1062" t="n">
        <v>166</v>
      </c>
      <c r="B1062" t="inlineStr">
        <is>
          <t>E1DA</t>
        </is>
      </c>
      <c r="C1062" t="inlineStr">
        <is>
          <t>9038D6K</t>
        </is>
      </c>
      <c r="D1062" t="inlineStr">
        <is>
          <t>6.35mm</t>
        </is>
      </c>
      <c r="E1062" t="inlineStr">
        <is>
          <t>Non</t>
        </is>
      </c>
      <c r="F1062" t="inlineStr">
        <is>
          <t>https://www.audiophonics.fr/fr/amplificateurs-casque-mobiles/e1da-9038d6k-amplificateur-casque-dac-usb-es9038q2m-ad8397-32bit-384khz-dsd256-p-17305.html</t>
        </is>
      </c>
      <c r="G1062" s="26" t="inlineStr">
        <is>
          <t>Sortie | Jack 3.5mm</t>
        </is>
      </c>
      <c r="H1062" t="inlineStr">
        <is>
          <t>2026-08-10</t>
        </is>
      </c>
    </row>
    <row r="1063">
      <c r="A1063" t="n">
        <v>166</v>
      </c>
      <c r="B1063" t="inlineStr">
        <is>
          <t>E1DA</t>
        </is>
      </c>
      <c r="C1063" t="inlineStr">
        <is>
          <t>9038D6K</t>
        </is>
      </c>
      <c r="D1063" t="inlineStr">
        <is>
          <t>XLR</t>
        </is>
      </c>
      <c r="E1063" t="inlineStr">
        <is>
          <t>Non</t>
        </is>
      </c>
      <c r="F1063" t="inlineStr">
        <is>
          <t>https://www.audiophonics.fr/fr/amplificateurs-casque-mobiles/e1da-9038d6k-amplificateur-casque-dac-usb-es9038q2m-ad8397-32bit-384khz-dsd256-p-17305.html</t>
        </is>
      </c>
      <c r="G1063" s="26" t="inlineStr">
        <is>
          <t>Sortie | Jack 3.5mm</t>
        </is>
      </c>
      <c r="H1063" t="inlineStr">
        <is>
          <t>2026-08-10</t>
        </is>
      </c>
    </row>
    <row r="1064">
      <c r="A1064" t="n">
        <v>167</v>
      </c>
      <c r="B1064" t="inlineStr">
        <is>
          <t>iFi audio</t>
        </is>
      </c>
      <c r="C1064" t="inlineStr">
        <is>
          <t>GO Blu Air</t>
        </is>
      </c>
      <c r="D1064" t="inlineStr">
        <is>
          <t>Batterie</t>
        </is>
      </c>
      <c r="E1064" t="inlineStr">
        <is>
          <t>Oui</t>
        </is>
      </c>
      <c r="F1064" t="inlineStr">
        <is>
          <t>https://ifi-audio.com/products/go-blu-air</t>
        </is>
      </c>
      <c r="G1064" s="26" t="inlineStr">
        <is>
          <t>BATTERY | Lithium-polymer 450mAh approx. ~10 hours (depending upon volume and headphones)</t>
        </is>
      </c>
      <c r="H1064" t="inlineStr">
        <is>
          <t>2026-08-10</t>
        </is>
      </c>
    </row>
    <row r="1065">
      <c r="A1065" t="n">
        <v>167</v>
      </c>
      <c r="B1065" t="inlineStr">
        <is>
          <t>iFi audio</t>
        </is>
      </c>
      <c r="C1065" t="inlineStr">
        <is>
          <t>GO Blu Air</t>
        </is>
      </c>
      <c r="D1065" t="inlineStr">
        <is>
          <t>Bluetooth</t>
        </is>
      </c>
      <c r="E1065" t="inlineStr">
        <is>
          <t>Oui</t>
        </is>
      </c>
      <c r="F1065" t="inlineStr">
        <is>
          <t>https://ifi-audio.com/products/go-blu-air</t>
        </is>
      </c>
      <c r="G1065" s="26" t="inlineStr">
        <is>
          <t>INPUT | Bluetooth 5.2</t>
        </is>
      </c>
      <c r="H1065" t="inlineStr">
        <is>
          <t>2026-08-10</t>
        </is>
      </c>
    </row>
    <row r="1066">
      <c r="A1066" t="n">
        <v>167</v>
      </c>
      <c r="B1066" t="inlineStr">
        <is>
          <t>iFi audio</t>
        </is>
      </c>
      <c r="C1066" t="inlineStr">
        <is>
          <t>GO Blu Air</t>
        </is>
      </c>
      <c r="D1066" t="inlineStr">
        <is>
          <t>3.5mm</t>
        </is>
      </c>
      <c r="E1066" t="inlineStr">
        <is>
          <t>Oui</t>
        </is>
      </c>
      <c r="F1066" t="inlineStr">
        <is>
          <t>https://ifi-audio.com/products/go-blu-air</t>
        </is>
      </c>
      <c r="G1066" s="26" t="inlineStr">
        <is>
          <t>HEADPHONE OUTPUT | Balanced: 4.4mm | S-Bal: 3.5mm</t>
        </is>
      </c>
      <c r="H1066" t="inlineStr">
        <is>
          <t>2026-08-10</t>
        </is>
      </c>
    </row>
    <row r="1067">
      <c r="A1067" t="n">
        <v>167</v>
      </c>
      <c r="B1067" t="inlineStr">
        <is>
          <t>iFi audio</t>
        </is>
      </c>
      <c r="C1067" t="inlineStr">
        <is>
          <t>GO Blu Air</t>
        </is>
      </c>
      <c r="D1067" t="inlineStr">
        <is>
          <t>4.4mm</t>
        </is>
      </c>
      <c r="E1067" t="inlineStr">
        <is>
          <t>Oui</t>
        </is>
      </c>
      <c r="F1067" t="inlineStr">
        <is>
          <t>https://ifi-audio.com/products/go-blu-air</t>
        </is>
      </c>
      <c r="G1067" s="26" t="inlineStr">
        <is>
          <t>HEADPHONE OUTPUT | Balanced: 4.4mm | S-Bal: 3.5mm</t>
        </is>
      </c>
      <c r="H1067" t="inlineStr">
        <is>
          <t>2026-08-10</t>
        </is>
      </c>
    </row>
    <row r="1068">
      <c r="A1068" t="n">
        <v>167</v>
      </c>
      <c r="B1068" t="inlineStr">
        <is>
          <t>iFi audio</t>
        </is>
      </c>
      <c r="C1068" t="inlineStr">
        <is>
          <t>GO Blu Air</t>
        </is>
      </c>
      <c r="D1068" t="inlineStr">
        <is>
          <t>2.5mm</t>
        </is>
      </c>
      <c r="E1068" t="inlineStr">
        <is>
          <t>Non</t>
        </is>
      </c>
      <c r="F1068" t="inlineStr">
        <is>
          <t>https://ifi-audio.com/products/go-blu-air</t>
        </is>
      </c>
      <c r="G1068" s="26" t="inlineStr">
        <is>
          <t>HEADPHONE OUTPUT | Balanced: 4.4mm | S-Bal: 3.5mm</t>
        </is>
      </c>
      <c r="H1068" t="inlineStr">
        <is>
          <t>2026-08-10</t>
        </is>
      </c>
    </row>
    <row r="1069">
      <c r="A1069" t="n">
        <v>167</v>
      </c>
      <c r="B1069" t="inlineStr">
        <is>
          <t>iFi audio</t>
        </is>
      </c>
      <c r="C1069" t="inlineStr">
        <is>
          <t>GO Blu Air</t>
        </is>
      </c>
      <c r="D1069" t="inlineStr">
        <is>
          <t>6.35mm</t>
        </is>
      </c>
      <c r="E1069" t="inlineStr">
        <is>
          <t>Non</t>
        </is>
      </c>
      <c r="F1069" t="inlineStr">
        <is>
          <t>https://ifi-audio.com/products/go-blu-air</t>
        </is>
      </c>
      <c r="G1069" s="26" t="inlineStr">
        <is>
          <t>HEADPHONE OUTPUT | Balanced: 4.4mm | S-Bal: 3.5mm</t>
        </is>
      </c>
      <c r="H1069" t="inlineStr">
        <is>
          <t>2026-08-10</t>
        </is>
      </c>
    </row>
    <row r="1070">
      <c r="A1070" t="n">
        <v>167</v>
      </c>
      <c r="B1070" t="inlineStr">
        <is>
          <t>iFi audio</t>
        </is>
      </c>
      <c r="C1070" t="inlineStr">
        <is>
          <t>GO Blu Air</t>
        </is>
      </c>
      <c r="D1070" t="inlineStr">
        <is>
          <t>XLR</t>
        </is>
      </c>
      <c r="E1070" t="inlineStr">
        <is>
          <t>Non</t>
        </is>
      </c>
      <c r="F1070" t="inlineStr">
        <is>
          <t>https://ifi-audio.com/products/go-blu-air</t>
        </is>
      </c>
      <c r="G1070" s="26" t="inlineStr">
        <is>
          <t>HEADPHONE OUTPUT | Balanced: 4.4mm | S-Bal: 3.5mm</t>
        </is>
      </c>
      <c r="H1070" t="inlineStr">
        <is>
          <t>2026-08-10</t>
        </is>
      </c>
    </row>
    <row r="1071">
      <c r="A1071" t="n">
        <v>168</v>
      </c>
      <c r="B1071" t="inlineStr">
        <is>
          <t>E1DA</t>
        </is>
      </c>
      <c r="C1071" t="inlineStr">
        <is>
          <t>9038S Gen 3</t>
        </is>
      </c>
      <c r="D1071" t="inlineStr">
        <is>
          <t>Batterie</t>
        </is>
      </c>
      <c r="E1071" t="inlineStr">
        <is>
          <t>Non</t>
        </is>
      </c>
      <c r="F1071" t="inlineStr">
        <is>
          <t>https://www.audiophonics.fr/fr/amplificateurs-casque-mobiles/e1da-9038s-gen-3-amplificateur-casque-symetrique-dac-usb-es9038q2m-ad8397-32bit-384khz-dsd256-p-14638.html</t>
        </is>
      </c>
      <c r="G1071" s="26" t="inlineStr">
        <is>
          <t>Le 9038SG3 fonctionne sans batterie et est directement alimenté par votre périphérique de lecture (smartphone, DAP...)</t>
        </is>
      </c>
      <c r="H1071" t="inlineStr">
        <is>
          <t>2026-08-10</t>
        </is>
      </c>
    </row>
    <row r="1072">
      <c r="A1072" t="n">
        <v>168</v>
      </c>
      <c r="B1072" t="inlineStr">
        <is>
          <t>E1DA</t>
        </is>
      </c>
      <c r="C1072" t="inlineStr">
        <is>
          <t>9038S Gen 3</t>
        </is>
      </c>
      <c r="D1072" t="inlineStr">
        <is>
          <t>Bluetooth</t>
        </is>
      </c>
      <c r="E1072" t="inlineStr">
        <is>
          <t>Non</t>
        </is>
      </c>
      <c r="F1072" t="inlineStr">
        <is>
          <t>https://www.audiophonics.fr/fr/amplificateurs-casque-mobiles/e1da-9038s-gen-3-amplificateur-casque-symetrique-dac-usb-es9038q2m-ad8397-32bit-384khz-dsd256-p-14638.html</t>
        </is>
      </c>
      <c r="G1072" s="26" t="inlineStr">
        <is>
          <t>Entrée | USB-C</t>
        </is>
      </c>
      <c r="H1072" t="inlineStr">
        <is>
          <t>2026-08-10</t>
        </is>
      </c>
    </row>
    <row r="1073">
      <c r="A1073" t="n">
        <v>168</v>
      </c>
      <c r="B1073" t="inlineStr">
        <is>
          <t>E1DA</t>
        </is>
      </c>
      <c r="C1073" t="inlineStr">
        <is>
          <t>9038S Gen 3</t>
        </is>
      </c>
      <c r="D1073" t="inlineStr">
        <is>
          <t>3.5mm</t>
        </is>
      </c>
      <c r="E1073" t="inlineStr">
        <is>
          <t>Non</t>
        </is>
      </c>
      <c r="F1073" t="inlineStr">
        <is>
          <t>https://www.audiophonics.fr/fr/amplificateurs-casque-mobiles/e1da-9038s-gen-3-amplificateur-casque-symetrique-dac-usb-es9038q2m-ad8397-32bit-384khz-dsd256-p-14638.html</t>
        </is>
      </c>
      <c r="G1073" s="26" t="inlineStr">
        <is>
          <t>Sortie | Jack 2.5mm symétrique (pinout Astell &amp; Kern)</t>
        </is>
      </c>
      <c r="H1073" t="inlineStr">
        <is>
          <t>2026-08-10</t>
        </is>
      </c>
    </row>
    <row r="1074">
      <c r="A1074" t="n">
        <v>168</v>
      </c>
      <c r="B1074" t="inlineStr">
        <is>
          <t>E1DA</t>
        </is>
      </c>
      <c r="C1074" t="inlineStr">
        <is>
          <t>9038S Gen 3</t>
        </is>
      </c>
      <c r="D1074" t="inlineStr">
        <is>
          <t>4.4mm</t>
        </is>
      </c>
      <c r="E1074" t="inlineStr">
        <is>
          <t>Non</t>
        </is>
      </c>
      <c r="F1074" t="inlineStr">
        <is>
          <t>https://www.audiophonics.fr/fr/amplificateurs-casque-mobiles/e1da-9038s-gen-3-amplificateur-casque-symetrique-dac-usb-es9038q2m-ad8397-32bit-384khz-dsd256-p-14638.html</t>
        </is>
      </c>
      <c r="G1074" s="26" t="inlineStr">
        <is>
          <t>Sortie | Jack 2.5mm symétrique (pinout Astell &amp; Kern)</t>
        </is>
      </c>
      <c r="H1074" t="inlineStr">
        <is>
          <t>2026-08-10</t>
        </is>
      </c>
    </row>
    <row r="1075">
      <c r="A1075" t="n">
        <v>168</v>
      </c>
      <c r="B1075" t="inlineStr">
        <is>
          <t>E1DA</t>
        </is>
      </c>
      <c r="C1075" t="inlineStr">
        <is>
          <t>9038S Gen 3</t>
        </is>
      </c>
      <c r="D1075" t="inlineStr">
        <is>
          <t>2.5mm</t>
        </is>
      </c>
      <c r="E1075" t="inlineStr">
        <is>
          <t>Oui</t>
        </is>
      </c>
      <c r="F1075" t="inlineStr">
        <is>
          <t>https://www.audiophonics.fr/fr/amplificateurs-casque-mobiles/e1da-9038s-gen-3-amplificateur-casque-symetrique-dac-usb-es9038q2m-ad8397-32bit-384khz-dsd256-p-14638.html</t>
        </is>
      </c>
      <c r="G1075" s="26" t="inlineStr">
        <is>
          <t>Sortie | Jack 2.5mm symétrique (pinout Astell &amp; Kern)</t>
        </is>
      </c>
      <c r="H1075" t="inlineStr">
        <is>
          <t>2026-08-10</t>
        </is>
      </c>
    </row>
    <row r="1076">
      <c r="A1076" t="n">
        <v>168</v>
      </c>
      <c r="B1076" t="inlineStr">
        <is>
          <t>E1DA</t>
        </is>
      </c>
      <c r="C1076" t="inlineStr">
        <is>
          <t>9038S Gen 3</t>
        </is>
      </c>
      <c r="D1076" t="inlineStr">
        <is>
          <t>6.35mm</t>
        </is>
      </c>
      <c r="E1076" t="inlineStr">
        <is>
          <t>Non</t>
        </is>
      </c>
      <c r="F1076" t="inlineStr">
        <is>
          <t>https://www.audiophonics.fr/fr/amplificateurs-casque-mobiles/e1da-9038s-gen-3-amplificateur-casque-symetrique-dac-usb-es9038q2m-ad8397-32bit-384khz-dsd256-p-14638.html</t>
        </is>
      </c>
      <c r="G1076" s="26" t="inlineStr">
        <is>
          <t>Sortie | Jack 2.5mm symétrique (pinout Astell &amp; Kern)</t>
        </is>
      </c>
      <c r="H1076" t="inlineStr">
        <is>
          <t>2026-08-10</t>
        </is>
      </c>
    </row>
    <row r="1077">
      <c r="A1077" t="n">
        <v>168</v>
      </c>
      <c r="B1077" t="inlineStr">
        <is>
          <t>E1DA</t>
        </is>
      </c>
      <c r="C1077" t="inlineStr">
        <is>
          <t>9038S Gen 3</t>
        </is>
      </c>
      <c r="D1077" t="inlineStr">
        <is>
          <t>XLR</t>
        </is>
      </c>
      <c r="E1077" t="inlineStr">
        <is>
          <t>Non</t>
        </is>
      </c>
      <c r="F1077" t="inlineStr">
        <is>
          <t>https://www.audiophonics.fr/fr/amplificateurs-casque-mobiles/e1da-9038s-gen-3-amplificateur-casque-symetrique-dac-usb-es9038q2m-ad8397-32bit-384khz-dsd256-p-14638.html</t>
        </is>
      </c>
      <c r="G1077" s="26" t="inlineStr">
        <is>
          <t>Sortie | Jack 2.5mm symétrique (pinout Astell &amp; Kern)</t>
        </is>
      </c>
      <c r="H1077" t="inlineStr">
        <is>
          <t>2026-08-10</t>
        </is>
      </c>
    </row>
    <row r="1078">
      <c r="A1078" t="n">
        <v>169</v>
      </c>
      <c r="B1078" t="inlineStr">
        <is>
          <t>iBasso</t>
        </is>
      </c>
      <c r="C1078" t="inlineStr">
        <is>
          <t>DC04U Ultra</t>
        </is>
      </c>
      <c r="D1078" t="inlineStr">
        <is>
          <t>Bluetooth</t>
        </is>
      </c>
      <c r="E1078" t="inlineStr">
        <is>
          <t>Non</t>
        </is>
      </c>
      <c r="F1078" t="inlineStr">
        <is>
          <t>https://www.audiophonics.fr/fr/dac-portables/ibasso-dc04u-p-21828.html</t>
        </is>
      </c>
      <c r="G1078" s="26" t="inlineStr">
        <is>
          <t>Entrée | 1x USB-C</t>
        </is>
      </c>
      <c r="H1078" t="inlineStr">
        <is>
          <t>2026-08-10</t>
        </is>
      </c>
    </row>
    <row r="1079">
      <c r="A1079" t="n">
        <v>169</v>
      </c>
      <c r="B1079" t="inlineStr">
        <is>
          <t>iBasso</t>
        </is>
      </c>
      <c r="C1079" t="inlineStr">
        <is>
          <t>DC04U Ultra</t>
        </is>
      </c>
      <c r="D1079" t="inlineStr">
        <is>
          <t>3.5mm</t>
        </is>
      </c>
      <c r="E1079" t="inlineStr">
        <is>
          <t>Oui</t>
        </is>
      </c>
      <c r="F1079" t="inlineStr">
        <is>
          <t>https://www.audiophonics.fr/fr/dac-portables/ibasso-dc04u-p-21828.html</t>
        </is>
      </c>
      <c r="G1079" s="26" t="inlineStr">
        <is>
          <t>Sorties | 1x Jack 3.5mm asymétrique | 1x Jack 4.4mm symétrique</t>
        </is>
      </c>
      <c r="H1079" t="inlineStr">
        <is>
          <t>2026-08-10</t>
        </is>
      </c>
    </row>
    <row r="1080">
      <c r="A1080" t="n">
        <v>169</v>
      </c>
      <c r="B1080" t="inlineStr">
        <is>
          <t>iBasso</t>
        </is>
      </c>
      <c r="C1080" t="inlineStr">
        <is>
          <t>DC04U Ultra</t>
        </is>
      </c>
      <c r="D1080" t="inlineStr">
        <is>
          <t>4.4mm</t>
        </is>
      </c>
      <c r="E1080" t="inlineStr">
        <is>
          <t>Oui</t>
        </is>
      </c>
      <c r="F1080" t="inlineStr">
        <is>
          <t>https://www.audiophonics.fr/fr/dac-portables/ibasso-dc04u-p-21828.html</t>
        </is>
      </c>
      <c r="G1080" s="26" t="inlineStr">
        <is>
          <t>Sorties | 1x Jack 3.5mm asymétrique | 1x Jack 4.4mm symétrique</t>
        </is>
      </c>
      <c r="H1080" t="inlineStr">
        <is>
          <t>2026-08-10</t>
        </is>
      </c>
    </row>
    <row r="1081">
      <c r="A1081" t="n">
        <v>169</v>
      </c>
      <c r="B1081" t="inlineStr">
        <is>
          <t>iBasso</t>
        </is>
      </c>
      <c r="C1081" t="inlineStr">
        <is>
          <t>DC04U Ultra</t>
        </is>
      </c>
      <c r="D1081" t="inlineStr">
        <is>
          <t>2.5mm</t>
        </is>
      </c>
      <c r="E1081" t="inlineStr">
        <is>
          <t>Non</t>
        </is>
      </c>
      <c r="F1081" t="inlineStr">
        <is>
          <t>https://www.audiophonics.fr/fr/dac-portables/ibasso-dc04u-p-21828.html</t>
        </is>
      </c>
      <c r="G1081" s="26" t="inlineStr">
        <is>
          <t>Sorties | 1x Jack 3.5mm asymétrique | 1x Jack 4.4mm symétrique</t>
        </is>
      </c>
      <c r="H1081" t="inlineStr">
        <is>
          <t>2026-08-10</t>
        </is>
      </c>
    </row>
    <row r="1082">
      <c r="A1082" t="n">
        <v>169</v>
      </c>
      <c r="B1082" t="inlineStr">
        <is>
          <t>iBasso</t>
        </is>
      </c>
      <c r="C1082" t="inlineStr">
        <is>
          <t>DC04U Ultra</t>
        </is>
      </c>
      <c r="D1082" t="inlineStr">
        <is>
          <t>6.35mm</t>
        </is>
      </c>
      <c r="E1082" t="inlineStr">
        <is>
          <t>Non</t>
        </is>
      </c>
      <c r="F1082" t="inlineStr">
        <is>
          <t>https://www.audiophonics.fr/fr/dac-portables/ibasso-dc04u-p-21828.html</t>
        </is>
      </c>
      <c r="G1082" s="26" t="inlineStr">
        <is>
          <t>Sorties | 1x Jack 3.5mm asymétrique | 1x Jack 4.4mm symétrique</t>
        </is>
      </c>
      <c r="H1082" t="inlineStr">
        <is>
          <t>2026-08-10</t>
        </is>
      </c>
    </row>
    <row r="1083">
      <c r="A1083" t="n">
        <v>169</v>
      </c>
      <c r="B1083" t="inlineStr">
        <is>
          <t>iBasso</t>
        </is>
      </c>
      <c r="C1083" t="inlineStr">
        <is>
          <t>DC04U Ultra</t>
        </is>
      </c>
      <c r="D1083" t="inlineStr">
        <is>
          <t>XLR</t>
        </is>
      </c>
      <c r="E1083" t="inlineStr">
        <is>
          <t>Non</t>
        </is>
      </c>
      <c r="F1083" t="inlineStr">
        <is>
          <t>https://www.audiophonics.fr/fr/dac-portables/ibasso-dc04u-p-21828.html</t>
        </is>
      </c>
      <c r="G1083" s="26" t="inlineStr">
        <is>
          <t>Sorties | 1x Jack 3.5mm asymétrique | 1x Jack 4.4mm symétrique</t>
        </is>
      </c>
      <c r="H1083" t="inlineStr">
        <is>
          <t>2026-08-10</t>
        </is>
      </c>
    </row>
    <row r="1084">
      <c r="A1084" t="n">
        <v>169</v>
      </c>
      <c r="B1084" t="inlineStr">
        <is>
          <t>iBasso</t>
        </is>
      </c>
      <c r="C1084" t="inlineStr">
        <is>
          <t>DC04U Ultra</t>
        </is>
      </c>
      <c r="D1084" t="inlineStr">
        <is>
          <t>DSP/PEQ</t>
        </is>
      </c>
      <c r="E1084" t="inlineStr">
        <is>
          <t>Oui</t>
        </is>
      </c>
      <c r="F1084" t="inlineStr">
        <is>
          <t>https://www.audiophonics.fr/fr/dac-portables/ibasso-dc04u-p-21828.html</t>
        </is>
      </c>
      <c r="G1084" s="26" t="inlineStr">
        <is>
          <t>Il est également compatible avec une application Android dédiée (UAC) permettant d'accéder à un DSP avancé avec égaliseur paramétrique 10 bandes (PEQ) et plusieurs presets et réglages fins.</t>
        </is>
      </c>
      <c r="H1084" t="inlineStr">
        <is>
          <t>2026-08-10</t>
        </is>
      </c>
    </row>
    <row r="1085">
      <c r="A1085" t="n">
        <v>170</v>
      </c>
      <c r="B1085" t="inlineStr">
        <is>
          <t>Aiyima</t>
        </is>
      </c>
      <c r="C1085" t="inlineStr">
        <is>
          <t>H4</t>
        </is>
      </c>
      <c r="D1085" t="inlineStr">
        <is>
          <t>Bluetooth</t>
        </is>
      </c>
      <c r="E1085" t="inlineStr">
        <is>
          <t>Non</t>
        </is>
      </c>
      <c r="F1085" t="inlineStr">
        <is>
          <t>https://www.audiophonics.fr/fr/dac-portables/aiyima-h4-p-21905.html</t>
        </is>
      </c>
      <c r="G1085" s="26" t="inlineStr">
        <is>
          <t>Entrée | 1x USB-C</t>
        </is>
      </c>
      <c r="H1085" t="inlineStr">
        <is>
          <t>2026-08-10</t>
        </is>
      </c>
    </row>
    <row r="1086">
      <c r="A1086" t="n">
        <v>170</v>
      </c>
      <c r="B1086" t="inlineStr">
        <is>
          <t>Aiyima</t>
        </is>
      </c>
      <c r="C1086" t="inlineStr">
        <is>
          <t>H4</t>
        </is>
      </c>
      <c r="D1086" t="inlineStr">
        <is>
          <t>3.5mm</t>
        </is>
      </c>
      <c r="E1086" t="inlineStr">
        <is>
          <t>Oui</t>
        </is>
      </c>
      <c r="F1086" t="inlineStr">
        <is>
          <t>https://www.audiophonics.fr/fr/dac-portables/aiyima-h4-p-21905.html</t>
        </is>
      </c>
      <c r="G1086" s="26" t="inlineStr">
        <is>
          <t>Sorties | 1x Jack 3.5mm asymétrique | 1x Jack 4.4mm symétrique</t>
        </is>
      </c>
      <c r="H1086" t="inlineStr">
        <is>
          <t>2026-08-10</t>
        </is>
      </c>
    </row>
    <row r="1087">
      <c r="A1087" t="n">
        <v>170</v>
      </c>
      <c r="B1087" t="inlineStr">
        <is>
          <t>Aiyima</t>
        </is>
      </c>
      <c r="C1087" t="inlineStr">
        <is>
          <t>H4</t>
        </is>
      </c>
      <c r="D1087" t="inlineStr">
        <is>
          <t>4.4mm</t>
        </is>
      </c>
      <c r="E1087" t="inlineStr">
        <is>
          <t>Oui</t>
        </is>
      </c>
      <c r="F1087" t="inlineStr">
        <is>
          <t>https://www.audiophonics.fr/fr/dac-portables/aiyima-h4-p-21905.html</t>
        </is>
      </c>
      <c r="G1087" s="26" t="inlineStr">
        <is>
          <t>Sorties | 1x Jack 3.5mm asymétrique | 1x Jack 4.4mm symétrique</t>
        </is>
      </c>
      <c r="H1087" t="inlineStr">
        <is>
          <t>2026-08-10</t>
        </is>
      </c>
    </row>
    <row r="1088">
      <c r="A1088" t="n">
        <v>170</v>
      </c>
      <c r="B1088" t="inlineStr">
        <is>
          <t>Aiyima</t>
        </is>
      </c>
      <c r="C1088" t="inlineStr">
        <is>
          <t>H4</t>
        </is>
      </c>
      <c r="D1088" t="inlineStr">
        <is>
          <t>2.5mm</t>
        </is>
      </c>
      <c r="E1088" t="inlineStr">
        <is>
          <t>Non</t>
        </is>
      </c>
      <c r="F1088" t="inlineStr">
        <is>
          <t>https://www.audiophonics.fr/fr/dac-portables/aiyima-h4-p-21905.html</t>
        </is>
      </c>
      <c r="G1088" s="26" t="inlineStr">
        <is>
          <t>Sorties | 1x Jack 3.5mm asymétrique | 1x Jack 4.4mm symétrique</t>
        </is>
      </c>
      <c r="H1088" t="inlineStr">
        <is>
          <t>2026-08-10</t>
        </is>
      </c>
    </row>
    <row r="1089">
      <c r="A1089" t="n">
        <v>170</v>
      </c>
      <c r="B1089" t="inlineStr">
        <is>
          <t>Aiyima</t>
        </is>
      </c>
      <c r="C1089" t="inlineStr">
        <is>
          <t>H4</t>
        </is>
      </c>
      <c r="D1089" t="inlineStr">
        <is>
          <t>6.35mm</t>
        </is>
      </c>
      <c r="E1089" t="inlineStr">
        <is>
          <t>Non</t>
        </is>
      </c>
      <c r="F1089" t="inlineStr">
        <is>
          <t>https://www.audiophonics.fr/fr/dac-portables/aiyima-h4-p-21905.html</t>
        </is>
      </c>
      <c r="G1089" s="26" t="inlineStr">
        <is>
          <t>Sorties | 1x Jack 3.5mm asymétrique | 1x Jack 4.4mm symétrique</t>
        </is>
      </c>
      <c r="H1089" t="inlineStr">
        <is>
          <t>2026-08-10</t>
        </is>
      </c>
    </row>
    <row r="1090">
      <c r="A1090" t="n">
        <v>170</v>
      </c>
      <c r="B1090" t="inlineStr">
        <is>
          <t>Aiyima</t>
        </is>
      </c>
      <c r="C1090" t="inlineStr">
        <is>
          <t>H4</t>
        </is>
      </c>
      <c r="D1090" t="inlineStr">
        <is>
          <t>XLR</t>
        </is>
      </c>
      <c r="E1090" t="inlineStr">
        <is>
          <t>Non</t>
        </is>
      </c>
      <c r="F1090" t="inlineStr">
        <is>
          <t>https://www.audiophonics.fr/fr/dac-portables/aiyima-h4-p-21905.html</t>
        </is>
      </c>
      <c r="G1090" s="26" t="inlineStr">
        <is>
          <t>Sorties | 1x Jack 3.5mm asymétrique | 1x Jack 4.4mm symétrique</t>
        </is>
      </c>
      <c r="H1090" t="inlineStr">
        <is>
          <t>2026-08-10</t>
        </is>
      </c>
    </row>
    <row r="1091">
      <c r="A1091" t="n">
        <v>171</v>
      </c>
      <c r="B1091" t="inlineStr">
        <is>
          <t>Aune</t>
        </is>
      </c>
      <c r="C1091" t="inlineStr">
        <is>
          <t>Yuki SE</t>
        </is>
      </c>
      <c r="D1091" t="inlineStr">
        <is>
          <t>Bluetooth</t>
        </is>
      </c>
      <c r="E1091" t="inlineStr">
        <is>
          <t>Non</t>
        </is>
      </c>
      <c r="F1091" t="inlineStr">
        <is>
          <t>https://www.audiophonics.fr/fr/dac-portables/aune-yuki-se-p-19868.html</t>
        </is>
      </c>
      <c r="G1091" s="26" t="inlineStr">
        <is>
          <t>Entrées : USB</t>
        </is>
      </c>
      <c r="H1091" t="inlineStr">
        <is>
          <t>2026-08-10</t>
        </is>
      </c>
    </row>
    <row r="1092">
      <c r="A1092" t="n">
        <v>171</v>
      </c>
      <c r="B1092" t="inlineStr">
        <is>
          <t>Aune</t>
        </is>
      </c>
      <c r="C1092" t="inlineStr">
        <is>
          <t>Yuki SE</t>
        </is>
      </c>
      <c r="D1092" t="inlineStr">
        <is>
          <t>3.5mm</t>
        </is>
      </c>
      <c r="E1092" t="inlineStr">
        <is>
          <t>Oui</t>
        </is>
      </c>
      <c r="F1092" t="inlineStr">
        <is>
          <t>https://www.aune-store.com/en/aune-yuki-se-dongle-dac_110209_1250/</t>
        </is>
      </c>
      <c r="G1092" s="26" t="inlineStr">
        <is>
          <t>3.5 mm and 4.4 mm headphone connection</t>
        </is>
      </c>
      <c r="H1092" t="inlineStr">
        <is>
          <t>2026-08-10</t>
        </is>
      </c>
    </row>
    <row r="1093">
      <c r="A1093" t="n">
        <v>171</v>
      </c>
      <c r="B1093" t="inlineStr">
        <is>
          <t>Aune</t>
        </is>
      </c>
      <c r="C1093" t="inlineStr">
        <is>
          <t>Yuki SE</t>
        </is>
      </c>
      <c r="D1093" t="inlineStr">
        <is>
          <t>4.4mm</t>
        </is>
      </c>
      <c r="E1093" t="inlineStr">
        <is>
          <t>Oui</t>
        </is>
      </c>
      <c r="F1093" t="inlineStr">
        <is>
          <t>https://www.aune-store.com/en/aune-yuki-se-dongle-dac_110209_1250/</t>
        </is>
      </c>
      <c r="G1093" s="26" t="inlineStr">
        <is>
          <t>3.5 mm and 4.4 mm headphone connection</t>
        </is>
      </c>
      <c r="H1093" t="inlineStr">
        <is>
          <t>2026-08-10</t>
        </is>
      </c>
    </row>
    <row r="1094">
      <c r="A1094" t="n">
        <v>171</v>
      </c>
      <c r="B1094" t="inlineStr">
        <is>
          <t>Aune</t>
        </is>
      </c>
      <c r="C1094" t="inlineStr">
        <is>
          <t>Yuki SE</t>
        </is>
      </c>
      <c r="D1094" t="inlineStr">
        <is>
          <t>2.5mm</t>
        </is>
      </c>
      <c r="E1094" t="inlineStr">
        <is>
          <t>Non</t>
        </is>
      </c>
      <c r="F1094" t="inlineStr">
        <is>
          <t>https://www.aune-store.com/en/aune-yuki-se-dongle-dac_110209_1250/</t>
        </is>
      </c>
      <c r="G1094" s="26" t="inlineStr">
        <is>
          <t>Two Headphone outputs [...] the balanced 4.4mm and unbalanced 3.5mm headphone sockets can easily drive different headphones.</t>
        </is>
      </c>
      <c r="H1094" t="inlineStr">
        <is>
          <t>2026-08-10</t>
        </is>
      </c>
    </row>
    <row r="1095">
      <c r="A1095" t="n">
        <v>171</v>
      </c>
      <c r="B1095" t="inlineStr">
        <is>
          <t>Aune</t>
        </is>
      </c>
      <c r="C1095" t="inlineStr">
        <is>
          <t>Yuki SE</t>
        </is>
      </c>
      <c r="D1095" t="inlineStr">
        <is>
          <t>6.35mm</t>
        </is>
      </c>
      <c r="E1095" t="inlineStr">
        <is>
          <t>Non</t>
        </is>
      </c>
      <c r="F1095" t="inlineStr">
        <is>
          <t>https://www.aune-store.com/en/aune-yuki-se-dongle-dac_110209_1250/</t>
        </is>
      </c>
      <c r="G1095" s="26" t="inlineStr">
        <is>
          <t>Two Headphone outputs [...] the balanced 4.4mm and unbalanced 3.5mm headphone sockets can easily drive different headphones.</t>
        </is>
      </c>
      <c r="H1095" t="inlineStr">
        <is>
          <t>2026-08-10</t>
        </is>
      </c>
    </row>
    <row r="1096">
      <c r="A1096" t="n">
        <v>171</v>
      </c>
      <c r="B1096" t="inlineStr">
        <is>
          <t>Aune</t>
        </is>
      </c>
      <c r="C1096" t="inlineStr">
        <is>
          <t>Yuki SE</t>
        </is>
      </c>
      <c r="D1096" t="inlineStr">
        <is>
          <t>XLR</t>
        </is>
      </c>
      <c r="E1096" t="inlineStr">
        <is>
          <t>Non</t>
        </is>
      </c>
      <c r="F1096" t="inlineStr">
        <is>
          <t>https://www.aune-store.com/en/aune-yuki-se-dongle-dac_110209_1250/</t>
        </is>
      </c>
      <c r="G1096" s="26" t="inlineStr">
        <is>
          <t>Two Headphone outputs [...] the balanced 4.4mm and unbalanced 3.5mm headphone sockets can easily drive different headphones.</t>
        </is>
      </c>
      <c r="H1096" t="inlineStr">
        <is>
          <t>2026-08-10</t>
        </is>
      </c>
    </row>
    <row r="1097">
      <c r="A1097" t="n">
        <v>172</v>
      </c>
      <c r="B1097" t="inlineStr">
        <is>
          <t>Tanchjim</t>
        </is>
      </c>
      <c r="C1097" t="inlineStr">
        <is>
          <t>Space Pro</t>
        </is>
      </c>
      <c r="D1097" t="inlineStr">
        <is>
          <t>Bluetooth</t>
        </is>
      </c>
      <c r="E1097" t="inlineStr">
        <is>
          <t>Non</t>
        </is>
      </c>
      <c r="F1097" t="inlineStr">
        <is>
          <t>https://www.audiophonics.fr/fr/dac-portables/tanchjim-space-pro-p-21768.html</t>
        </is>
      </c>
      <c r="G1097" s="26" t="inlineStr">
        <is>
          <t>Entrées : USB</t>
        </is>
      </c>
      <c r="H1097" t="inlineStr">
        <is>
          <t>2026-08-10</t>
        </is>
      </c>
    </row>
    <row r="1098">
      <c r="A1098" t="n">
        <v>172</v>
      </c>
      <c r="B1098" t="inlineStr">
        <is>
          <t>Tanchjim</t>
        </is>
      </c>
      <c r="C1098" t="inlineStr">
        <is>
          <t>Space Pro</t>
        </is>
      </c>
      <c r="D1098" t="inlineStr">
        <is>
          <t>3.5mm</t>
        </is>
      </c>
      <c r="E1098" t="inlineStr">
        <is>
          <t>Oui</t>
        </is>
      </c>
      <c r="F1098" t="inlineStr">
        <is>
          <t>https://www.audiophonics.fr/fr/dac-portables/tanchjim-space-pro-p-21768.html</t>
        </is>
      </c>
      <c r="G1098" s="26" t="inlineStr">
        <is>
          <t>Sorties : 1x Jack 3.5mm asymétrique / 1x Jack 4.4mm symétrique</t>
        </is>
      </c>
      <c r="H1098" t="inlineStr">
        <is>
          <t>2026-08-10</t>
        </is>
      </c>
    </row>
    <row r="1099">
      <c r="A1099" t="n">
        <v>172</v>
      </c>
      <c r="B1099" t="inlineStr">
        <is>
          <t>Tanchjim</t>
        </is>
      </c>
      <c r="C1099" t="inlineStr">
        <is>
          <t>Space Pro</t>
        </is>
      </c>
      <c r="D1099" t="inlineStr">
        <is>
          <t>4.4mm</t>
        </is>
      </c>
      <c r="E1099" t="inlineStr">
        <is>
          <t>Oui</t>
        </is>
      </c>
      <c r="F1099" t="inlineStr">
        <is>
          <t>https://www.audiophonics.fr/fr/dac-portables/tanchjim-space-pro-p-21768.html</t>
        </is>
      </c>
      <c r="G1099" s="26" t="inlineStr">
        <is>
          <t>Sorties : 1x Jack 3.5mm asymétrique / 1x Jack 4.4mm symétrique</t>
        </is>
      </c>
      <c r="H1099" t="inlineStr">
        <is>
          <t>2026-08-10</t>
        </is>
      </c>
    </row>
    <row r="1100">
      <c r="A1100" t="n">
        <v>172</v>
      </c>
      <c r="B1100" t="inlineStr">
        <is>
          <t>Tanchjim</t>
        </is>
      </c>
      <c r="C1100" t="inlineStr">
        <is>
          <t>Space Pro</t>
        </is>
      </c>
      <c r="D1100" t="inlineStr">
        <is>
          <t>2.5mm</t>
        </is>
      </c>
      <c r="E1100" t="inlineStr">
        <is>
          <t>Non</t>
        </is>
      </c>
      <c r="F1100" t="inlineStr">
        <is>
          <t>https://www.audiophonics.fr/fr/dac-portables/tanchjim-space-pro-p-21768.html</t>
        </is>
      </c>
      <c r="G1100" s="26" t="inlineStr">
        <is>
          <t>Sorties : 1x Jack 3.5mm asymétrique / 1x Jack 4.4mm symétrique</t>
        </is>
      </c>
      <c r="H1100" t="inlineStr">
        <is>
          <t>2026-08-10</t>
        </is>
      </c>
    </row>
    <row r="1101">
      <c r="A1101" t="n">
        <v>172</v>
      </c>
      <c r="B1101" t="inlineStr">
        <is>
          <t>Tanchjim</t>
        </is>
      </c>
      <c r="C1101" t="inlineStr">
        <is>
          <t>Space Pro</t>
        </is>
      </c>
      <c r="D1101" t="inlineStr">
        <is>
          <t>6.35mm</t>
        </is>
      </c>
      <c r="E1101" t="inlineStr">
        <is>
          <t>Non</t>
        </is>
      </c>
      <c r="F1101" t="inlineStr">
        <is>
          <t>https://www.audiophonics.fr/fr/dac-portables/tanchjim-space-pro-p-21768.html</t>
        </is>
      </c>
      <c r="G1101" s="26" t="inlineStr">
        <is>
          <t>Sorties : 1x Jack 3.5mm asymétrique / 1x Jack 4.4mm symétrique</t>
        </is>
      </c>
      <c r="H1101" t="inlineStr">
        <is>
          <t>2026-08-10</t>
        </is>
      </c>
    </row>
    <row r="1102">
      <c r="A1102" t="n">
        <v>172</v>
      </c>
      <c r="B1102" t="inlineStr">
        <is>
          <t>Tanchjim</t>
        </is>
      </c>
      <c r="C1102" t="inlineStr">
        <is>
          <t>Space Pro</t>
        </is>
      </c>
      <c r="D1102" t="inlineStr">
        <is>
          <t>XLR</t>
        </is>
      </c>
      <c r="E1102" t="inlineStr">
        <is>
          <t>Non</t>
        </is>
      </c>
      <c r="F1102" t="inlineStr">
        <is>
          <t>https://www.audiophonics.fr/fr/dac-portables/tanchjim-space-pro-p-21768.html</t>
        </is>
      </c>
      <c r="G1102" s="26" t="inlineStr">
        <is>
          <t>Sorties : 1x Jack 3.5mm asymétrique / 1x Jack 4.4mm symétrique</t>
        </is>
      </c>
      <c r="H1102" t="inlineStr">
        <is>
          <t>2026-08-10</t>
        </is>
      </c>
    </row>
    <row r="1103">
      <c r="A1103" t="n">
        <v>172</v>
      </c>
      <c r="B1103" t="inlineStr">
        <is>
          <t>Tanchjim</t>
        </is>
      </c>
      <c r="C1103" t="inlineStr">
        <is>
          <t>Space Pro</t>
        </is>
      </c>
      <c r="D1103" t="inlineStr">
        <is>
          <t>DSP/PEQ</t>
        </is>
      </c>
      <c r="E1103" t="inlineStr">
        <is>
          <t>Oui</t>
        </is>
      </c>
      <c r="F1103" t="inlineStr">
        <is>
          <t>https://www.audiophonics.fr/fr/dac-portables/tanchjim-space-pro-p-21768.html</t>
        </is>
      </c>
      <c r="G1103" s="26" t="inlineStr">
        <is>
          <t>le comportement de l'amplification reste modulable via l'application Tanchjim, qui permet de basculer entre les modes Class AB et Class H [...] tandis que l'égalisation 10 bandes associée à la gestion de presets importables et exportables autorise un ajustement de la signature sonore.</t>
        </is>
      </c>
      <c r="H1103" t="inlineStr">
        <is>
          <t>2026-08-10</t>
        </is>
      </c>
    </row>
    <row r="1104">
      <c r="A1104" t="n">
        <v>173</v>
      </c>
      <c r="B1104" t="inlineStr">
        <is>
          <t>Fosi Audio</t>
        </is>
      </c>
      <c r="C1104" t="inlineStr">
        <is>
          <t>DS3</t>
        </is>
      </c>
      <c r="D1104" t="inlineStr">
        <is>
          <t>Batterie</t>
        </is>
      </c>
      <c r="E1104" t="inlineStr">
        <is>
          <t>Non</t>
        </is>
      </c>
      <c r="F1104" t="inlineStr">
        <is>
          <t>https://homestudiobasics.com/fosi-audio-ds3-review/</t>
        </is>
      </c>
      <c r="G1104" s="26" t="inlineStr">
        <is>
          <t>The DS3 has no built-in battery and is powered directly via USB from the connected device.</t>
        </is>
      </c>
      <c r="H1104" t="inlineStr">
        <is>
          <t>2026-08-10</t>
        </is>
      </c>
    </row>
    <row r="1105">
      <c r="A1105" t="n">
        <v>173</v>
      </c>
      <c r="B1105" t="inlineStr">
        <is>
          <t>Fosi Audio</t>
        </is>
      </c>
      <c r="C1105" t="inlineStr">
        <is>
          <t>DS3</t>
        </is>
      </c>
      <c r="D1105" t="inlineStr">
        <is>
          <t>Bluetooth</t>
        </is>
      </c>
      <c r="E1105" t="inlineStr">
        <is>
          <t>Non</t>
        </is>
      </c>
      <c r="F1105" t="inlineStr">
        <is>
          <t>https://homestudiobasics.com/fosi-audio-ds3-review/</t>
        </is>
      </c>
      <c r="G1105" s="26" t="inlineStr">
        <is>
          <t>Input: USB-C</t>
        </is>
      </c>
      <c r="H1105" t="inlineStr">
        <is>
          <t>2026-08-10</t>
        </is>
      </c>
    </row>
    <row r="1106">
      <c r="A1106" t="n">
        <v>173</v>
      </c>
      <c r="B1106" t="inlineStr">
        <is>
          <t>Fosi Audio</t>
        </is>
      </c>
      <c r="C1106" t="inlineStr">
        <is>
          <t>DS3</t>
        </is>
      </c>
      <c r="D1106" t="inlineStr">
        <is>
          <t>3.5mm</t>
        </is>
      </c>
      <c r="E1106" t="inlineStr">
        <is>
          <t>Oui</t>
        </is>
      </c>
      <c r="F1106" t="inlineStr">
        <is>
          <t>https://homestudiobasics.com/fosi-audio-ds3-review/</t>
        </is>
      </c>
      <c r="G1106" s="26" t="inlineStr">
        <is>
          <t>Output: 3.5mm Single-Ended, 4.4mm Balanced</t>
        </is>
      </c>
      <c r="H1106" t="inlineStr">
        <is>
          <t>2026-08-10</t>
        </is>
      </c>
    </row>
    <row r="1107">
      <c r="A1107" t="n">
        <v>173</v>
      </c>
      <c r="B1107" t="inlineStr">
        <is>
          <t>Fosi Audio</t>
        </is>
      </c>
      <c r="C1107" t="inlineStr">
        <is>
          <t>DS3</t>
        </is>
      </c>
      <c r="D1107" t="inlineStr">
        <is>
          <t>4.4mm</t>
        </is>
      </c>
      <c r="E1107" t="inlineStr">
        <is>
          <t>Oui</t>
        </is>
      </c>
      <c r="F1107" t="inlineStr">
        <is>
          <t>https://homestudiobasics.com/fosi-audio-ds3-review/</t>
        </is>
      </c>
      <c r="G1107" s="26" t="inlineStr">
        <is>
          <t>Output: 3.5mm Single-Ended, 4.4mm Balanced</t>
        </is>
      </c>
      <c r="H1107" t="inlineStr">
        <is>
          <t>2026-08-10</t>
        </is>
      </c>
    </row>
    <row r="1108">
      <c r="A1108" t="n">
        <v>173</v>
      </c>
      <c r="B1108" t="inlineStr">
        <is>
          <t>Fosi Audio</t>
        </is>
      </c>
      <c r="C1108" t="inlineStr">
        <is>
          <t>DS3</t>
        </is>
      </c>
      <c r="D1108" t="inlineStr">
        <is>
          <t>2.5mm</t>
        </is>
      </c>
      <c r="E1108" t="inlineStr">
        <is>
          <t>Non</t>
        </is>
      </c>
      <c r="F1108" t="inlineStr">
        <is>
          <t>https://homestudiobasics.com/fosi-audio-ds3-review/</t>
        </is>
      </c>
      <c r="G1108" s="26" t="inlineStr">
        <is>
          <t>Output: 3.5mm Single-Ended, 4.4mm Balanced</t>
        </is>
      </c>
      <c r="H1108" t="inlineStr">
        <is>
          <t>2026-08-10</t>
        </is>
      </c>
    </row>
    <row r="1109">
      <c r="A1109" t="n">
        <v>173</v>
      </c>
      <c r="B1109" t="inlineStr">
        <is>
          <t>Fosi Audio</t>
        </is>
      </c>
      <c r="C1109" t="inlineStr">
        <is>
          <t>DS3</t>
        </is>
      </c>
      <c r="D1109" t="inlineStr">
        <is>
          <t>6.35mm</t>
        </is>
      </c>
      <c r="E1109" t="inlineStr">
        <is>
          <t>Non</t>
        </is>
      </c>
      <c r="F1109" t="inlineStr">
        <is>
          <t>https://homestudiobasics.com/fosi-audio-ds3-review/</t>
        </is>
      </c>
      <c r="G1109" s="26" t="inlineStr">
        <is>
          <t>Output: 3.5mm Single-Ended, 4.4mm Balanced</t>
        </is>
      </c>
      <c r="H1109" t="inlineStr">
        <is>
          <t>2026-08-10</t>
        </is>
      </c>
    </row>
    <row r="1110">
      <c r="A1110" t="n">
        <v>173</v>
      </c>
      <c r="B1110" t="inlineStr">
        <is>
          <t>Fosi Audio</t>
        </is>
      </c>
      <c r="C1110" t="inlineStr">
        <is>
          <t>DS3</t>
        </is>
      </c>
      <c r="D1110" t="inlineStr">
        <is>
          <t>XLR</t>
        </is>
      </c>
      <c r="E1110" t="inlineStr">
        <is>
          <t>Non</t>
        </is>
      </c>
      <c r="F1110" t="inlineStr">
        <is>
          <t>https://homestudiobasics.com/fosi-audio-ds3-review/</t>
        </is>
      </c>
      <c r="G1110" s="26" t="inlineStr">
        <is>
          <t>Output: 3.5mm Single-Ended, 4.4mm Balanced</t>
        </is>
      </c>
      <c r="H1110" t="inlineStr">
        <is>
          <t>2026-08-10</t>
        </is>
      </c>
    </row>
    <row r="1111">
      <c r="A1111" t="n">
        <v>173</v>
      </c>
      <c r="B1111" t="inlineStr">
        <is>
          <t>Fosi Audio</t>
        </is>
      </c>
      <c r="C1111" t="inlineStr">
        <is>
          <t>DS3</t>
        </is>
      </c>
      <c r="D1111" t="inlineStr">
        <is>
          <t>DSP/PEQ</t>
        </is>
      </c>
      <c r="E1111" t="inlineStr">
        <is>
          <t>Oui</t>
        </is>
      </c>
      <c r="F1111" t="inlineStr">
        <is>
          <t>https://fosiaudio.com/products/fosi-audio-ds3</t>
        </is>
      </c>
      <c r="G1111" s="26" t="inlineStr">
        <is>
          <t>Hardware-Level Professional EQ Tuning [...] precisely customize the EQ and create the sound without degradation</t>
        </is>
      </c>
      <c r="H1111" t="inlineStr">
        <is>
          <t>2026-08-10</t>
        </is>
      </c>
    </row>
    <row r="1112">
      <c r="A1112" t="n">
        <v>174</v>
      </c>
      <c r="B1112" t="inlineStr">
        <is>
          <t>Fosi Audio</t>
        </is>
      </c>
      <c r="C1112" t="inlineStr">
        <is>
          <t>SK02</t>
        </is>
      </c>
      <c r="D1112" t="inlineStr">
        <is>
          <t>Batterie</t>
        </is>
      </c>
      <c r="E1112" t="inlineStr">
        <is>
          <t>Non</t>
        </is>
      </c>
      <c r="F1112" t="inlineStr">
        <is>
          <t>https://www.headfonia.com/fosi-sk02-review/</t>
        </is>
      </c>
      <c r="G1112" s="26" t="inlineStr">
        <is>
          <t>the Fosi SK02, a tiny desktop DAC, USB-Powered, that I could either use for my headphones, or with the Mono V3 duo</t>
        </is>
      </c>
      <c r="H1112" t="inlineStr">
        <is>
          <t>2026-08-10</t>
        </is>
      </c>
    </row>
    <row r="1113">
      <c r="A1113" t="n">
        <v>174</v>
      </c>
      <c r="B1113" t="inlineStr">
        <is>
          <t>Fosi Audio</t>
        </is>
      </c>
      <c r="C1113" t="inlineStr">
        <is>
          <t>SK02</t>
        </is>
      </c>
      <c r="D1113" t="inlineStr">
        <is>
          <t>Bluetooth</t>
        </is>
      </c>
      <c r="E1113" t="inlineStr">
        <is>
          <t>Non</t>
        </is>
      </c>
      <c r="F1113" t="inlineStr">
        <is>
          <t>https://www.audiophonics.fr/fr/amplificateurs-casque-sedentaires/fosi-audio-sk02-p-18861.html</t>
        </is>
      </c>
      <c r="G1113" s="26" t="inlineStr">
        <is>
          <t>Entrées : 1x Entrée USB-C / 1x Entrée Optique Toslink</t>
        </is>
      </c>
      <c r="H1113" t="inlineStr">
        <is>
          <t>2026-08-10</t>
        </is>
      </c>
    </row>
    <row r="1114">
      <c r="A1114" t="n">
        <v>174</v>
      </c>
      <c r="B1114" t="inlineStr">
        <is>
          <t>Fosi Audio</t>
        </is>
      </c>
      <c r="C1114" t="inlineStr">
        <is>
          <t>SK02</t>
        </is>
      </c>
      <c r="D1114" t="inlineStr">
        <is>
          <t>3.5mm</t>
        </is>
      </c>
      <c r="E1114" t="inlineStr">
        <is>
          <t>Oui</t>
        </is>
      </c>
      <c r="F1114" t="inlineStr">
        <is>
          <t>https://www.audiophonics.fr/fr/amplificateurs-casque-sedentaires/fosi-audio-sk02-p-18861.html</t>
        </is>
      </c>
      <c r="G1114" s="26" t="inlineStr">
        <is>
          <t>Sorties : 1x Sortie casque jack 3.5mm / 1x Sortie casque symétrique jack 4.4mm / 1x Sortie AUX jack 3.5mm/mini-Toslink</t>
        </is>
      </c>
      <c r="H1114" t="inlineStr">
        <is>
          <t>2026-08-10</t>
        </is>
      </c>
    </row>
    <row r="1115">
      <c r="A1115" t="n">
        <v>174</v>
      </c>
      <c r="B1115" t="inlineStr">
        <is>
          <t>Fosi Audio</t>
        </is>
      </c>
      <c r="C1115" t="inlineStr">
        <is>
          <t>SK02</t>
        </is>
      </c>
      <c r="D1115" t="inlineStr">
        <is>
          <t>4.4mm</t>
        </is>
      </c>
      <c r="E1115" t="inlineStr">
        <is>
          <t>Oui</t>
        </is>
      </c>
      <c r="F1115" t="inlineStr">
        <is>
          <t>https://www.audiophonics.fr/fr/amplificateurs-casque-sedentaires/fosi-audio-sk02-p-18861.html</t>
        </is>
      </c>
      <c r="G1115" s="26" t="inlineStr">
        <is>
          <t>Sorties : 1x Sortie casque jack 3.5mm / 1x Sortie casque symétrique jack 4.4mm / 1x Sortie AUX jack 3.5mm/mini-Toslink</t>
        </is>
      </c>
      <c r="H1115" t="inlineStr">
        <is>
          <t>2026-08-10</t>
        </is>
      </c>
    </row>
    <row r="1116">
      <c r="A1116" t="n">
        <v>174</v>
      </c>
      <c r="B1116" t="inlineStr">
        <is>
          <t>Fosi Audio</t>
        </is>
      </c>
      <c r="C1116" t="inlineStr">
        <is>
          <t>SK02</t>
        </is>
      </c>
      <c r="D1116" t="inlineStr">
        <is>
          <t>2.5mm</t>
        </is>
      </c>
      <c r="E1116" t="inlineStr">
        <is>
          <t>Non</t>
        </is>
      </c>
      <c r="F1116" t="inlineStr">
        <is>
          <t>https://www.audiophonics.fr/fr/amplificateurs-casque-sedentaires/fosi-audio-sk02-p-18861.html</t>
        </is>
      </c>
      <c r="G1116" s="26" t="inlineStr">
        <is>
          <t>Sorties : 1x Sortie casque jack 3.5mm / 1x Sortie casque symétrique jack 4.4mm / 1x Sortie AUX jack 3.5mm/mini-Toslink</t>
        </is>
      </c>
      <c r="H1116" t="inlineStr">
        <is>
          <t>2026-08-10</t>
        </is>
      </c>
    </row>
    <row r="1117">
      <c r="A1117" t="n">
        <v>174</v>
      </c>
      <c r="B1117" t="inlineStr">
        <is>
          <t>Fosi Audio</t>
        </is>
      </c>
      <c r="C1117" t="inlineStr">
        <is>
          <t>SK02</t>
        </is>
      </c>
      <c r="D1117" t="inlineStr">
        <is>
          <t>6.35mm</t>
        </is>
      </c>
      <c r="E1117" t="inlineStr">
        <is>
          <t>Non</t>
        </is>
      </c>
      <c r="F1117" t="inlineStr">
        <is>
          <t>https://www.audiophonics.fr/fr/amplificateurs-casque-sedentaires/fosi-audio-sk02-p-18861.html</t>
        </is>
      </c>
      <c r="G1117" s="26" t="inlineStr">
        <is>
          <t>Sorties : 1x Sortie casque jack 3.5mm / 1x Sortie casque symétrique jack 4.4mm / 1x Sortie AUX jack 3.5mm/mini-Toslink</t>
        </is>
      </c>
      <c r="H1117" t="inlineStr">
        <is>
          <t>2026-08-10</t>
        </is>
      </c>
    </row>
    <row r="1118">
      <c r="A1118" t="n">
        <v>174</v>
      </c>
      <c r="B1118" t="inlineStr">
        <is>
          <t>Fosi Audio</t>
        </is>
      </c>
      <c r="C1118" t="inlineStr">
        <is>
          <t>SK02</t>
        </is>
      </c>
      <c r="D1118" t="inlineStr">
        <is>
          <t>XLR</t>
        </is>
      </c>
      <c r="E1118" t="inlineStr">
        <is>
          <t>Non</t>
        </is>
      </c>
      <c r="F1118" t="inlineStr">
        <is>
          <t>https://www.audiophonics.fr/fr/amplificateurs-casque-sedentaires/fosi-audio-sk02-p-18861.html</t>
        </is>
      </c>
      <c r="G1118" s="26" t="inlineStr">
        <is>
          <t>Sorties : 1x Sortie casque jack 3.5mm / 1x Sortie casque symétrique jack 4.4mm / 1x Sortie AUX jack 3.5mm/mini-Toslink</t>
        </is>
      </c>
      <c r="H1118" t="inlineStr">
        <is>
          <t>2026-08-10</t>
        </is>
      </c>
    </row>
    <row r="1119">
      <c r="A1119" t="n">
        <v>175</v>
      </c>
      <c r="B1119" t="inlineStr">
        <is>
          <t>CrinEar</t>
        </is>
      </c>
      <c r="C1119" t="inlineStr">
        <is>
          <t>Protocol Max</t>
        </is>
      </c>
      <c r="D1119" t="inlineStr">
        <is>
          <t>Bluetooth</t>
        </is>
      </c>
      <c r="E1119" t="inlineStr">
        <is>
          <t>Non</t>
        </is>
      </c>
      <c r="F1119" t="inlineStr">
        <is>
          <t>https://www.audiophonics.fr/fr/dac-portables/crinear-protocol-max-p-21200.html</t>
        </is>
      </c>
      <c r="G1119" s="26" t="inlineStr">
        <is>
          <t>Entrées : USB</t>
        </is>
      </c>
      <c r="H1119" t="inlineStr">
        <is>
          <t>2026-08-10</t>
        </is>
      </c>
    </row>
    <row r="1120">
      <c r="A1120" t="n">
        <v>175</v>
      </c>
      <c r="B1120" t="inlineStr">
        <is>
          <t>CrinEar</t>
        </is>
      </c>
      <c r="C1120" t="inlineStr">
        <is>
          <t>Protocol Max</t>
        </is>
      </c>
      <c r="D1120" t="inlineStr">
        <is>
          <t>3.5mm</t>
        </is>
      </c>
      <c r="E1120" t="inlineStr">
        <is>
          <t>Oui</t>
        </is>
      </c>
      <c r="F1120" t="inlineStr">
        <is>
          <t>https://www.audiophonics.fr/fr/dac-portables/crinear-protocol-max-p-21200.html</t>
        </is>
      </c>
      <c r="G1120" s="26" t="inlineStr">
        <is>
          <t>Sorties : Jack 3.5mm / Jack 4.4mm</t>
        </is>
      </c>
      <c r="H1120" t="inlineStr">
        <is>
          <t>2026-08-10</t>
        </is>
      </c>
    </row>
    <row r="1121">
      <c r="A1121" t="n">
        <v>175</v>
      </c>
      <c r="B1121" t="inlineStr">
        <is>
          <t>CrinEar</t>
        </is>
      </c>
      <c r="C1121" t="inlineStr">
        <is>
          <t>Protocol Max</t>
        </is>
      </c>
      <c r="D1121" t="inlineStr">
        <is>
          <t>4.4mm</t>
        </is>
      </c>
      <c r="E1121" t="inlineStr">
        <is>
          <t>Oui</t>
        </is>
      </c>
      <c r="F1121" t="inlineStr">
        <is>
          <t>https://www.audiophonics.fr/fr/dac-portables/crinear-protocol-max-p-21200.html</t>
        </is>
      </c>
      <c r="G1121" s="26" t="inlineStr">
        <is>
          <t>Sorties : Jack 3.5mm / Jack 4.4mm</t>
        </is>
      </c>
      <c r="H1121" t="inlineStr">
        <is>
          <t>2026-08-10</t>
        </is>
      </c>
    </row>
    <row r="1122">
      <c r="A1122" t="n">
        <v>175</v>
      </c>
      <c r="B1122" t="inlineStr">
        <is>
          <t>CrinEar</t>
        </is>
      </c>
      <c r="C1122" t="inlineStr">
        <is>
          <t>Protocol Max</t>
        </is>
      </c>
      <c r="D1122" t="inlineStr">
        <is>
          <t>2.5mm</t>
        </is>
      </c>
      <c r="E1122" t="inlineStr">
        <is>
          <t>Non</t>
        </is>
      </c>
      <c r="F1122" t="inlineStr">
        <is>
          <t>https://www.audiophonics.fr/fr/dac-portables/crinear-protocol-max-p-21200.html</t>
        </is>
      </c>
      <c r="G1122" s="26" t="inlineStr">
        <is>
          <t>Sorties : Jack 3.5mm / Jack 4.4mm</t>
        </is>
      </c>
      <c r="H1122" t="inlineStr">
        <is>
          <t>2026-08-10</t>
        </is>
      </c>
    </row>
    <row r="1123">
      <c r="A1123" t="n">
        <v>175</v>
      </c>
      <c r="B1123" t="inlineStr">
        <is>
          <t>CrinEar</t>
        </is>
      </c>
      <c r="C1123" t="inlineStr">
        <is>
          <t>Protocol Max</t>
        </is>
      </c>
      <c r="D1123" t="inlineStr">
        <is>
          <t>6.35mm</t>
        </is>
      </c>
      <c r="E1123" t="inlineStr">
        <is>
          <t>Non</t>
        </is>
      </c>
      <c r="F1123" t="inlineStr">
        <is>
          <t>https://www.audiophonics.fr/fr/dac-portables/crinear-protocol-max-p-21200.html</t>
        </is>
      </c>
      <c r="G1123" s="26" t="inlineStr">
        <is>
          <t>Sorties : Jack 3.5mm / Jack 4.4mm</t>
        </is>
      </c>
      <c r="H1123" t="inlineStr">
        <is>
          <t>2026-08-10</t>
        </is>
      </c>
    </row>
    <row r="1124">
      <c r="A1124" t="n">
        <v>175</v>
      </c>
      <c r="B1124" t="inlineStr">
        <is>
          <t>CrinEar</t>
        </is>
      </c>
      <c r="C1124" t="inlineStr">
        <is>
          <t>Protocol Max</t>
        </is>
      </c>
      <c r="D1124" t="inlineStr">
        <is>
          <t>XLR</t>
        </is>
      </c>
      <c r="E1124" t="inlineStr">
        <is>
          <t>Non</t>
        </is>
      </c>
      <c r="F1124" t="inlineStr">
        <is>
          <t>https://www.audiophonics.fr/fr/dac-portables/crinear-protocol-max-p-21200.html</t>
        </is>
      </c>
      <c r="G1124" s="26" t="inlineStr">
        <is>
          <t>Sorties : Jack 3.5mm / Jack 4.4mm</t>
        </is>
      </c>
      <c r="H1124" t="inlineStr">
        <is>
          <t>2026-08-10</t>
        </is>
      </c>
    </row>
    <row r="1125">
      <c r="A1125" t="n">
        <v>175</v>
      </c>
      <c r="B1125" t="inlineStr">
        <is>
          <t>CrinEar</t>
        </is>
      </c>
      <c r="C1125" t="inlineStr">
        <is>
          <t>Protocol Max</t>
        </is>
      </c>
      <c r="D1125" t="inlineStr">
        <is>
          <t>DSP/PEQ</t>
        </is>
      </c>
      <c r="E1125" t="inlineStr">
        <is>
          <t>Oui</t>
        </is>
      </c>
      <c r="F1125" t="inlineStr">
        <is>
          <t>https://www.audiophonics.fr/fr/dac-portables/crinear-protocol-max-p-21200.html</t>
        </is>
      </c>
      <c r="G1125" s="26" t="inlineStr">
        <is>
          <t>À cela s'ajoute une fonction d'EQ paramétrique avec l'outil disponible sur navigateur Hangout.Audio Graph Tool. [...] Grâce à l'outil Hangout.Audio Graph Tool disponible directement sur navigateur via un ordinateur Windows ou OSX, le Protocol Max peut stocker des profils d'égalisations afin de customiser le rendu sonore.</t>
        </is>
      </c>
      <c r="H1125" t="inlineStr">
        <is>
          <t>2026-08-10</t>
        </is>
      </c>
    </row>
    <row r="1126">
      <c r="A1126" t="n">
        <v>176</v>
      </c>
      <c r="B1126" t="inlineStr">
        <is>
          <t>ROSESELSA</t>
        </is>
      </c>
      <c r="C1126" t="inlineStr">
        <is>
          <t>RS9029</t>
        </is>
      </c>
      <c r="D1126" t="inlineStr">
        <is>
          <t>Bluetooth</t>
        </is>
      </c>
      <c r="E1126" t="inlineStr">
        <is>
          <t>Non</t>
        </is>
      </c>
      <c r="F1126" t="inlineStr">
        <is>
          <t>https://www.audiophonics.fr/en/portable-dac-and-mobile/roseselsa-rs9039-p-20739.html</t>
        </is>
      </c>
      <c r="G1126" s="26" t="inlineStr">
        <is>
          <t>Input : USB</t>
        </is>
      </c>
      <c r="H1126" t="inlineStr">
        <is>
          <t>2026-08-10</t>
        </is>
      </c>
    </row>
    <row r="1127">
      <c r="A1127" t="n">
        <v>176</v>
      </c>
      <c r="B1127" t="inlineStr">
        <is>
          <t>ROSESELSA</t>
        </is>
      </c>
      <c r="C1127" t="inlineStr">
        <is>
          <t>RS9029</t>
        </is>
      </c>
      <c r="D1127" t="inlineStr">
        <is>
          <t>3.5mm</t>
        </is>
      </c>
      <c r="E1127" t="inlineStr">
        <is>
          <t>Oui</t>
        </is>
      </c>
      <c r="F1127" t="inlineStr">
        <is>
          <t>https://www.audiophonics.fr/en/portable-dac-and-mobile/roseselsa-rs9039-p-20739.html</t>
        </is>
      </c>
      <c r="G1127" s="26" t="inlineStr">
        <is>
          <t>Output : Jack 3.5mm / Jack 4.4mm</t>
        </is>
      </c>
      <c r="H1127" t="inlineStr">
        <is>
          <t>2026-08-10</t>
        </is>
      </c>
    </row>
    <row r="1128">
      <c r="A1128" t="n">
        <v>176</v>
      </c>
      <c r="B1128" t="inlineStr">
        <is>
          <t>ROSESELSA</t>
        </is>
      </c>
      <c r="C1128" t="inlineStr">
        <is>
          <t>RS9029</t>
        </is>
      </c>
      <c r="D1128" t="inlineStr">
        <is>
          <t>4.4mm</t>
        </is>
      </c>
      <c r="E1128" t="inlineStr">
        <is>
          <t>Oui</t>
        </is>
      </c>
      <c r="F1128" t="inlineStr">
        <is>
          <t>https://www.audiophonics.fr/en/portable-dac-and-mobile/roseselsa-rs9039-p-20739.html</t>
        </is>
      </c>
      <c r="G1128" s="26" t="inlineStr">
        <is>
          <t>Output : Jack 3.5mm / Jack 4.4mm</t>
        </is>
      </c>
      <c r="H1128" t="inlineStr">
        <is>
          <t>2026-08-10</t>
        </is>
      </c>
    </row>
    <row r="1129">
      <c r="A1129" t="n">
        <v>176</v>
      </c>
      <c r="B1129" t="inlineStr">
        <is>
          <t>ROSESELSA</t>
        </is>
      </c>
      <c r="C1129" t="inlineStr">
        <is>
          <t>RS9029</t>
        </is>
      </c>
      <c r="D1129" t="inlineStr">
        <is>
          <t>2.5mm</t>
        </is>
      </c>
      <c r="E1129" t="inlineStr">
        <is>
          <t>Non</t>
        </is>
      </c>
      <c r="F1129" t="inlineStr">
        <is>
          <t>https://www.audiophonics.fr/en/portable-dac-and-mobile/roseselsa-rs9039-p-20739.html</t>
        </is>
      </c>
      <c r="G1129" s="26" t="inlineStr">
        <is>
          <t>Output : Jack 3.5mm / Jack 4.4mm</t>
        </is>
      </c>
      <c r="H1129" t="inlineStr">
        <is>
          <t>2026-08-10</t>
        </is>
      </c>
    </row>
    <row r="1130">
      <c r="A1130" t="n">
        <v>176</v>
      </c>
      <c r="B1130" t="inlineStr">
        <is>
          <t>ROSESELSA</t>
        </is>
      </c>
      <c r="C1130" t="inlineStr">
        <is>
          <t>RS9029</t>
        </is>
      </c>
      <c r="D1130" t="inlineStr">
        <is>
          <t>6.35mm</t>
        </is>
      </c>
      <c r="E1130" t="inlineStr">
        <is>
          <t>Non</t>
        </is>
      </c>
      <c r="F1130" t="inlineStr">
        <is>
          <t>https://www.audiophonics.fr/en/portable-dac-and-mobile/roseselsa-rs9039-p-20739.html</t>
        </is>
      </c>
      <c r="G1130" s="26" t="inlineStr">
        <is>
          <t>Output : Jack 3.5mm / Jack 4.4mm</t>
        </is>
      </c>
      <c r="H1130" t="inlineStr">
        <is>
          <t>2026-08-10</t>
        </is>
      </c>
    </row>
    <row r="1131">
      <c r="A1131" t="n">
        <v>176</v>
      </c>
      <c r="B1131" t="inlineStr">
        <is>
          <t>ROSESELSA</t>
        </is>
      </c>
      <c r="C1131" t="inlineStr">
        <is>
          <t>RS9029</t>
        </is>
      </c>
      <c r="D1131" t="inlineStr">
        <is>
          <t>XLR</t>
        </is>
      </c>
      <c r="E1131" t="inlineStr">
        <is>
          <t>Non</t>
        </is>
      </c>
      <c r="F1131" t="inlineStr">
        <is>
          <t>https://www.audiophonics.fr/en/portable-dac-and-mobile/roseselsa-rs9039-p-20739.html</t>
        </is>
      </c>
      <c r="G1131" s="26" t="inlineStr">
        <is>
          <t>Output : Jack 3.5mm / Jack 4.4mm</t>
        </is>
      </c>
      <c r="H1131" t="inlineStr">
        <is>
          <t>2026-08-10</t>
        </is>
      </c>
    </row>
    <row r="1132">
      <c r="A1132" t="n">
        <v>177</v>
      </c>
      <c r="B1132" t="inlineStr">
        <is>
          <t>iFi audio</t>
        </is>
      </c>
      <c r="C1132" t="inlineStr">
        <is>
          <t>GO Link 2 Max</t>
        </is>
      </c>
      <c r="D1132" t="inlineStr">
        <is>
          <t>Bluetooth</t>
        </is>
      </c>
      <c r="E1132" t="inlineStr">
        <is>
          <t>Non</t>
        </is>
      </c>
      <c r="F1132" t="inlineStr">
        <is>
          <t>https://ifi-audio.com/products/go-link-2-max</t>
        </is>
      </c>
      <c r="G1132" s="26" t="inlineStr">
        <is>
          <t>DIGITAL INPUTS: USB-C</t>
        </is>
      </c>
      <c r="H1132" t="inlineStr">
        <is>
          <t>2026-08-10</t>
        </is>
      </c>
    </row>
    <row r="1133">
      <c r="A1133" t="n">
        <v>177</v>
      </c>
      <c r="B1133" t="inlineStr">
        <is>
          <t>iFi audio</t>
        </is>
      </c>
      <c r="C1133" t="inlineStr">
        <is>
          <t>GO Link 2 Max</t>
        </is>
      </c>
      <c r="D1133" t="inlineStr">
        <is>
          <t>3.5mm</t>
        </is>
      </c>
      <c r="E1133" t="inlineStr">
        <is>
          <t>Oui</t>
        </is>
      </c>
      <c r="F1133" t="inlineStr">
        <is>
          <t>https://ifi-audio.com/products/go-link-2-max</t>
        </is>
      </c>
      <c r="G1133" s="26" t="inlineStr">
        <is>
          <t>HEADPHONE OUTPUT: Balanced 4.4mm; S-Balanced* 3.5mm</t>
        </is>
      </c>
      <c r="H1133" t="inlineStr">
        <is>
          <t>2026-08-10</t>
        </is>
      </c>
    </row>
    <row r="1134">
      <c r="A1134" t="n">
        <v>177</v>
      </c>
      <c r="B1134" t="inlineStr">
        <is>
          <t>iFi audio</t>
        </is>
      </c>
      <c r="C1134" t="inlineStr">
        <is>
          <t>GO Link 2 Max</t>
        </is>
      </c>
      <c r="D1134" t="inlineStr">
        <is>
          <t>4.4mm</t>
        </is>
      </c>
      <c r="E1134" t="inlineStr">
        <is>
          <t>Oui</t>
        </is>
      </c>
      <c r="F1134" t="inlineStr">
        <is>
          <t>https://ifi-audio.com/products/go-link-2-max</t>
        </is>
      </c>
      <c r="G1134" s="26" t="inlineStr">
        <is>
          <t>HEADPHONE OUTPUT: Balanced 4.4mm; S-Balanced* 3.5mm</t>
        </is>
      </c>
      <c r="H1134" t="inlineStr">
        <is>
          <t>2026-08-10</t>
        </is>
      </c>
    </row>
    <row r="1135">
      <c r="A1135" t="n">
        <v>177</v>
      </c>
      <c r="B1135" t="inlineStr">
        <is>
          <t>iFi audio</t>
        </is>
      </c>
      <c r="C1135" t="inlineStr">
        <is>
          <t>GO Link 2 Max</t>
        </is>
      </c>
      <c r="D1135" t="inlineStr">
        <is>
          <t>2.5mm</t>
        </is>
      </c>
      <c r="E1135" t="inlineStr">
        <is>
          <t>Non</t>
        </is>
      </c>
      <c r="F1135" t="inlineStr">
        <is>
          <t>https://ifi-audio.com/products/go-link-2-max</t>
        </is>
      </c>
      <c r="G1135" s="26" t="inlineStr">
        <is>
          <t>HEADPHONE OUTPUT: Balanced 4.4mm; S-Balanced* 3.5mm</t>
        </is>
      </c>
      <c r="H1135" t="inlineStr">
        <is>
          <t>2026-08-10</t>
        </is>
      </c>
    </row>
    <row r="1136">
      <c r="A1136" t="n">
        <v>177</v>
      </c>
      <c r="B1136" t="inlineStr">
        <is>
          <t>iFi audio</t>
        </is>
      </c>
      <c r="C1136" t="inlineStr">
        <is>
          <t>GO Link 2 Max</t>
        </is>
      </c>
      <c r="D1136" t="inlineStr">
        <is>
          <t>6.35mm</t>
        </is>
      </c>
      <c r="E1136" t="inlineStr">
        <is>
          <t>Non</t>
        </is>
      </c>
      <c r="F1136" t="inlineStr">
        <is>
          <t>https://ifi-audio.com/products/go-link-2-max</t>
        </is>
      </c>
      <c r="G1136" s="26" t="inlineStr">
        <is>
          <t>HEADPHONE OUTPUT: Balanced 4.4mm; S-Balanced* 3.5mm</t>
        </is>
      </c>
      <c r="H1136" t="inlineStr">
        <is>
          <t>2026-08-10</t>
        </is>
      </c>
    </row>
    <row r="1137">
      <c r="A1137" t="n">
        <v>177</v>
      </c>
      <c r="B1137" t="inlineStr">
        <is>
          <t>iFi audio</t>
        </is>
      </c>
      <c r="C1137" t="inlineStr">
        <is>
          <t>GO Link 2 Max</t>
        </is>
      </c>
      <c r="D1137" t="inlineStr">
        <is>
          <t>XLR</t>
        </is>
      </c>
      <c r="E1137" t="inlineStr">
        <is>
          <t>Non</t>
        </is>
      </c>
      <c r="F1137" t="inlineStr">
        <is>
          <t>https://ifi-audio.com/products/go-link-2-max</t>
        </is>
      </c>
      <c r="G1137" s="26" t="inlineStr">
        <is>
          <t>HEADPHONE OUTPUT: Balanced 4.4mm; S-Balanced* 3.5mm</t>
        </is>
      </c>
      <c r="H1137" t="inlineStr">
        <is>
          <t>2026-08-10</t>
        </is>
      </c>
    </row>
    <row r="1138">
      <c r="A1138" t="n">
        <v>178</v>
      </c>
      <c r="B1138" t="inlineStr">
        <is>
          <t>Fosi Audio</t>
        </is>
      </c>
      <c r="C1138" t="inlineStr">
        <is>
          <t>DS1</t>
        </is>
      </c>
      <c r="D1138" t="inlineStr">
        <is>
          <t>Bluetooth</t>
        </is>
      </c>
      <c r="E1138" t="inlineStr">
        <is>
          <t>Non</t>
        </is>
      </c>
      <c r="F1138" t="inlineStr">
        <is>
          <t>https://www.audiophonics.fr/fr/amplificateurs-casque-mobiles/fosi-audio-ds1-amplificateur-casque-dac-portable-2x-es9038q2m-symetrique-32bit-768khz-dsd512-p-16996.html</t>
        </is>
      </c>
      <c r="G1138" s="26" t="inlineStr">
        <is>
          <t>Entrées : 1* USB-C</t>
        </is>
      </c>
      <c r="H1138" t="inlineStr">
        <is>
          <t>2026-08-10</t>
        </is>
      </c>
    </row>
    <row r="1139">
      <c r="A1139" t="n">
        <v>178</v>
      </c>
      <c r="B1139" t="inlineStr">
        <is>
          <t>Fosi Audio</t>
        </is>
      </c>
      <c r="C1139" t="inlineStr">
        <is>
          <t>DS1</t>
        </is>
      </c>
      <c r="D1139" t="inlineStr">
        <is>
          <t>3.5mm</t>
        </is>
      </c>
      <c r="E1139" t="inlineStr">
        <is>
          <t>Oui</t>
        </is>
      </c>
      <c r="F1139" t="inlineStr">
        <is>
          <t>https://www.audiophonics.fr/fr/amplificateurs-casque-mobiles/fosi-audio-ds1-amplificateur-casque-dac-portable-2x-es9038q2m-symetrique-32bit-768khz-dsd512-p-16996.html</t>
        </is>
      </c>
      <c r="G1139" s="26" t="inlineStr">
        <is>
          <t>Sorties : 1* Jack 3.5mm asymétrique / 1* Jack 4.4mm symétrique</t>
        </is>
      </c>
      <c r="H1139" t="inlineStr">
        <is>
          <t>2026-08-10</t>
        </is>
      </c>
    </row>
    <row r="1140">
      <c r="A1140" t="n">
        <v>178</v>
      </c>
      <c r="B1140" t="inlineStr">
        <is>
          <t>Fosi Audio</t>
        </is>
      </c>
      <c r="C1140" t="inlineStr">
        <is>
          <t>DS1</t>
        </is>
      </c>
      <c r="D1140" t="inlineStr">
        <is>
          <t>4.4mm</t>
        </is>
      </c>
      <c r="E1140" t="inlineStr">
        <is>
          <t>Oui</t>
        </is>
      </c>
      <c r="F1140" t="inlineStr">
        <is>
          <t>https://www.audiophonics.fr/fr/amplificateurs-casque-mobiles/fosi-audio-ds1-amplificateur-casque-dac-portable-2x-es9038q2m-symetrique-32bit-768khz-dsd512-p-16996.html</t>
        </is>
      </c>
      <c r="G1140" s="26" t="inlineStr">
        <is>
          <t>Sorties : 1* Jack 3.5mm asymétrique / 1* Jack 4.4mm symétrique</t>
        </is>
      </c>
      <c r="H1140" t="inlineStr">
        <is>
          <t>2026-08-10</t>
        </is>
      </c>
    </row>
    <row r="1141">
      <c r="A1141" t="n">
        <v>178</v>
      </c>
      <c r="B1141" t="inlineStr">
        <is>
          <t>Fosi Audio</t>
        </is>
      </c>
      <c r="C1141" t="inlineStr">
        <is>
          <t>DS1</t>
        </is>
      </c>
      <c r="D1141" t="inlineStr">
        <is>
          <t>2.5mm</t>
        </is>
      </c>
      <c r="E1141" t="inlineStr">
        <is>
          <t>Non</t>
        </is>
      </c>
      <c r="F1141" t="inlineStr">
        <is>
          <t>https://www.audiophonics.fr/fr/amplificateurs-casque-mobiles/fosi-audio-ds1-amplificateur-casque-dac-portable-2x-es9038q2m-symetrique-32bit-768khz-dsd512-p-16996.html</t>
        </is>
      </c>
      <c r="G1141" s="26" t="inlineStr">
        <is>
          <t>Sorties : 1* Jack 3.5mm asymétrique / 1* Jack 4.4mm symétrique</t>
        </is>
      </c>
      <c r="H1141" t="inlineStr">
        <is>
          <t>2026-08-10</t>
        </is>
      </c>
    </row>
    <row r="1142">
      <c r="A1142" t="n">
        <v>178</v>
      </c>
      <c r="B1142" t="inlineStr">
        <is>
          <t>Fosi Audio</t>
        </is>
      </c>
      <c r="C1142" t="inlineStr">
        <is>
          <t>DS1</t>
        </is>
      </c>
      <c r="D1142" t="inlineStr">
        <is>
          <t>6.35mm</t>
        </is>
      </c>
      <c r="E1142" t="inlineStr">
        <is>
          <t>Non</t>
        </is>
      </c>
      <c r="F1142" t="inlineStr">
        <is>
          <t>https://www.audiophonics.fr/fr/amplificateurs-casque-mobiles/fosi-audio-ds1-amplificateur-casque-dac-portable-2x-es9038q2m-symetrique-32bit-768khz-dsd512-p-16996.html</t>
        </is>
      </c>
      <c r="G1142" s="26" t="inlineStr">
        <is>
          <t>Sorties : 1* Jack 3.5mm asymétrique / 1* Jack 4.4mm symétrique</t>
        </is>
      </c>
      <c r="H1142" t="inlineStr">
        <is>
          <t>2026-08-10</t>
        </is>
      </c>
    </row>
    <row r="1143">
      <c r="A1143" t="n">
        <v>178</v>
      </c>
      <c r="B1143" t="inlineStr">
        <is>
          <t>Fosi Audio</t>
        </is>
      </c>
      <c r="C1143" t="inlineStr">
        <is>
          <t>DS1</t>
        </is>
      </c>
      <c r="D1143" t="inlineStr">
        <is>
          <t>XLR</t>
        </is>
      </c>
      <c r="E1143" t="inlineStr">
        <is>
          <t>Non</t>
        </is>
      </c>
      <c r="F1143" t="inlineStr">
        <is>
          <t>https://www.audiophonics.fr/fr/amplificateurs-casque-mobiles/fosi-audio-ds1-amplificateur-casque-dac-portable-2x-es9038q2m-symetrique-32bit-768khz-dsd512-p-16996.html</t>
        </is>
      </c>
      <c r="G1143" s="26" t="inlineStr">
        <is>
          <t>Sorties : 1* Jack 3.5mm asymétrique / 1* Jack 4.4mm symétrique</t>
        </is>
      </c>
      <c r="H1143" t="inlineStr">
        <is>
          <t>2026-08-10</t>
        </is>
      </c>
    </row>
    <row r="1144">
      <c r="A1144" t="n">
        <v>179</v>
      </c>
      <c r="B1144" t="inlineStr">
        <is>
          <t>Tanchjim</t>
        </is>
      </c>
      <c r="C1144" t="inlineStr">
        <is>
          <t>Space</t>
        </is>
      </c>
      <c r="D1144" t="inlineStr">
        <is>
          <t>Bluetooth</t>
        </is>
      </c>
      <c r="E1144" t="inlineStr">
        <is>
          <t>Non</t>
        </is>
      </c>
      <c r="F1144" t="inlineStr">
        <is>
          <t>https://www.audiophonics.fr/fr/dac-portables/tanchjim-space-dac-usb-portable-2x-cs43131-symetrique-32bit-384khz-dsd256-p-17668.html</t>
        </is>
      </c>
      <c r="G1144" s="26" t="inlineStr">
        <is>
          <t>Entrées : 1* USB-C</t>
        </is>
      </c>
      <c r="H1144" t="inlineStr">
        <is>
          <t>2026-08-10</t>
        </is>
      </c>
    </row>
    <row r="1145">
      <c r="A1145" t="n">
        <v>179</v>
      </c>
      <c r="B1145" t="inlineStr">
        <is>
          <t>Tanchjim</t>
        </is>
      </c>
      <c r="C1145" t="inlineStr">
        <is>
          <t>Space</t>
        </is>
      </c>
      <c r="D1145" t="inlineStr">
        <is>
          <t>3.5mm</t>
        </is>
      </c>
      <c r="E1145" t="inlineStr">
        <is>
          <t>Oui</t>
        </is>
      </c>
      <c r="F1145" t="inlineStr">
        <is>
          <t>https://www.audiophonics.fr/fr/dac-portables/tanchjim-space-dac-usb-portable-2x-cs43131-symetrique-32bit-384khz-dsd256-p-17668.html</t>
        </is>
      </c>
      <c r="G1145" s="26" t="inlineStr">
        <is>
          <t>Sorties : 1* Sortie casque Jack 3.5mm asymétrique / 1* Sortie casque Jack 4.4mm sysmétrique</t>
        </is>
      </c>
      <c r="H1145" t="inlineStr">
        <is>
          <t>2026-08-10</t>
        </is>
      </c>
    </row>
    <row r="1146">
      <c r="A1146" t="n">
        <v>179</v>
      </c>
      <c r="B1146" t="inlineStr">
        <is>
          <t>Tanchjim</t>
        </is>
      </c>
      <c r="C1146" t="inlineStr">
        <is>
          <t>Space</t>
        </is>
      </c>
      <c r="D1146" t="inlineStr">
        <is>
          <t>4.4mm</t>
        </is>
      </c>
      <c r="E1146" t="inlineStr">
        <is>
          <t>Oui</t>
        </is>
      </c>
      <c r="F1146" t="inlineStr">
        <is>
          <t>https://www.audiophonics.fr/fr/dac-portables/tanchjim-space-dac-usb-portable-2x-cs43131-symetrique-32bit-384khz-dsd256-p-17668.html</t>
        </is>
      </c>
      <c r="G1146" s="26" t="inlineStr">
        <is>
          <t>Sorties : 1* Sortie casque Jack 3.5mm asymétrique / 1* Sortie casque Jack 4.4mm sysmétrique</t>
        </is>
      </c>
      <c r="H1146" t="inlineStr">
        <is>
          <t>2026-08-10</t>
        </is>
      </c>
    </row>
    <row r="1147">
      <c r="A1147" t="n">
        <v>179</v>
      </c>
      <c r="B1147" t="inlineStr">
        <is>
          <t>Tanchjim</t>
        </is>
      </c>
      <c r="C1147" t="inlineStr">
        <is>
          <t>Space</t>
        </is>
      </c>
      <c r="D1147" t="inlineStr">
        <is>
          <t>2.5mm</t>
        </is>
      </c>
      <c r="E1147" t="inlineStr">
        <is>
          <t>Non</t>
        </is>
      </c>
      <c r="F1147" t="inlineStr">
        <is>
          <t>https://www.audiophonics.fr/fr/dac-portables/tanchjim-space-dac-usb-portable-2x-cs43131-symetrique-32bit-384khz-dsd256-p-17668.html</t>
        </is>
      </c>
      <c r="G1147" s="26" t="inlineStr">
        <is>
          <t>Sorties : 1* Sortie casque Jack 3.5mm asymétrique / 1* Sortie casque Jack 4.4mm sysmétrique</t>
        </is>
      </c>
      <c r="H1147" t="inlineStr">
        <is>
          <t>2026-08-10</t>
        </is>
      </c>
    </row>
    <row r="1148">
      <c r="A1148" t="n">
        <v>179</v>
      </c>
      <c r="B1148" t="inlineStr">
        <is>
          <t>Tanchjim</t>
        </is>
      </c>
      <c r="C1148" t="inlineStr">
        <is>
          <t>Space</t>
        </is>
      </c>
      <c r="D1148" t="inlineStr">
        <is>
          <t>6.35mm</t>
        </is>
      </c>
      <c r="E1148" t="inlineStr">
        <is>
          <t>Non</t>
        </is>
      </c>
      <c r="F1148" t="inlineStr">
        <is>
          <t>https://www.audiophonics.fr/fr/dac-portables/tanchjim-space-dac-usb-portable-2x-cs43131-symetrique-32bit-384khz-dsd256-p-17668.html</t>
        </is>
      </c>
      <c r="G1148" s="26" t="inlineStr">
        <is>
          <t>Sorties : 1* Sortie casque Jack 3.5mm asymétrique / 1* Sortie casque Jack 4.4mm sysmétrique</t>
        </is>
      </c>
      <c r="H1148" t="inlineStr">
        <is>
          <t>2026-08-10</t>
        </is>
      </c>
    </row>
    <row r="1149">
      <c r="A1149" t="n">
        <v>179</v>
      </c>
      <c r="B1149" t="inlineStr">
        <is>
          <t>Tanchjim</t>
        </is>
      </c>
      <c r="C1149" t="inlineStr">
        <is>
          <t>Space</t>
        </is>
      </c>
      <c r="D1149" t="inlineStr">
        <is>
          <t>XLR</t>
        </is>
      </c>
      <c r="E1149" t="inlineStr">
        <is>
          <t>Non</t>
        </is>
      </c>
      <c r="F1149" t="inlineStr">
        <is>
          <t>https://www.audiophonics.fr/fr/dac-portables/tanchjim-space-dac-usb-portable-2x-cs43131-symetrique-32bit-384khz-dsd256-p-17668.html</t>
        </is>
      </c>
      <c r="G1149" s="26" t="inlineStr">
        <is>
          <t>Sorties : 1* Sortie casque Jack 3.5mm asymétrique / 1* Sortie casque Jack 4.4mm sysmétrique</t>
        </is>
      </c>
      <c r="H1149" t="inlineStr">
        <is>
          <t>2026-08-10</t>
        </is>
      </c>
    </row>
    <row r="1152">
      <c r="A1152" s="28" t="inlineStr">
        <is>
          <t>Produits pour lesquels des champs sont restés vides — motif rapporté</t>
        </is>
      </c>
    </row>
    <row r="1153">
      <c r="A1153" s="28" t="inlineStr">
        <is>
          <t>Ligne</t>
        </is>
      </c>
      <c r="B1153" s="28" t="inlineStr">
        <is>
          <t>Marque</t>
        </is>
      </c>
      <c r="C1153" s="28" t="inlineStr">
        <is>
          <t>Modèle</t>
        </is>
      </c>
      <c r="D1153" s="28" t="inlineStr">
        <is>
          <t>Motif</t>
        </is>
      </c>
    </row>
    <row r="1154">
      <c r="A1154" t="n">
        <v>6</v>
      </c>
      <c r="B1154" t="inlineStr">
        <is>
          <t>Cayin</t>
        </is>
      </c>
      <c r="C1154" t="inlineStr">
        <is>
          <t>N7</t>
        </is>
      </c>
      <c r="D1154" s="26" t="inlineStr">
        <is>
          <t>La page constructeur fournie en entrée (en.cayin.cn) est HORS SERVICE : elle redirige en 302 vers http://wanwang.aliyun.com/hosting/manual_stop/ (hébergement suspendu). Sources de repli : HiFiGo (revendeur, specs recopiées) + headfonics + ecoustics. 2,5 mm / 6,35 mm / XLR = Non sur la base de l'énumération exhaustive des 4 ports analogiques par headfonics, et de la mention explicite ecoustics de l'absence de port 2,5 mm. dsp_peq laissé vide : aucune des pages ouvertes ne décrit d'EQ/DSP réglable (la page 2 de headfonics, consacrée au logiciel, n'a pas été ouverte).</t>
        </is>
      </c>
    </row>
    <row r="1155">
      <c r="A1155" t="n">
        <v>7</v>
      </c>
      <c r="B1155" t="inlineStr">
        <is>
          <t>Topping</t>
        </is>
      </c>
      <c r="C1155" t="inlineStr">
        <is>
          <t>L70</t>
        </is>
      </c>
      <c r="D1155" s="26" t="inlineStr">
        <is>
          <t>Le site constructeur toppingaudio.com/product-item/l70 est un SPA JS : l'onglet Specs ne renvoie aucun contenu extractible. Repli sur audiophonics (2 pages, tableau de specs recopié) + headfonics. RÉSERVE sur out_3_5 : le texte marketing constructeur repris par shenzhenaudio annonce « compatible with common headphone jacks including: 4-pin XLR balanced, 4.4mm balanced, 6.35mm single-ended, and 3.5mm single ended », mais les trois listes de connecteurs réels (audiophonics ×2, headfonics) n'énumèrent que 6,35 / 4,4 / XLR-4, et l'accessoire fourni est un « Adaptateur Jack 6.35mm vers Jack 3.5mm » — j'ai donc retenu Non (pas de prise 3,5 mm physique), l'affirmation « compatible 3,5 mm » portant sur l'adaptateur. batterie=Non appuyé sur la prise secteur 3 broches + câble d'alimentation fourni (appareil sédentaire) ; aucune source ouverte n'écrit littéralement « pas de batterie ». dsp_peq laissé vide : aucune mention d'EQ/DSP.</t>
        </is>
      </c>
    </row>
    <row r="1156">
      <c r="A1156" t="n">
        <v>8</v>
      </c>
      <c r="B1156" t="inlineStr">
        <is>
          <t>iBasso</t>
        </is>
      </c>
      <c r="C1156" t="inlineStr">
        <is>
          <t>DC-Elite</t>
        </is>
      </c>
      <c r="D1156" s="26" t="inlineStr">
        <is>
          <t>Tableau de specs constructeur recopié chez audiophonics, avec liste de sorties explicitement fermée (« 3 sorties »). dsp_peq = Non : l'énumération des fonctions de l'app UAC est fermée (réduction de volume PCM, filtres numériques, balance L/R) et ni EQ ni DSP paramétrable n'y figure ; les 2 filtres numériques ne comptent pas comme DSP au sens de la consigne.</t>
        </is>
      </c>
    </row>
    <row r="1157">
      <c r="A1157" t="n">
        <v>9</v>
      </c>
      <c r="B1157" t="inlineStr">
        <is>
          <t>Quloos</t>
        </is>
      </c>
      <c r="C1157" t="inlineStr">
        <is>
          <t>MUB1</t>
        </is>
      </c>
      <c r="D1157" s="26" t="inlineStr">
        <is>
          <t>Le tableau « Quloos MUB1 Specifications » de moonstarreviews est le tableau constructeur recopié : liste de sorties fermée, entrées fermées (Type-C data, Type-C alimentation, Bluetooth sans fil). dsp_peq laissé vide : la source ne mentionne que « 5 kind of Digital Filter including NOS » et un réglage de gain, ce qui n'est pas un EQ/DSP paramétrable au sens de la consigne, et la liste des réglages du menu se termine par « etc. » (donc non exhaustive → pas de Non non plus).</t>
        </is>
      </c>
    </row>
    <row r="1158">
      <c r="A1158" t="n">
        <v>10</v>
      </c>
      <c r="B1158" t="inlineStr">
        <is>
          <t>Cayin</t>
        </is>
      </c>
      <c r="C1158" t="inlineStr">
        <is>
          <t>RU7</t>
        </is>
      </c>
      <c r="D1158" s="26" t="inlineStr">
        <is>
          <t>Une seule source ouverte (headfonics), la page constructeur Cayin étant hors service (voir ligne 6). La section I/O énumère de façon fermée l'ensemble des connecteurs (USB-C à l'arrière, 3,5 + 4,4 à l'avant), ce qui autorise les Non sur 2,5 / 6,35 / XLR et sur le Bluetooth. dsp_peq = Non sur la base de l'énumération fermée du menu de réglages ; « all-to-DSD » est un sur-échantillonnage, pas un EQ.</t>
        </is>
      </c>
    </row>
    <row r="1159">
      <c r="A1159" t="n">
        <v>11</v>
      </c>
      <c r="B1159" t="inlineStr">
        <is>
          <t>Dethonray</t>
        </is>
      </c>
      <c r="C1159" t="inlineStr">
        <is>
          <t>Clarinet</t>
        </is>
      </c>
      <c r="D1159" s="26" t="inlineStr">
        <is>
          <t>Description fermée des deux faces de l'appareil (façade + face opposée) → Non autorisé sur 2,5 / 6,35 / XLR. Liste d'entrées fermée (USB, optique, coaxial) → Bluetooth Non. dsp_peq laissé vide : aucune mention d'EQ, de DSP ni d'application de contrôle dans la page ouverte.</t>
        </is>
      </c>
    </row>
    <row r="1160">
      <c r="A1160" t="n">
        <v>12</v>
      </c>
      <c r="B1160" t="inlineStr">
        <is>
          <t>Moondrop</t>
        </is>
      </c>
      <c r="C1160" t="inlineStr">
        <is>
          <t>Moonriver 3</t>
        </is>
      </c>
      <c r="D1160" s="26" t="inlineStr">
        <is>
          <t>batterie = Non fondé sur la connectique : l'alimentation arrive par un port USB-C dédié, aucune batterie interne n'est mentionnée dans le tableau de specs. dsp_peq = Oui : PEQ explicite avec réglage fréquence/gain/Q, activable par bouton physique.</t>
        </is>
      </c>
    </row>
    <row r="1161">
      <c r="A1161" t="n">
        <v>13</v>
      </c>
      <c r="B1161" t="inlineStr">
        <is>
          <t>ONIX</t>
        </is>
      </c>
      <c r="C1161" t="inlineStr">
        <is>
          <t>Beta XI2</t>
        </is>
      </c>
      <c r="D1161" s="26" t="inlineStr">
        <is>
          <t>Deux sources concordantes. dsp_peq = Non appuyé sur une affirmation explicite d'ecoustics (« No in-built EQ on the unit or the accompanying app », reprise dans le corps de la review : « What's less welcome is the absence of an equalizer »). Les 5 filtres numériques sélectionnables ne comptent pas comme EQ/DSP.</t>
        </is>
      </c>
    </row>
    <row r="1162">
      <c r="A1162" t="n">
        <v>14</v>
      </c>
      <c r="B1162" t="inlineStr">
        <is>
          <t>MUSE HiFi</t>
        </is>
      </c>
      <c r="C1162" t="inlineStr">
        <is>
          <t>M6 Double</t>
        </is>
      </c>
      <c r="D1162" s="26" t="inlineStr">
        <is>
          <t>Deux sources concordantes (tableau de specs audiophonics + description I/O headfonics). dsp_peq = Non sur la base de l'énumération fermée des fonctions réglables (« all of which can be controlled and adjusted »), aucune application de contrôle n'étant par ailleurs mentionnée pour ce modèle ; le « filter » cité est un filtre numérique du DAC. Réserve : MUSE HiFi ne publie pas de fiche de specs complète (headfonics : « MUSE HiFi has never published other specifications, including the power output »).</t>
        </is>
      </c>
    </row>
    <row r="1163">
      <c r="A1163" t="n">
        <v>15</v>
      </c>
      <c r="B1163" t="inlineStr">
        <is>
          <t>Questyle</t>
        </is>
      </c>
      <c r="C1163" t="inlineStr">
        <is>
          <t>M15i</t>
        </is>
      </c>
      <c r="D1163" s="26" t="inlineStr">
        <is>
          <t>batterie laissée vide : aucune des deux sources ouvertes ne dit explicitement que le M15i est alimenté par le bus USB ni qu'il n'a pas de batterie (audiodiscourse mentionne seulement que la conception « optimizes battery usage better », sans préciser de quelle batterie il s'agit). dsp_peq vide : aucune mention d'EQ, de DSP ni d'application de contrôle.</t>
        </is>
      </c>
    </row>
    <row r="1164">
      <c r="A1164" t="n">
        <v>16</v>
      </c>
      <c r="B1164" t="inlineStr">
        <is>
          <t>Shanling</t>
        </is>
      </c>
      <c r="C1164" t="inlineStr">
        <is>
          <t>UA7</t>
        </is>
      </c>
      <c r="D1164" s="26" t="inlineStr">
        <is>
          <t>Trois déclinaisons couleur de la même fiche audiophonics ouvertes, identiques sur les 8 champs. dsp_peq laissé vide : la fiche décrit l'app Eddict Player avec une liste OUVERTE (« des réglages avancés tels que le gain, les filtres numériques du DAC, la gestion du volume ou le choix du mode d'amplification ») — « tels que » interdit d'en conclure Non, et aucun EQ/PEQ n'est mentionné, donc pas de Oui.</t>
        </is>
      </c>
    </row>
    <row r="1165">
      <c r="A1165" t="n">
        <v>17</v>
      </c>
      <c r="B1165" t="inlineStr">
        <is>
          <t>iBasso</t>
        </is>
      </c>
      <c r="C1165" t="inlineStr">
        <is>
          <t>DC07PRO</t>
        </is>
      </c>
      <c r="D1165" s="26" t="inlineStr">
        <is>
          <t>batterie = Non : la section « Power Drain &amp; Supply » de moonstarreviews établit que l'appareil tire son courant (80 mA) de la source (le téléphone/iPhone), aucune batterie interne n'étant mentionnée nulle part ; formulation un peu moins directe qu'un « Alimentation : via USB-C » de fiche technique, à revérifier si l'enjeu est fort. dsp_peq laissé vide : la liste des réglages de l'app UAC est ouverte (« hardware volume control, low &amp; high gain, low &amp; high pass filters, L/R balance adjustment, and many more ») et ne mentionne pas d'EQ.</t>
        </is>
      </c>
    </row>
    <row r="1166">
      <c r="A1166" t="n">
        <v>18</v>
      </c>
      <c r="B1166" t="inlineStr">
        <is>
          <t>Shanling</t>
        </is>
      </c>
      <c r="C1166" t="inlineStr">
        <is>
          <t>UA6 II</t>
        </is>
      </c>
      <c r="D1166" s="26" t="inlineStr">
        <is>
          <t>Produit le moins bien documenté du lot : une seule source réellement lisible (audiophonics). batterie laissée VIDE bien qu'un extrait de moteur de recherche attribue au fil officiel Shanling sur Head-Fi la phrase « UA6II has no battery. The one USB port is enough to provide it with all the power needed for its circuit. » — la page Head-Fi est bloquée par un challenge Cloudflare (via get_content ET via WebFetch) et Reddit renvoie « blocked due to network policy », donc je n'ai pas pu ouvrir la source : conformément à la consigne je ne remplis pas depuis un extrait de SERP. La fiche audiophonics n'a ni ligne « Alimentation » ni ligne « Batterie ». dsp_peq vide : la fiche indique seulement « Télécommande | Application de contrôle » sans en détailler les fonctions. Ne pas confondre avec le UA6 de 1re génération.</t>
        </is>
      </c>
    </row>
    <row r="1167">
      <c r="A1167" t="n">
        <v>19</v>
      </c>
      <c r="B1167" t="inlineStr">
        <is>
          <t>ONIX</t>
        </is>
      </c>
      <c r="C1167" t="inlineStr">
        <is>
          <t>Alpha XI1</t>
        </is>
      </c>
      <c r="D1167" s="26" t="inlineStr">
        <is>
          <t>batterie = Non : headfonics mesure l'autonomie en pourcentage de décharge du téléphone, l'appareil est donc alimenté par la source (aucune batterie interne mentionnée dans les deux sources). dsp_peq laissé VIDE pour CONTRADICTION : audiophonics écrit que l'app « offre la possibilité d'ajuster le rendu sonore grâce à 5 filtres » (donc pas d'EQ) tandis que headfonics écrit « The app has a decent music player with a 10-band equalizer » — mais cet égaliseur 10 bandes appartient au lecteur intégré de l'app Eddict Player, pas nécessairement au DSP de l'appareil, et il n'est pas paramétrique ; par ailleurs ecoustics affirme pour le Beta XI2 (même app Eddict) qu'il n'y a « No in-built EQ on the unit or the accompanying app ». Trop incertain pour trancher. Ne pas confondre avec le Beta XI2 (ligne 13).</t>
        </is>
      </c>
    </row>
    <row r="1168">
      <c r="A1168" t="n">
        <v>20</v>
      </c>
      <c r="B1168" t="inlineStr">
        <is>
          <t>xDuoo</t>
        </is>
      </c>
      <c r="C1168" t="inlineStr">
        <is>
          <t>XD05 BAL 2</t>
        </is>
      </c>
      <c r="D1168" s="26" t="inlineStr">
        <is>
          <t>La page constructeur xduoo.net/preview/xd05-bal2 est ouverte mais quasi vide de specs (marketing seul : DAC, puissance, PCM/DSD, prix) : aucun tableau de connectique, aucune mention de batterie ni de sorties. Toutes les valeurs viennent donc de headfonics, qui décrit l'I/O face par face (façade = sortie 6,35 mm + 4,4 mm ; côtés = molette de volume et 3 boutons ; entrées = coax/optique, AES et 3,5 mm ; arrière = USB-C) : le 3,5 mm de cet appareil est une ENTRÉE, d'où out_3_5 = Non. dsp_peq laissé VIDE par ambiguïté : headfonics parle de « 3 small physical buttons that control EQ filters, BT, and input modes » et d'un « bass switch » physique — impossible de savoir si ces « EQ filters » sont un vrai DSP réglable ou les filtres numériques du DAC ; ni EQ paramétrique ni application de contrôle ne sont mentionnés.</t>
        </is>
      </c>
    </row>
    <row r="1169">
      <c r="A1169" t="n">
        <v>21</v>
      </c>
      <c r="B1169" t="inlineStr">
        <is>
          <t>Dethonray</t>
        </is>
      </c>
      <c r="C1169" t="inlineStr">
        <is>
          <t>Pegasus SG1</t>
        </is>
      </c>
      <c r="D1169" s="26" t="inlineStr">
        <is>
          <t>Sorties 'Non' fondées sur la ligne de specs constructeur des sorties, qui se lit comme exhaustive. dsp_peq laissé vide : la page constructeur ne mentionne ni EQ ni DSP réglable (silence, pas une négation). headfonia renvoie 403, non consultable.</t>
        </is>
      </c>
    </row>
    <row r="1170">
      <c r="A1170" t="n">
        <v>22</v>
      </c>
      <c r="B1170" t="inlineStr">
        <is>
          <t>Shanling</t>
        </is>
      </c>
      <c r="C1170" t="inlineStr">
        <is>
          <t>H5 MQA</t>
        </is>
      </c>
      <c r="D1170" s="26" t="inlineStr">
        <is>
          <t>La revue Headfonics confirme l'absence de 6,35 mm ('lacks a 6.35mm PO on the front panel'). dsp_peq vide : la fiche constructeur ne liste que 'Digital Filters：6 Preset Filters', ce qui n'est pas un DSP/PEQ au sens de la consigne.</t>
        </is>
      </c>
    </row>
    <row r="1171">
      <c r="A1171" t="n">
        <v>23</v>
      </c>
      <c r="B1171" t="inlineStr">
        <is>
          <t>xDuoo</t>
        </is>
      </c>
      <c r="C1171" t="inlineStr">
        <is>
          <t>POKE II</t>
        </is>
      </c>
      <c r="D1171" s="26" t="inlineStr">
        <is>
          <t>Page constructeur xduoo.com/xduoo.net en 404 : revendeur HiFiGo utilisé. Sorties 2,5/6,35/XLR laissées vides : aucune ligne de specs de sorties se lisant comme exhaustive. dsp_peq = Oui au titre d'un EQ embarqué réglable par l'utilisateur (bass/treble ±10 dB + presets) — ce n'est pas un PEQ multibande, à qualifier si le tableau distingue les deux.</t>
        </is>
      </c>
    </row>
    <row r="1172">
      <c r="A1172" t="n">
        <v>24</v>
      </c>
      <c r="B1172" t="inlineStr">
        <is>
          <t>FiiO</t>
        </is>
      </c>
      <c r="C1172" t="inlineStr">
        <is>
          <t>BTR17</t>
        </is>
      </c>
      <c r="D1172" s="26" t="inlineStr">
        <is>
          <t>Autonomie divergente entre sources (FiiO : ~8 h en LDAC ; Audiophonics : 10 h asymétrique / 9 h symétrique) — n'affecte pas le champ batterie (présence attestée dans les deux cas).</t>
        </is>
      </c>
    </row>
    <row r="1173">
      <c r="A1173" t="n">
        <v>25</v>
      </c>
      <c r="B1173" t="inlineStr">
        <is>
          <t>FiiO</t>
        </is>
      </c>
      <c r="C1173" t="inlineStr">
        <is>
          <t>QX13</t>
        </is>
      </c>
      <c r="D1173" s="26" t="inlineStr">
        <is>
          <t>batterie = Non : la comparaison Headfonics indique explicitement que le système à batterie hybride est un avantage du Shanling UP6 sur le QX13 ; la page FiiO ne liste aucune batterie. Le 3,5 mm sert aussi de sortie SPDIF.</t>
        </is>
      </c>
    </row>
    <row r="1174">
      <c r="A1174" t="n">
        <v>26</v>
      </c>
      <c r="B1174" t="inlineStr">
        <is>
          <t>SMSL</t>
        </is>
      </c>
      <c r="C1174" t="inlineStr">
        <is>
          <t>DS20</t>
        </is>
      </c>
      <c r="D1174" s="26" t="inlineStr">
        <is>
          <t>Headfonics confirme la batterie ('6000mAh lithium-ion battery'). bluetooth laissé vide : aucune source ouverte ne dit explicitement 'pas de Bluetooth' (la ligne d'entrée '1x USB-C' d'Audiophonics n'a pas été jugée suffisamment probante comme liste exhaustive). dsp_peq vide : aucune mention d'EQ/DSP dans les sources ouvertes.</t>
        </is>
      </c>
    </row>
    <row r="1175">
      <c r="A1175" t="n">
        <v>27</v>
      </c>
      <c r="B1175" t="inlineStr">
        <is>
          <t>MUSE HiFi</t>
        </is>
      </c>
      <c r="C1175" t="inlineStr">
        <is>
          <t>M5 Ultra</t>
        </is>
      </c>
      <c r="D1175" s="26" t="inlineStr">
        <is>
          <t>dsp_peq vide : la fiche ne liste que 'Supports Seven Digital Filters.' et trois niveaux de gain — exclus par la consigne.</t>
        </is>
      </c>
    </row>
    <row r="1176">
      <c r="A1176" t="n">
        <v>28</v>
      </c>
      <c r="B1176" t="inlineStr">
        <is>
          <t>Topping</t>
        </is>
      </c>
      <c r="C1176" t="inlineStr">
        <is>
          <t>G5</t>
        </is>
      </c>
      <c r="D1176" s="26" t="inlineStr">
        <is>
          <t>Page constructeur Topping consultée mais l'onglet Specs n'a pas pu être extrait : tableau de specs recopié de MoonStar Reviews utilisé. dsp_peq vide : la fiche ne liste que trois niveaux de gain ; la revue regrette même l'absence d'un réglage de grave, mais ce n'est pas une négation formelle d'un EQ/DSP.</t>
        </is>
      </c>
    </row>
    <row r="1177">
      <c r="A1177" t="n">
        <v>29</v>
      </c>
      <c r="B1177" t="inlineStr">
        <is>
          <t>Shanling</t>
        </is>
      </c>
      <c r="C1177" t="inlineStr">
        <is>
          <t>UA6</t>
        </is>
      </c>
      <c r="D1177" s="26" t="inlineStr">
        <is>
          <t>Page produit Shanling UA6 inaccessible (403). La batterie de 220 mAh est décrite comme hybride, assistant l'alimentation USB — 'the UA6 has a lower noise floor due to the hybrid battery'. 2,5/6,35/XLR vides : la fiche technique ne donne pas de ligne 'sorties' exhaustive. dsp_peq vide : seulement 'Digital filters: Five options', exclu par la consigne.</t>
        </is>
      </c>
    </row>
    <row r="1178">
      <c r="A1178" t="n">
        <v>30</v>
      </c>
      <c r="B1178" t="inlineStr">
        <is>
          <t>Questyle</t>
        </is>
      </c>
      <c r="C1178" t="inlineStr">
        <is>
          <t>M15C</t>
        </is>
      </c>
      <c r="D1178" s="26" t="inlineStr">
        <is>
          <t>batterie vide : aucune source ouverte n'affirme explicitement l'absence de batterie (la fiche technique Headfonics n'a pas de ligne batterie ; Bloom Audio évoque seulement l'optimisation de la consommation du téléphone) — pas de déduction. bluetooth vide : aucune liste d'entrées exhaustive. dsp_peq = Non, corroboré par Headfonics : 'The KA15 has become my default DAC thanks to a versatile signature that can be adjusted through the onboard EQ and filter settings. The M15C does not offer an equivalent feature set'. 2,5/6,35/XLR vides faute de liste exhaustive.</t>
        </is>
      </c>
    </row>
    <row r="1179">
      <c r="A1179" t="n">
        <v>31</v>
      </c>
      <c r="B1179" t="inlineStr">
        <is>
          <t>iBasso</t>
        </is>
      </c>
      <c r="C1179" t="inlineStr">
        <is>
          <t>DC-Tonfa</t>
        </is>
      </c>
      <c r="D1179" s="26" t="inlineStr">
        <is>
          <t>batterie vide : la fiche ne mentionne aucune batterie et n'affirme pas non plus l'alimentation par le bus (la phrase 'cleaner than most battery-operated devices' est une comparaison marketing, pas une négation). bluetooth vide : pas de liste d'entrées exhaustive (seule l'entrée USB est spécifiée). dsp_peq vide : 'Dedicated NOS Mode+4 Custom Digital Filters' = filtres numériques, exclus par la consigne. Le 3,5 mm sert aussi de sortie SPDIF optique.</t>
        </is>
      </c>
    </row>
    <row r="1180">
      <c r="A1180" t="n">
        <v>32</v>
      </c>
      <c r="B1180" t="inlineStr">
        <is>
          <t>Questyle</t>
        </is>
      </c>
      <c r="C1180" t="inlineStr">
        <is>
          <t>M18i Max</t>
        </is>
      </c>
      <c r="D1180" s="26" t="inlineStr">
        <is>
          <t>Contradiction interne à la source sur la capacité : la fiche technique dit 'Battery: 180mAh' alors que le corps de la revue dit 'scaling up from a 500mAh battery to an 1800mAh battery' — la présence d'une batterie reste attestée dans les deux cas, seule la valeur est douteuse. dsp_peq vide : la fiche technique ne liste que 'Gain: standard, high'.</t>
        </is>
      </c>
    </row>
    <row r="1181">
      <c r="A1181" t="n">
        <v>33</v>
      </c>
      <c r="B1181" t="inlineStr">
        <is>
          <t>AFUL</t>
        </is>
      </c>
      <c r="C1181" t="inlineStr">
        <is>
          <t>ICEBORNE</t>
        </is>
      </c>
      <c r="D1181" s="26" t="inlineStr">
        <is>
          <t>batterie et bluetooth laissés vides : ni la page constructeur AFUL ni la fiche technique Headfonics ne mentionnent de batterie ou de Bluetooth, mais aucune ne l'exclut explicitement — pas de déduction depuis un silence. dsp_peq vide : aucune mention d'EQ/DSP.</t>
        </is>
      </c>
    </row>
    <row r="1182">
      <c r="A1182" t="n">
        <v>34</v>
      </c>
      <c r="B1182" t="inlineStr">
        <is>
          <t>Fosi Audio</t>
        </is>
      </c>
      <c r="C1182" t="inlineStr">
        <is>
          <t>MD3</t>
        </is>
      </c>
      <c r="D1182" s="26" t="inlineStr">
        <is>
          <t>batterie laissée vide pour contradiction/ambiguïté : Headfonics écrit qu'il 'appears the MD3 lacks an internal battery, as it only turns on when plugged into a USB source' mais aussi que 'the spec sheet says both USB-C ports also act as charging ports' ; la page Fosi ne liste que l'alimentation par double USB-C sans dire s'il y a une batterie. dsp_peq vide : aucun EQ/DSP réglable mentionné (seul un 'digital filter' est évoqué, exclu par la consigne).</t>
        </is>
      </c>
    </row>
    <row r="1183">
      <c r="A1183" t="n">
        <v>35</v>
      </c>
      <c r="B1183" t="inlineStr">
        <is>
          <t>iFi audio</t>
        </is>
      </c>
      <c r="C1183" t="inlineStr">
        <is>
          <t>GO link 2</t>
        </is>
      </c>
      <c r="D1183" s="26" t="inlineStr">
        <is>
          <t>La ligne de specs constructeur 'Headphone Output: S-Balanced 3.5mm' est unique et se lit comme exhaustive (confirmée par Audio46 et Headfonics : '3.5mm with S Balanced'). dsp_peq vide : seuls 'two digital filters - hybrid and linear' via l'app iFi Nexis, exclus par la consigne ; Headfonics ajoute 'The GO link 2 has no gain function and two filters', ce qui ne constitue pas une négation formelle d'un EQ.</t>
        </is>
      </c>
    </row>
    <row r="1184">
      <c r="A1184" t="n">
        <v>36</v>
      </c>
      <c r="B1184" t="inlineStr">
        <is>
          <t>MUSE HiFi</t>
        </is>
      </c>
      <c r="C1184" t="inlineStr">
        <is>
          <t>M3 Ultra</t>
        </is>
      </c>
      <c r="D1184" s="26" t="inlineStr">
        <is>
          <t>batterie laissée vide : aucune des 4 pages ouvertes (dont le tableau de specs constructeur recopié par Headfonics et la liste ecoustics) ne dit explicitement s'il y a une batterie interne ou une alimentation par le bus USB ; ecoustics parle seulement de la consommation sur le téléphone hôte (« Higher battery drain than more efficient solid-state USB-C dongles »), ce qui ne suffit pas. Sorties « Non » fondées sur la ligne exhaustive « Output Options » du tableau de specs.</t>
        </is>
      </c>
    </row>
    <row r="1185">
      <c r="A1185" t="n">
        <v>37</v>
      </c>
      <c r="B1185" t="inlineStr">
        <is>
          <t>xDuoo</t>
        </is>
      </c>
      <c r="C1185" t="inlineStr">
        <is>
          <t>Link3</t>
        </is>
      </c>
      <c r="D1185" s="26" t="inlineStr">
        <is>
          <t>dsp_peq = Non malgré 4 presets d'EQ (Music/Movie/Game/Off) : la source précise explicitement « No Custom EQ » et « no parametric or user-adjustable EQ available ». Les 4 filtres numériques FIR ne comptent pas. batterie = Non : l'appareil tire son alimentation du téléphone/PC ou du 2e port USB-C dédié (Power Consumption: 5V / 0.27A).</t>
        </is>
      </c>
    </row>
    <row r="1186">
      <c r="A1186" t="n">
        <v>38</v>
      </c>
      <c r="B1186" t="inlineStr">
        <is>
          <t>xDuoo</t>
        </is>
      </c>
      <c r="C1186" t="inlineStr">
        <is>
          <t>XP-2 Bal</t>
        </is>
      </c>
      <c r="D1186" s="26" t="inlineStr">
        <is>
          <t>2,5 mm / 6,35 mm / XLR laissés vides : le tableau de specs xDuoo ne comporte aucune ligne « Output » listant les jacks, seulement les puissances SE/Bal ; la mention 3,5 + 4,4 vient de la prose de la revue et je ne la considère pas comme une liste exhaustive. dsp_peq vide : aucune mention d'EQ, de DSP ni d'application compagnon dans les pages ouvertes (seuls un potentiomètre analogique et un switch de gain sont décrits).</t>
        </is>
      </c>
    </row>
    <row r="1187">
      <c r="A1187" t="n">
        <v>39</v>
      </c>
      <c r="B1187" t="inlineStr">
        <is>
          <t>iBasso</t>
        </is>
      </c>
      <c r="C1187" t="inlineStr">
        <is>
          <t>PB6 MACAW</t>
        </is>
      </c>
      <c r="D1187" s="26" t="inlineStr">
        <is>
          <t>dsp_peq laissé vide : le tableau de specs complet ne mentionne aucun EQ/DSP, mais aucune source ouverte ne l'affirme explicitement (l'appareil est un ampli analogique sans DAC — je refuse de le déduire).</t>
        </is>
      </c>
    </row>
    <row r="1188">
      <c r="A1188" t="n">
        <v>40</v>
      </c>
      <c r="B1188" t="inlineStr">
        <is>
          <t>HiBy</t>
        </is>
      </c>
      <c r="C1188" t="inlineStr">
        <is>
          <t>W4</t>
        </is>
      </c>
      <c r="D1188" s="26" t="inlineStr">
        <is>
          <t>Les sorties sont citées depuis la section comparaison Headfonics (même site, formulation « both 3.5 mm and 4.4 mm output jacks » = liste exhaustive) car le tableau de specs de la revue W4 a des libellés tronqués (« 5 PO: 125 mW », « 4 BAL: 475 mW »). dsp_peq vide : ni Headfonics ni Headfonia n'évoquent d'EQ/PEQ/MSEB ni d'app pour ce modèle.</t>
        </is>
      </c>
    </row>
    <row r="1189">
      <c r="A1189" t="n">
        <v>41</v>
      </c>
      <c r="B1189" t="inlineStr">
        <is>
          <t>Questyle</t>
        </is>
      </c>
      <c r="C1189" t="inlineStr">
        <is>
          <t>SIGMA Pro</t>
        </is>
      </c>
      <c r="D1189" s="26" t="inlineStr">
        <is>
          <t>Codecs BT confirmés dans la même liste (« SBC, LE audio, aptX, aptX HD, aptX Adaptive, LDAC »). dsp_peq vide : aucune mention d'EQ/DSP réglable dans le tableau de specs ni dans le texte (la revue évoque seulement un EQ générique utilisé par le testeur avec un casque).</t>
        </is>
      </c>
    </row>
    <row r="1190">
      <c r="A1190" t="n">
        <v>42</v>
      </c>
      <c r="B1190" t="inlineStr">
        <is>
          <t>iBasso</t>
        </is>
      </c>
      <c r="C1190" t="inlineStr">
        <is>
          <t>D17 Atheris</t>
        </is>
      </c>
      <c r="D1190" s="26" t="inlineStr">
        <is>
          <t>bluetooth = Non confirmé aussi par la liste exhaustive des entrées (« Input Interface - USB-C (Data) ; Coaxial ; Optical »). dsp_peq vide : les 3 modes de DAC (R2R OS/NOS et 1-bit SD) sont des modes de conversion/filtre, exclus par la consigne ; aucun EQ paramétrique mentionné.</t>
        </is>
      </c>
    </row>
    <row r="1191">
      <c r="A1191" t="n">
        <v>43</v>
      </c>
      <c r="B1191" t="inlineStr">
        <is>
          <t>Cayin</t>
        </is>
      </c>
      <c r="C1191" t="inlineStr">
        <is>
          <t>RU3</t>
        </is>
      </c>
      <c r="D1191" s="26" t="inlineStr">
        <is>
          <t>batterie = Non : Porta-Fi indique explicitement l'alimentation par le bus USB (« Power Supply: DC 5V ≥ 1A » dans le même tableau). PEQ confirmé deux fois (Headfonics « 10-band parametric EQ », Porta-Fi « 10-band dynamic EQ adjustment » via l'app).</t>
        </is>
      </c>
    </row>
    <row r="1192">
      <c r="A1192" t="n">
        <v>44</v>
      </c>
      <c r="B1192" t="inlineStr">
        <is>
          <t>FiiO</t>
        </is>
      </c>
      <c r="C1192" t="inlineStr">
        <is>
          <t>SNOWSKY Tiny</t>
        </is>
      </c>
      <c r="D1192" s="26" t="inlineStr">
        <is>
          <t>ATTENTION : deux variantes. Le 4,4 mm cité vient du tableau « FiiO SNOWSKY Tiny B Technical Specifications » ; la version A n'a que « Headphone Jack: 3.5mm (single-ended), USB-C (passthrough charging) ». Les 3 « Non » de sorties valent pour chacune des deux listes. batterie et bluetooth laissés vides : aucune source ouverte ne dit explicitement que l'appareil est alimenté par le bus / dépourvu de batterie, ni ne fournit de liste d'entrées exhaustive.</t>
        </is>
      </c>
    </row>
    <row r="1193">
      <c r="A1193" t="n">
        <v>45</v>
      </c>
      <c r="B1193" t="inlineStr">
        <is>
          <t>Khadas</t>
        </is>
      </c>
      <c r="C1193" t="inlineStr">
        <is>
          <t>Tea Pro</t>
        </is>
      </c>
      <c r="D1193" s="26" t="inlineStr">
        <is>
          <t>dsp_peq laissé vide sur contradiction : la page constructeur ne décrit que des presets (« 7 EQ Modes: Normal, Classic, Jazz, Rock, Pop, Bass, and Blues »), ce qui n'est pas un EQ paramétrique, tandis que Headfonics parle de « the inclusion of the Khadas Audio App for equalizer adjustments » sans préciser s'il est réglable bande par bande. Batterie 2100 mAh confirmée aussi par le tableau Headfonics (« Power &amp; Battery Capacity: 2100 mAh »).</t>
        </is>
      </c>
    </row>
    <row r="1194">
      <c r="A1194" t="n">
        <v>46</v>
      </c>
      <c r="B1194" t="inlineStr">
        <is>
          <t>ddHiFi</t>
        </is>
      </c>
      <c r="C1194" t="inlineStr">
        <is>
          <t>TC44Grip</t>
        </is>
      </c>
      <c r="D1194" s="26" t="inlineStr">
        <is>
          <t>batterie, bluetooth et dsp_peq laissés vides : le tableau de specs Headfonics est très court (4 lignes) et ne mentionne ni alimentation, ni entrées, ni EQ ; la page produit ddHiFi et bloomaudio ont refusé l'accès (blocage). Le « USB-C PD pass-through charging up to 60 W » concerne la recharge du téléphone, pas une batterie interne — je ne le convertis pas en « Non ».</t>
        </is>
      </c>
    </row>
    <row r="1195">
      <c r="A1195" t="n">
        <v>47</v>
      </c>
      <c r="B1195" t="inlineStr">
        <is>
          <t>ddHiFi</t>
        </is>
      </c>
      <c r="C1195" t="inlineStr">
        <is>
          <t>TC44 Pro E3</t>
        </is>
      </c>
      <c r="D1195" s="26" t="inlineStr">
        <is>
          <t>bluetooth = Non sur la formulation explicite « pure wired dongle » opposée au concurrent doté d'une puce Bluetooth. batterie laissée vide : la même phrase ne dit pas d'où vient l'alimentation. dsp_peq vide : seuls des boutons volume/gain et des LED sont décrits, aucune mention d'EQ ni d'app.</t>
        </is>
      </c>
    </row>
    <row r="1196">
      <c r="A1196" t="n">
        <v>48</v>
      </c>
      <c r="B1196" t="inlineStr">
        <is>
          <t>xDuoo</t>
        </is>
      </c>
      <c r="C1196" t="inlineStr">
        <is>
          <t>Link10</t>
        </is>
      </c>
      <c r="D1196" s="26" t="inlineStr">
        <is>
          <t>batterie = Non explicite (« battery-free operation »). dsp_peq = Non cité depuis la section comparaison Headfonics de la revue Cayin RU3, qui traite explicitement du Link10 ; les 5 modes de filtre numérique du Link10 sont exclus par la consigne.</t>
        </is>
      </c>
    </row>
    <row r="1197">
      <c r="A1197" t="n">
        <v>49</v>
      </c>
      <c r="B1197" t="inlineStr">
        <is>
          <t>FiiO</t>
        </is>
      </c>
      <c r="C1197" t="inlineStr">
        <is>
          <t>JIEZI</t>
        </is>
      </c>
      <c r="D1197" s="26" t="inlineStr">
        <is>
          <t>Deux variantes : JIEZI A = 3,5 mm, JIEZI B = 4,4 mm (une seule sortie par unité, jamais les deux). Le tableau de specs Headfonics ne couvre que la B (« Output: 4.4mm (JIEZI B) »). batterie laissée vide : aucune des deux revues ne dit explicitement que le dongle est alimenté par le bus / sans batterie. PEQ confirmé aussi par Headfonics (« its built-in DSP EQ, which will allow you to adjust its sound signature »).</t>
        </is>
      </c>
    </row>
    <row r="1198">
      <c r="A1198" t="n">
        <v>50</v>
      </c>
      <c r="B1198" t="inlineStr">
        <is>
          <t>FiiO</t>
        </is>
      </c>
      <c r="C1198" t="inlineStr">
        <is>
          <t>SNOWSKY Melody</t>
        </is>
      </c>
      <c r="D1198" s="26" t="inlineStr">
        <is>
          <t>PEQ recoupé par la revue Cayin RU3 du même site (« The SNOWSKY Melody, like the RU3, features a 10-Band DSP EQ that can be controlled via the Fiio Control App »). batterie laissée vide : le tableau de specs FiiO ne comporte aucune ligne d'alimentation et aucune source ouverte n'affirme explicitement l'absence de batterie.</t>
        </is>
      </c>
    </row>
    <row r="1199">
      <c r="A1199" t="n">
        <v>51</v>
      </c>
      <c r="B1199" t="inlineStr">
        <is>
          <t>xDuoo</t>
        </is>
      </c>
      <c r="C1199" t="inlineStr">
        <is>
          <t>XD05 Basic2</t>
        </is>
      </c>
      <c r="D1199" s="26" t="inlineStr">
        <is>
          <t>out_3_5 laissé vide : la seule sortie casque est le 6,35 mm, mais l'appareil possède une sortie AUX arrière (accessoire fourni : « 3.5mm to 3.5mm AUX cable ») sans qu'aucune source ouverte n'affirme explicitement que ce connecteur AUX est un 3,5 mm — ni « Oui » ni « Non » n'est sourçable. dsp_peq vide : seules un bass boost +6dB et des filtres/gain sont documentés, pas d'EQ paramétrique. Divergence relevée sur la tension de la batterie (Headfonics « 7V / 3000mAh » vs Apos « 3.7V / 3000mAh ») — sans effet sur la présence de la batterie.</t>
        </is>
      </c>
    </row>
    <row r="1200">
      <c r="A1200" t="n">
        <v>52</v>
      </c>
      <c r="B1200" t="inlineStr">
        <is>
          <t>iBasso</t>
        </is>
      </c>
      <c r="C1200" t="inlineStr">
        <is>
          <t>Nunchaku</t>
        </is>
      </c>
      <c r="D1200" s="26" t="inlineStr">
        <is>
          <t>batterie vide : aucune source ouverte n'affirme explicitement l'absence de batterie interne ni l'alimentation par le bus (la consommation « 120mA/5V » citée ne le dit pas explicitement). bluetooth vide : aucune liste exhaustive d'entrées trouvée. dsp_peq vide : l'app UAC n'est décrite que pour le mode timbre / écran / S-PDIF, aucun EQ mentionné.</t>
        </is>
      </c>
    </row>
    <row r="1201">
      <c r="A1201" t="n">
        <v>53</v>
      </c>
      <c r="B1201" t="inlineStr">
        <is>
          <t>NiPO</t>
        </is>
      </c>
      <c r="C1201" t="inlineStr">
        <is>
          <t>A100</t>
        </is>
      </c>
      <c r="D1201" s="26" t="inlineStr">
        <is>
          <t>dsp_peq vide : la source ne mentionne que neuf filtres numériques accessibles par le bouton G et précise « Neither has an app » — un filtre de DAC n'est pas un DSP/PEQ, et aucune source n'exclut formellement tout EQ.</t>
        </is>
      </c>
    </row>
    <row r="1202">
      <c r="A1202" t="n">
        <v>54</v>
      </c>
      <c r="B1202" t="inlineStr">
        <is>
          <t>ddHiFi</t>
        </is>
      </c>
      <c r="C1202" t="inlineStr">
        <is>
          <t>TC44Pro M3</t>
        </is>
      </c>
      <c r="D1202" s="26" t="inlineStr">
        <is>
          <t>batterie vide : la fiche constructeur ne mentionne aucune batterie et ne dit pas explicitement que l'appareil est alimenté par le bus USB. dsp_peq vide : la fiche constructeur décrit les fonctions (DAC, prises, LED, dragonne) sans mentionner ni EQ ni DSP réglable.</t>
        </is>
      </c>
    </row>
    <row r="1203">
      <c r="A1203" t="n">
        <v>55</v>
      </c>
      <c r="B1203" t="inlineStr">
        <is>
          <t>Cayin</t>
        </is>
      </c>
      <c r="C1203" t="inlineStr">
        <is>
          <t>RU9</t>
        </is>
      </c>
      <c r="D1203" s="26" t="inlineStr">
        <is>
          <t>dsp_peq = Non : la liste complète du menu de réglages ne contient aucun EQ (seuls filtres PCM/DSD, gain, luminosité), et la même source précise « no app support ».</t>
        </is>
      </c>
    </row>
    <row r="1204">
      <c r="A1204" t="n">
        <v>56</v>
      </c>
      <c r="B1204" t="inlineStr">
        <is>
          <t>Shanling</t>
        </is>
      </c>
      <c r="C1204" t="inlineStr">
        <is>
          <t>UP6</t>
        </is>
      </c>
      <c r="D1204" s="26" t="inlineStr">
        <is>
          <t>dsp_peq = Oui : EQ personnalisable embarqué et via l'app Eddict (« built-in user tweakable equalizer presets », « you can customize the EQ presets, load them up to the UP6 »).</t>
        </is>
      </c>
    </row>
    <row r="1205">
      <c r="A1205" t="n">
        <v>57</v>
      </c>
      <c r="B1205" t="inlineStr">
        <is>
          <t>Questyle</t>
        </is>
      </c>
      <c r="C1205" t="inlineStr">
        <is>
          <t>M18i</t>
        </is>
      </c>
      <c r="D1205" s="26" t="inlineStr">
        <is>
          <t>dsp_peq = Non : la source indique que le M18i n'a aucun moyen de modeler sa signature et « the M18i has no app to count on ».</t>
        </is>
      </c>
    </row>
    <row r="1206">
      <c r="A1206" t="n">
        <v>58</v>
      </c>
      <c r="B1206" t="inlineStr">
        <is>
          <t>FiiO</t>
        </is>
      </c>
      <c r="C1206" t="inlineStr">
        <is>
          <t>RR11</t>
        </is>
      </c>
      <c r="D1206" s="26" t="inlineStr">
        <is>
          <t>bluetooth vide : aucune liste exhaustive d'entrées trouvée sur une source fiable, la page constructeur fiio.com/rr11 n'a pas pu être extraite ; l'absence de Bluetooth n'est affirmée par aucune source ouverte. dsp_peq vide : seule une bascule « two-stage Magic Bass switch (the second adds a 3D effect) » est documentée, ce n'est pas un EQ paramétrique.</t>
        </is>
      </c>
    </row>
    <row r="1207">
      <c r="A1207" t="n">
        <v>59</v>
      </c>
      <c r="B1207" t="inlineStr">
        <is>
          <t>EarMen</t>
        </is>
      </c>
      <c r="C1207" t="inlineStr">
        <is>
          <t>L-Amp</t>
        </is>
      </c>
      <c r="D1207" s="26" t="inlineStr">
        <is>
          <t>Attention : ne pas confondre avec le L-Amp MK2 (modèle distinct) ; les données ci-dessus viennent de la revue du L-Amp de 1re génération. batterie vide : la source indique une alimentation depuis la source ou un port USB-C d'alimentation externe, sans affirmer explicitement l'absence de batterie interne. bluetooth vide : aucune liste exhaustive d'entrées. dsp_peq vide : seuls un interrupteur Bass+ et un interrupteur IEM sont documentés, pas un EQ paramétrique.</t>
        </is>
      </c>
    </row>
    <row r="1208">
      <c r="A1208" t="n">
        <v>60</v>
      </c>
      <c r="B1208" t="inlineStr">
        <is>
          <t>FiiO</t>
        </is>
      </c>
      <c r="C1208" t="inlineStr">
        <is>
          <t>SNOWSKY RETRO NANO</t>
        </is>
      </c>
      <c r="D1208" s="26" t="inlineStr">
        <is>
          <t>Confirmations croisées Headfonics : « On top is a single-ended 3.5mm port, while below sits the coveted 4.4mm balanced output port », « Unusual in most modern products is a fully rechargeable and replaceable battery » et support LDAC. Écart mineur non tranché entre sources sur la version Bluetooth (5.1 chez audio46), sans incidence sur le champ.</t>
        </is>
      </c>
    </row>
    <row r="1209">
      <c r="A1209" t="n">
        <v>61</v>
      </c>
      <c r="B1209" t="inlineStr">
        <is>
          <t>Cayin</t>
        </is>
      </c>
      <c r="C1209" t="inlineStr">
        <is>
          <t>C9ii</t>
        </is>
      </c>
      <c r="D1209" s="26" t="inlineStr">
        <is>
          <t>bluetooth vide : aucune des deux revues ouvertes ne mentionne le Bluetooth et aucune ne fournit une liste d'entrées présentée comme exhaustive (la fiche indique seulement « Dual Input Mode: Line | Preamp »). dsp_peq vide : réglages analogiques uniquement (timbre SS/Modern/Classic, tension d'anode, NFB, classes A/AB), aucun EQ ni DSP évoqué, mais aucune source n'exclut formellement tout EQ.</t>
        </is>
      </c>
    </row>
    <row r="1210">
      <c r="A1210" t="n">
        <v>62</v>
      </c>
      <c r="B1210" t="inlineStr">
        <is>
          <t>ddHiFi</t>
        </is>
      </c>
      <c r="C1210" t="inlineStr">
        <is>
          <t>TC35M2</t>
        </is>
      </c>
      <c r="D1210" s="26" t="inlineStr">
        <is>
          <t>La page constructeur ouverte (ddhifi.com/en/product/tc35m2/) n'a livré que les extraits de revues, pas son tableau de specs — les champs reposent donc sur la revue Headfonics, qui décrit l'appareil comme n'ayant que deux extrémités (USB-C d'un côté, 3,5 mm de l'autre). batterie vide : aucune mention de batterie ni affirmation explicite d'alimentation par le bus. dsp_peq vide : aucune mention d'EQ ou de DSP.</t>
        </is>
      </c>
    </row>
    <row r="1211">
      <c r="A1211" t="n">
        <v>63</v>
      </c>
      <c r="B1211" t="inlineStr">
        <is>
          <t>iFi audio</t>
        </is>
      </c>
      <c r="C1211" t="inlineStr">
        <is>
          <t>GO link Max</t>
        </is>
      </c>
      <c r="D1211" s="26" t="inlineStr">
        <is>
          <t>batterie = Non appuyé deux fois : « a dongle that has no battery » (hiendportable) et « No battery to charge » dans les Pros (hifichicken). dsp_peq = Non : aucun réglage ni bouton, la même revue précise qu'il faut passer par l'EQ du lecteur pour corriger le son.</t>
        </is>
      </c>
    </row>
    <row r="1212">
      <c r="A1212" t="n">
        <v>64</v>
      </c>
      <c r="B1212" t="inlineStr">
        <is>
          <t>Heartfield</t>
        </is>
      </c>
      <c r="C1212" t="inlineStr">
        <is>
          <t>R1</t>
        </is>
      </c>
      <c r="D1212" s="26" t="inlineStr">
        <is>
          <t>Source = tableau « Technical Details » du revendeur Linsoul (lignes Input « Type-C » et Output « 3.5, 4.4 »). batterie vide : aucune mention de batterie ni d'alimentation par le bus. dsp_peq vide : la fiche ne parle ni d'EQ ni de DSP.</t>
        </is>
      </c>
    </row>
    <row r="1213">
      <c r="A1213" t="n">
        <v>65</v>
      </c>
      <c r="B1213" t="inlineStr">
        <is>
          <t>iBasso</t>
        </is>
      </c>
      <c r="C1213" t="inlineStr">
        <is>
          <t>PB5 Osprey</t>
        </is>
      </c>
      <c r="D1213" s="26" t="inlineStr">
        <is>
          <t>Contradiction détectée et tranchée : la page de comparaison du test Cayin C9ii (headfonics.com/cayin-c9ii-review/3/) affirme « There is no 3.5mm PO, just a 3.5mm/4.4mm LO and a 4.4mm PO on the PB5 », ce que contredisent le tableau de specs du test PB5 lui-même (« Output Port: 4.4mm TRRRS BAL | 3.5mm TRRS SE », « Output Impedance: 0.25Ω (4.4mm BAL) | 0Ω (3.5mm SE) ») et Bloom Audio (« Osprey provides input only via 4.4mm balanced, but both 3.5mm and 4.4mm outputs »). Deux sources concordantes contre une : out_3_5 = Oui. dsp_peq vide : ampli analogique, aucun EQ/DSP évoqué mais aucune source n'exclut formellement.</t>
        </is>
      </c>
    </row>
    <row r="1214">
      <c r="A1214" t="n">
        <v>66</v>
      </c>
      <c r="B1214" t="inlineStr">
        <is>
          <t>FiiO</t>
        </is>
      </c>
      <c r="C1214" t="inlineStr">
        <is>
          <t>KA15</t>
        </is>
      </c>
      <c r="D1214" s="26" t="inlineStr">
        <is>
          <t>Sorties 2,5/6,35/XLR mises a Non sur la base du tableau 'Buttons and Ports' de la page parametres FiiO, qui n'enumere que USB Type-C, jack 3,5 mm et jack 4,4 mm. Batterie et Bluetooth laisses vides : aucune ligne de specification n'aborde l'alimentation interne ni le sans-fil sur les pages ouvertes.</t>
        </is>
      </c>
    </row>
    <row r="1215">
      <c r="A1215" t="n">
        <v>67</v>
      </c>
      <c r="B1215" t="inlineStr">
        <is>
          <t>TempoTec</t>
        </is>
      </c>
      <c r="C1215" t="inlineStr">
        <is>
          <t>Sonata BHD Pro</t>
        </is>
      </c>
      <c r="D1215" s="26" t="inlineStr">
        <is>
          <t>batterie = Non : le constructeur exprime l'autonomie comme la duree de lecture sur la batterie du telephone hote (4000 mAh), donc alimentation par le bus. Bluetooth laisse vide : le tableau constructeur ne liste qu'une ligne 'USB ------ TYPEC OTG', ce qui ne constitue pas une liste d'entrees explicitement exhaustive. dsp_peq vide : aucune mention d'EQ/DSP.</t>
        </is>
      </c>
    </row>
    <row r="1216">
      <c r="A1216" t="n">
        <v>68</v>
      </c>
      <c r="B1216" t="inlineStr">
        <is>
          <t>iBasso</t>
        </is>
      </c>
      <c r="C1216" t="inlineStr">
        <is>
          <t>D16 Taipan</t>
        </is>
      </c>
      <c r="D1216" s="26" t="inlineStr">
        <is>
          <t>La page produit iBasso ne contient que des images, aucune specification texte. Sorties 2,5/6,35/XLR laissees vides : aucune source ouverte ne fournit une liste de sorties se lisant comme exhaustive (seules des mentions en prose des 4,4 et 3,5 mm). dsp_peq vide : les revues citent une 'Professional Audio DSP Chip' sans indiquer d'EQ reglable par l'utilisateur.</t>
        </is>
      </c>
    </row>
    <row r="1217">
      <c r="A1217" t="n">
        <v>69</v>
      </c>
      <c r="B1217" t="inlineStr">
        <is>
          <t>7Hz</t>
        </is>
      </c>
      <c r="C1217" t="inlineStr">
        <is>
          <t>Artemis39</t>
        </is>
      </c>
      <c r="D1217" s="26" t="inlineStr">
        <is>
          <t>Tableau de specs revendeur recopie du constructeur : les seules lignes de puissance de sortie sont 3,5 mm et 4,4 mm, d'ou Non pour 2,5/6,35/XLR. dsp_peq laisse vide : la fiche ne mentionne que 'Built-in DAC filters: x8', ce qui est un filtre numerique de DAC et non un PEQ.</t>
        </is>
      </c>
    </row>
    <row r="1218">
      <c r="A1218" t="n">
        <v>70</v>
      </c>
      <c r="B1218" t="inlineStr">
        <is>
          <t>SMSL</t>
        </is>
      </c>
      <c r="C1218" t="inlineStr">
        <is>
          <t>D10</t>
        </is>
      </c>
      <c r="D1218" s="26" t="inlineStr">
        <is>
          <t>La page constructeur SMSL est tres pauvre (chip DAC, formats, sortie 4,4 mm) et ne dit rien de l'alimentation ni du Bluetooth, d'ou batterie et bluetooth vides. dsp_peq vide : aucune source ouverte ne decrit exhaustivement les fonctions.</t>
        </is>
      </c>
    </row>
    <row r="1219">
      <c r="A1219" t="n">
        <v>71</v>
      </c>
      <c r="B1219" t="inlineStr">
        <is>
          <t>FiiO</t>
        </is>
      </c>
      <c r="C1219" t="inlineStr">
        <is>
          <t>JA11</t>
        </is>
      </c>
      <c r="D1219" s="26" t="inlineStr">
        <is>
          <t>Aucune page fiio.com/ja11 ni fiio.com/ja11_parameters accessible (404). Batterie et Bluetooth vides : aucune source ouverte ne traite l'alimentation interne ni le sans-fil.</t>
        </is>
      </c>
    </row>
    <row r="1220">
      <c r="A1220" t="n">
        <v>72</v>
      </c>
      <c r="B1220" t="inlineStr">
        <is>
          <t>Shanling</t>
        </is>
      </c>
      <c r="C1220" t="inlineStr">
        <is>
          <t>H2</t>
        </is>
      </c>
      <c r="D1220" s="26" t="inlineStr">
        <is>
          <t>La page constructeur en.shanling.com/product/h2 renvoie 403, specs prises chez audiophonics (tableau recopie du constructeur). dsp_peq vide : seule mention '4 built-in filters', qui sont des filtres numeriques de DAC, pas un PEQ.</t>
        </is>
      </c>
    </row>
    <row r="1221">
      <c r="A1221" t="n">
        <v>73</v>
      </c>
      <c r="B1221" t="inlineStr">
        <is>
          <t>LETSHUOER</t>
        </is>
      </c>
      <c r="C1221" t="inlineStr">
        <is>
          <t>DT03</t>
        </is>
      </c>
      <c r="D1221" s="26" t="inlineStr">
        <is>
          <t>Pages letshuoer.net et linsoul inaccessibles (404), mobileaudiophile en 403. Aucune liste de sorties se lisant comme exhaustive obtenue : seules les mentions en prose des 3,5 et 4,4 mm sont retenues, les autres sorties restent vides. Batterie, Bluetooth et dsp_peq vides faute de mention explicite.</t>
        </is>
      </c>
    </row>
    <row r="1222">
      <c r="A1222" t="n">
        <v>74</v>
      </c>
      <c r="B1222" t="inlineStr">
        <is>
          <t>Kiwi Ears</t>
        </is>
      </c>
      <c r="C1222" t="inlineStr">
        <is>
          <t>Allegro</t>
        </is>
      </c>
      <c r="D1222" s="26" t="inlineStr">
        <is>
          <t>kiwiears.com bloque l'acces (404 via WebFetch, blocage explicite via le second outil) ; specs prises chez un revendeur recopiant la fiche constructeur. 'dual output options' se lit comme exhaustif d'ou Non pour 2,5/6,35/XLR. Le tableau de specs n'evoque ni alimentation, ni Bluetooth, ni EQ.</t>
        </is>
      </c>
    </row>
    <row r="1223">
      <c r="A1223" t="n">
        <v>75</v>
      </c>
      <c r="B1223" t="inlineStr">
        <is>
          <t>Hidizs</t>
        </is>
      </c>
      <c r="C1223" t="inlineStr">
        <is>
          <t>S8 Pro Robin</t>
        </is>
      </c>
      <c r="D1223" s="26" t="inlineStr">
        <is>
          <t>batterie = Non sur la mention constructeur 'No need to charge. Plug and play' (alimentation par le port Type-C). Bluetooth vide : la fiche ne donne qu'une ligne 'Interface: Type-C', pas une liste d'entrees explicitement exhaustive. dsp_peq vide : les '6 optional filter responses' sont des filtres numeriques de DAC, exclus par la consigne.</t>
        </is>
      </c>
    </row>
    <row r="1224">
      <c r="A1224" t="n">
        <v>76</v>
      </c>
      <c r="B1224" t="inlineStr">
        <is>
          <t>iFi audio</t>
        </is>
      </c>
      <c r="C1224" t="inlineStr">
        <is>
          <t>GO bar Kensei</t>
        </is>
      </c>
      <c r="D1224" s="26" t="inlineStr">
        <is>
          <t>batterie laisse vide : la fiche constructeur ne mentionne ni batterie ni charge, seulement 'POWER CONSUMPTION: &lt;4W max' — pas de declaration explicite d'alimentation par le bus, donc pas de Non. bluetooth = Non sur la ligne de specification 'INPUT: USB-C' (entree unique). dsp_peq vide : XBass+ et XSpace sont presentes comme des circuits analogiques et les 'four bespoke digital filters' sont des filtres numeriques de DAC — ni l'un ni l'autre n'est un PEQ au sens de la consigne.</t>
        </is>
      </c>
    </row>
    <row r="1225">
      <c r="A1225" t="n">
        <v>77</v>
      </c>
      <c r="B1225" t="inlineStr">
        <is>
          <t>ONIX</t>
        </is>
      </c>
      <c r="C1225" t="inlineStr">
        <is>
          <t>Mystic XP1</t>
        </is>
      </c>
      <c r="D1225" s="26" t="inlineStr">
        <is>
          <t>La ligne 'Headphone Output' du tableau revendeur se lit comme exhaustive (3,5 + 6,5 SE + 4,4 BAL), d'ou Non pour 2,5 mm et XLR. La sortie notee 6.5mm par le revendeur est comprise comme le jack 6,35 mm. dsp_peq vide : aucun EQ/DSP reglable mentionne dans les specifications.</t>
        </is>
      </c>
    </row>
    <row r="1226">
      <c r="A1226" t="n">
        <v>78</v>
      </c>
      <c r="B1226" t="inlineStr">
        <is>
          <t>Shanling</t>
        </is>
      </c>
      <c r="C1226" t="inlineStr">
        <is>
          <t>UA4</t>
        </is>
      </c>
      <c r="D1226" s="26" t="inlineStr">
        <is>
          <t>Le site Shanling etant en 403, seule la fiche audiophonics a pu etre ouverte. Batterie et Bluetooth vides : non renseignes dans le tableau. dsp_peq vide : la fiche annonce 8 filtres numeriques, ce qui n'est pas un PEQ.</t>
        </is>
      </c>
    </row>
    <row r="1227">
      <c r="A1227" t="n">
        <v>79</v>
      </c>
      <c r="B1227" t="inlineStr">
        <is>
          <t>FiiO</t>
        </is>
      </c>
      <c r="C1227" t="inlineStr">
        <is>
          <t>KA11</t>
        </is>
      </c>
      <c r="D1227" s="26" t="inlineStr">
        <is>
          <t>Aucune page fiio.com/ka11 ni ka11_parameters accessible ; la fiche audiophonics ne donne qu'une sortie 'Jack 3.5mm female' sans liste complete, la liste exhaustive vient de headfonics. dsp_peq laisse vide volontairement : les seuls reglages attestes via l'app FiiO Control sont le bitrate, le volume de depart et les filtres numeriques du DAC, explicitement exclus par la consigne ; l'usage d'EQ tiers (Wavelet, PeaceEQ) n'est pas un DSP de l'appareil. Batterie et Bluetooth vides faute de mention explicite.</t>
        </is>
      </c>
    </row>
    <row r="1228">
      <c r="A1228" t="n">
        <v>80</v>
      </c>
      <c r="B1228" t="inlineStr">
        <is>
          <t>FiiO</t>
        </is>
      </c>
      <c r="C1228" t="inlineStr">
        <is>
          <t>KA17</t>
        </is>
      </c>
      <c r="D1228" s="26" t="inlineStr">
        <is>
          <t>Sorties 2,5/6,35/XLR = Non sur la base du tableau constructeur 'Buttons and Ports' qui n'enumere que le 3,5 mm et le 4,4 mm. batterie laisse vide : le tableau indique 'USB Type-C POWER IN (orange, powering)' et 'Input: DC 5V &gt;=1A' (alimentation externe optionnelle) mais aucune ligne n'affirme l'absence de batterie interne. bluetooth vide : aucune ligne d'entree se lisant comme exhaustive.</t>
        </is>
      </c>
    </row>
    <row r="1229">
      <c r="A1229" t="n">
        <v>81</v>
      </c>
      <c r="B1229" t="inlineStr">
        <is>
          <t>Colorfly</t>
        </is>
      </c>
      <c r="C1229" t="inlineStr">
        <is>
          <t>CDA-M2</t>
        </is>
      </c>
      <c r="D1229" s="26" t="inlineStr">
        <is>
          <t>batterie laissee vide : aucune source ouverte ne dit explicitement que l'appareil est alimente par le bus USB ni qu'il possede une batterie (la review parle seulement de la batterie du telephone). dsp_peq vide : la source ne mentionne que 5 filtres numeriques du DAC (Fast LL, Fast PC, Slow LL, Slow PC, Non-OS) et les modes UAC, ce qui est explicitement exclu.</t>
        </is>
      </c>
    </row>
    <row r="1230">
      <c r="A1230" t="n">
        <v>82</v>
      </c>
      <c r="B1230" t="inlineStr">
        <is>
          <t>ddHiFi</t>
        </is>
      </c>
      <c r="C1230" t="inlineStr">
        <is>
          <t>TC44Pro E2</t>
        </is>
      </c>
      <c r="D1230" s="26" t="inlineStr">
        <is>
          <t>batterie laissee vide : aucune mention explicite d'absence de batterie ni de capacite. La formulation 'sole input' / 'sole output' est traitee comme une liste exhaustive.</t>
        </is>
      </c>
    </row>
    <row r="1231">
      <c r="A1231" t="n">
        <v>83</v>
      </c>
      <c r="B1231" t="inlineStr">
        <is>
          <t>Hidizs</t>
        </is>
      </c>
      <c r="C1231" t="inlineStr">
        <is>
          <t>SD2</t>
        </is>
      </c>
      <c r="D1231" s="26" t="inlineStr">
        <is>
          <t>batterie vide : la page constructeur ne comporte aucune ligne 'Power System' pour le SD2. dsp_peq vide : la page constructeur ne parle que de compatibilite avec l'EQ integre d'applis musicales tierces ('Support Multiple Music APP EQ Sound Effect Adjustment'), ce n'est pas un DSP/PEQ de l'appareil. La preuve bluetooth vient du tableau de specs constructeur recopie sur la fiche Amazon (la ligne equivalente existe sur hidizs.net mais son libelle n'est pas extractible proprement).</t>
        </is>
      </c>
    </row>
    <row r="1232">
      <c r="A1232" t="n">
        <v>84</v>
      </c>
      <c r="B1232" t="inlineStr">
        <is>
          <t>Colorfly</t>
        </is>
      </c>
      <c r="C1232" t="inlineStr">
        <is>
          <t>CDA-M1P</t>
        </is>
      </c>
      <c r="D1232" s="26" t="inlineStr">
        <is>
          <t>batterie laissee vide sur ambiguite de la source : la review ecrit 'a USB Type-C connector for charging, USB-DAC, and USB-OTG duties' (mot 'charging' qui suggererait une batterie) mais aucune capacite ni autonomie n'est donnee et aucune autre partie du texte ne mentionne de batterie interne. dsp_peq vide : seulement 6 filtres numeriques issus de la puce AKM, ce qui est exclu.</t>
        </is>
      </c>
    </row>
    <row r="1233">
      <c r="A1233" t="n">
        <v>85</v>
      </c>
      <c r="B1233" t="inlineStr">
        <is>
          <t>FiiO</t>
        </is>
      </c>
      <c r="C1233" t="inlineStr">
        <is>
          <t>Q15</t>
        </is>
      </c>
      <c r="D1233" s="26" t="inlineStr">
        <is>
          <t>La page constructeur confirme batterie, codecs BT ('Bluetooth reception (5.1)') et les deux ports casque ; l'exhaustivite des sorties et le PEQ (app FiiO Control, sauvegarde dans l'appareil) viennent de la review a tableau de specs.</t>
        </is>
      </c>
    </row>
    <row r="1234">
      <c r="A1234" t="n">
        <v>86</v>
      </c>
      <c r="B1234" t="inlineStr">
        <is>
          <t>iFi audio</t>
        </is>
      </c>
      <c r="C1234" t="inlineStr">
        <is>
          <t>iDSD Diablo 2</t>
        </is>
      </c>
      <c r="D1234" s="26" t="inlineStr">
        <is>
          <t>Sortie 6,3 mm comptee comme 6,35 mm. dsp_peq vide : la page constructeur ne decrit que des modes de gain (Normal/Turbo/Nitro) et iEMatch, aucun EQ parametrique ni DSP reglable, mais elle ne dit pas explicitement qu'il n'y en a pas.</t>
        </is>
      </c>
    </row>
    <row r="1235">
      <c r="A1235" t="n">
        <v>87</v>
      </c>
      <c r="B1235" t="inlineStr">
        <is>
          <t>ddHiFi</t>
        </is>
      </c>
      <c r="C1235" t="inlineStr">
        <is>
          <t>TC35Pro Eye2 &amp; Mountain2</t>
        </is>
      </c>
      <c r="D1235" s="26" t="inlineStr">
        <is>
          <t>Fiche couvrant les deux variantes Eye2 et Mountain2, dont la source dit qu'elles partagent la meme I/O. batterie vide : aucune mention. dsp_peq vide : la source dit 'do not have any physical controls, such as buttons or switches' mais n'exclut pas explicitement une appli/DSP.</t>
        </is>
      </c>
    </row>
    <row r="1236">
      <c r="A1236" t="n">
        <v>88</v>
      </c>
      <c r="B1236" t="inlineStr">
        <is>
          <t>Shanling</t>
        </is>
      </c>
      <c r="C1236" t="inlineStr">
        <is>
          <t>UA1 Plus</t>
        </is>
      </c>
      <c r="D1236" s="26" t="inlineStr">
        <is>
          <t>dsp_peq laisse vide volontairement : la source dit 'The player does offer a full equalizer and the ability to save EQ curve presets' mais il s'agit de l'EQ du lecteur Eddict Player (appli de lecture generique), pas d'un DSP/PEQ applique par le dongle ; l'appli de controle ne regle que volume, filtre, gain et balance. batterie vide : aucune mention.</t>
        </is>
      </c>
    </row>
    <row r="1237">
      <c r="A1237" t="n">
        <v>89</v>
      </c>
      <c r="B1237" t="inlineStr">
        <is>
          <t>iFi audio</t>
        </is>
      </c>
      <c r="C1237" t="inlineStr">
        <is>
          <t>hip-dac 3</t>
        </is>
      </c>
      <c r="D1237" s="26" t="inlineStr">
        <is>
          <t>Page constructeur lue via WebFetch (le scraper direct est bloque par iFi). dsp_peq vide : la page ne mentionne que XBass (correction de basses analogique), iEMatch et PowerMatch, aucun EQ parametrique ni DSP reglable.</t>
        </is>
      </c>
    </row>
    <row r="1238">
      <c r="A1238" t="n">
        <v>90</v>
      </c>
      <c r="B1238" t="inlineStr">
        <is>
          <t>Hidizs</t>
        </is>
      </c>
      <c r="C1238" t="inlineStr">
        <is>
          <t>S9 Pro Plus Martha</t>
        </is>
      </c>
      <c r="D1238" s="26" t="inlineStr">
        <is>
          <t>La page constructeur confirme que 'Martha' est le nom donne au S9 Pro Plus lui-meme (pas un modele voisin). bluetooth 'Non' repose sur l'unique interface Type-C ; a signaler que la page contient une phrase marketing ambigue ('the ability to adapt to different wired headphones, Bluetooth headphones, active/passive speakers, and Bluetooth speakers') qui parle du cote restitution, pas d'une entree BT. batterie vide : la fiche produit ne comporte pas de ligne d'alimentation. dsp_peq vide : uniquement 6 filtres de reponse impulsionnelle de la puce ES9038Q2M, ce qui est exclu.</t>
        </is>
      </c>
    </row>
    <row r="1239">
      <c r="A1239" t="n">
        <v>91</v>
      </c>
      <c r="B1239" t="inlineStr">
        <is>
          <t>xDuoo</t>
        </is>
      </c>
      <c r="C1239" t="inlineStr">
        <is>
          <t>XD05 Pro</t>
        </is>
      </c>
      <c r="D1239" s="26" t="inlineStr">
        <is>
          <t>out_3_5 laisse vide volontairement : la face avant ne porte que 6,35 mm et 4,4 mm, mais la face arriere comporte 'a single-ended 3.5mm input or output (depending on the settings)', soit une sortie 3,5 mm de niveau ligne et non une sortie casque - ambiguite non tranchee par la source. dsp_peq vide : le menu de reglages decrit (filtres, luminosite, minuterie, RESET) et les boutons (Turbo, selecteur d'entree, appairage BT) ne comportent aucun EQ, mais la source ne l'exclut pas explicitement.</t>
        </is>
      </c>
    </row>
    <row r="1240">
      <c r="A1240" t="n">
        <v>92</v>
      </c>
      <c r="B1240" t="inlineStr">
        <is>
          <t>FiiO</t>
        </is>
      </c>
      <c r="C1240" t="inlineStr">
        <is>
          <t>KA13</t>
        </is>
      </c>
      <c r="D1240" s="26" t="inlineStr">
        <is>
          <t>La page constructeur (fiio.com/ka13_parameters) confirme les deux ports ('3.5mm plug: Single-ended/SPDIF output (shared)', '4.4mm plug: Balanced output') et ne comporte aucune ligne batterie ni Bluetooth. batterie vide : aucune source ouverte n'affirme explicitement l'alimentation par le bus USB.</t>
        </is>
      </c>
    </row>
    <row r="1241">
      <c r="A1241" t="n">
        <v>93</v>
      </c>
      <c r="B1241" t="inlineStr">
        <is>
          <t>Audirect</t>
        </is>
      </c>
      <c r="C1241" t="inlineStr">
        <is>
          <t>Beam 4</t>
        </is>
      </c>
      <c r="D1241" s="26" t="inlineStr">
        <is>
          <t>dsp_peq vide : la review ne parle d'EQ/DSP que comme traitement applique en amont par la source ('with some EQ and DSP usage'), pas comme une fonction reglable de l'appareil ; elle regrette meme l'absence d'un interrupteur de basses.</t>
        </is>
      </c>
    </row>
    <row r="1242">
      <c r="A1242" t="n">
        <v>94</v>
      </c>
      <c r="B1242" t="inlineStr">
        <is>
          <t>ddHiFi</t>
        </is>
      </c>
      <c r="C1242" t="inlineStr">
        <is>
          <t>TC44Pro</t>
        </is>
      </c>
      <c r="D1242" s="26" t="inlineStr">
        <is>
          <t>bluetooth laisse vide : la source ne donne pas de liste d'entrees se lisant comme exhaustive (elle decrit seulement deux versions, Lightning ou USB-C) et le tableau de specs complet n'a pas de ligne d'entree. batterie vide : aucune mention. Modele bien distingue du TC44Pro E2 (ligne 82) et du TC44C.</t>
        </is>
      </c>
    </row>
    <row r="1243">
      <c r="A1243" t="n">
        <v>95</v>
      </c>
      <c r="B1243" t="inlineStr">
        <is>
          <t>Moondrop</t>
        </is>
      </c>
      <c r="C1243" t="inlineStr">
        <is>
          <t>Dawn Pro</t>
        </is>
      </c>
      <c r="D1243" s="26" t="inlineStr">
        <is>
          <t>Fiche constructeur du Dawn Pro (distincte du Dawn et du Dawn Pro 2). batterie vide : aucune mention. dsp_peq vide : ni la fiche constructeur ni la review ouverte ne mentionnent d'EQ parametrique ou de DSP reglable (pas de mention de Moondrop Link) - non verifie, donc vide.</t>
        </is>
      </c>
    </row>
    <row r="1244">
      <c r="A1244" t="n">
        <v>96</v>
      </c>
      <c r="B1244" t="inlineStr">
        <is>
          <t>Moondrop</t>
        </is>
      </c>
      <c r="C1244" t="inlineStr">
        <is>
          <t>MoonRiver 2: Ti</t>
        </is>
      </c>
      <c r="D1244" s="26" t="inlineStr">
        <is>
          <t>batterie laissee vide : ni la fiche constructeur ni la review ne mentionnent l'alimentation (aucune mention explicite de 'bus powered' ni de batterie). dsp_peq = Non sur la base de l'enumeration complete des fonctions de l'app MOONDROP Link (filtres DAC, volume, gain, LED) ; les filtres numeriques du DAC ne comptent pas comme DSP/PEQ.</t>
        </is>
      </c>
    </row>
    <row r="1245">
      <c r="A1245" t="n">
        <v>97</v>
      </c>
      <c r="B1245" t="inlineStr">
        <is>
          <t>HiBy</t>
        </is>
      </c>
      <c r="C1245" t="inlineStr">
        <is>
          <t>FC6</t>
        </is>
      </c>
      <c r="D1245" s="26" t="inlineStr">
        <is>
          <t>dsp_peq laisse vide : la source ne decrit que des modes NOS/OS et cinq filtres numeriques Darwin (explicitement exclus du perimetre DSP/PEQ), et ne dit rien d'un EQ reglable.</t>
        </is>
      </c>
    </row>
    <row r="1246">
      <c r="A1246" t="n">
        <v>98</v>
      </c>
      <c r="B1246" t="inlineStr">
        <is>
          <t>ddHiFi</t>
        </is>
      </c>
      <c r="C1246" t="inlineStr">
        <is>
          <t>TC35C</t>
        </is>
      </c>
      <c r="D1246" s="26" t="inlineStr">
        <is>
          <t>La page produit ddhifi.com/en/product/tc35c/ a bien ete ouverte mais ne rend plus que des liens de reviews (produit discontinue) : specs prises dans le tableau constructeur recopie par Headfonics. dsp_peq laisse vide : aucune source n'evoque un EQ ou un DSP, dans un sens ou dans l'autre.</t>
        </is>
      </c>
    </row>
    <row r="1247">
      <c r="A1247" t="n">
        <v>99</v>
      </c>
      <c r="B1247" t="inlineStr">
        <is>
          <t>FiiO</t>
        </is>
      </c>
      <c r="C1247" t="inlineStr">
        <is>
          <t>KA5</t>
        </is>
      </c>
      <c r="D1247" s="26" t="inlineStr">
        <is>
          <t>dsp_peq = Non : la liste officielle FiiO des modeles a PEQ (document constructeur) ne contient pas le KA5, et Headfonics enumere l'integralite des reglages de l'app FiiO Control / du menu OLED du KA5 (gain, limiteur dB, volume max, balance, rotation/luminosite/timeout OLED, filtres passe-bas, mode A-B/H, de-pop) sans aucun EQ. batterie laissee vide : ni fiio.com/ka5 ni la review n'indiquent explicitement l'absence de batterie ou une alimentation par le bus.</t>
        </is>
      </c>
    </row>
    <row r="1248">
      <c r="A1248" t="n">
        <v>100</v>
      </c>
      <c r="B1248" t="inlineStr">
        <is>
          <t>FiiO</t>
        </is>
      </c>
      <c r="C1248" t="inlineStr">
        <is>
          <t>Q11</t>
        </is>
      </c>
      <c r="D1248" s="26" t="inlineStr">
        <is>
          <t>La page fiio.com/q11 confirme la batterie 2600mAh et les sorties 3,5 mm + 4,4 mm. Le Q11 est absent de la liste officielle FiiO des modeles a PEQ, ce qui corrobore dsp_peq = Non.</t>
        </is>
      </c>
    </row>
    <row r="1249">
      <c r="A1249" t="n">
        <v>101</v>
      </c>
      <c r="B1249" t="inlineStr">
        <is>
          <t>iFi audio</t>
        </is>
      </c>
      <c r="C1249" t="inlineStr">
        <is>
          <t>UNO</t>
        </is>
      </c>
      <c r="D1249" s="26" t="inlineStr">
        <is>
          <t>La page constructeur ifi-audio.com/products/uno/ a ete tentee mais renvoie un blocage d'acces. dsp_peq laisse volontairement vide : l'UNO propose trois courbes de reponse prereglees (game/movie/music) commutables par bouton, ce qui n'est ni un EQ parametrique ni un DSP reglable, mais la source ne permet pas non plus d'affirmer l'absence de tout DSP ; les deux sorties sont le 3,5 mm en facade et une paire de RCA a l'arriere.</t>
        </is>
      </c>
    </row>
    <row r="1250">
      <c r="A1250" t="n">
        <v>102</v>
      </c>
      <c r="B1250" t="inlineStr">
        <is>
          <t>7Hz</t>
        </is>
      </c>
      <c r="C1250" t="inlineStr">
        <is>
          <t>SEVENHERTZ 71</t>
        </is>
      </c>
      <c r="D1250" s="26" t="inlineStr">
        <is>
          <t>batterie et dsp_peq laisses vides : la source (tableau de specs constructeur recopie + review) ne mentionne ni alimentation par le bus ni batterie, et ne parle ni d'EQ ni de DSP. Aucune page constructeur 7Hz dediee n'a pu etre identifiee.</t>
        </is>
      </c>
    </row>
    <row r="1251">
      <c r="A1251" t="n">
        <v>103</v>
      </c>
      <c r="B1251" t="inlineStr">
        <is>
          <t>Venture Electronics</t>
        </is>
      </c>
      <c r="C1251" t="inlineStr">
        <is>
          <t>Megatron</t>
        </is>
      </c>
      <c r="D1251" s="26" t="inlineStr">
        <is>
          <t>dsp_peq laisse vide : aucune mention d'EQ ni de DSP dans la source ; l'appareil n'a ni ecran ni application decrite.</t>
        </is>
      </c>
    </row>
    <row r="1252">
      <c r="A1252" t="n">
        <v>104</v>
      </c>
      <c r="B1252" t="inlineStr">
        <is>
          <t>Shanling</t>
        </is>
      </c>
      <c r="C1252" t="inlineStr">
        <is>
          <t>H7</t>
        </is>
      </c>
      <c r="D1252" s="26" t="inlineStr">
        <is>
          <t>dsp_peq laisse vide : la fiche constructeur ne liste que 'Digital Filters : 6 Preset Filters' (exclu du perimetre) et Headfonics n'enumere que gain, channel imbalance, digital filter et mise a jour firmware ; l'existence eventuelle d'un PEQ via l'app Eddict n'a pas pu etre attestee.</t>
        </is>
      </c>
    </row>
    <row r="1253">
      <c r="A1253" t="n">
        <v>105</v>
      </c>
      <c r="B1253" t="inlineStr">
        <is>
          <t>iKKO</t>
        </is>
      </c>
      <c r="C1253" t="inlineStr">
        <is>
          <t>Zerda ITM02</t>
        </is>
      </c>
      <c r="D1253" s="26" t="inlineStr">
        <is>
          <t>dsp_peq laisse vide : la source evoque l'EQ uniquement comme reglage a faire dans la source audio ('that requires EQ alterations in your source'), pas dans l'appareil, et ne conclut pas sur l'absence de DSP embarque.</t>
        </is>
      </c>
    </row>
    <row r="1254">
      <c r="A1254" t="n">
        <v>106</v>
      </c>
      <c r="B1254" t="inlineStr">
        <is>
          <t>Quloos</t>
        </is>
      </c>
      <c r="C1254" t="inlineStr">
        <is>
          <t>QLS MC01</t>
        </is>
      </c>
      <c r="D1254" s="26" t="inlineStr">
        <is>
          <t>dsp_peq = Non : la source enumere l'integralite du menu accessible (gain, luminosite/timeout OLED, balance, filtre DAC, filtre d'alimentation) et precise qu'aucun logiciel n'existe pour ce dongle ('I couldn't find any software for this particular dongle DAC anywhere'). batterie laissee vide : aucune mention d'alimentation par le bus ni de batterie.</t>
        </is>
      </c>
    </row>
    <row r="1255">
      <c r="A1255" t="n">
        <v>107</v>
      </c>
      <c r="B1255" t="inlineStr">
        <is>
          <t>Hidizs</t>
        </is>
      </c>
      <c r="C1255" t="inlineStr">
        <is>
          <t>XO</t>
        </is>
      </c>
      <c r="D1255" s="26" t="inlineStr">
        <is>
          <t>dsp_peq = Non : la source enumere les deux seules commandes de l'appareil (effets lumineux, commutation de filtre) et aucune application n'est mentionnee ; les filtres roll-off sont explicitement exclus du perimetre. batterie laissee vide : aucune mention d'alimentation par le bus ni de batterie.</t>
        </is>
      </c>
    </row>
    <row r="1256">
      <c r="A1256" t="n">
        <v>108</v>
      </c>
      <c r="B1256" t="inlineStr">
        <is>
          <t>FiiO</t>
        </is>
      </c>
      <c r="C1256" t="inlineStr">
        <is>
          <t>Q7</t>
        </is>
      </c>
      <c r="D1256" s="26" t="inlineStr">
        <is>
          <t>dsp_peq = Oui atteste par le document constructeur FiiO 'PEQ Settings Instructions for FiiO Portable DAC/AMP' (PDF lu directement), qui cite le Q7 a la fois en PEQ filaire et en PEQ Bluetooth ; parametres reglables : frequence, gain, valeur Q, type de filtre.</t>
        </is>
      </c>
    </row>
    <row r="1257">
      <c r="A1257" t="n">
        <v>109</v>
      </c>
      <c r="B1257" t="inlineStr">
        <is>
          <t>EarMen</t>
        </is>
      </c>
      <c r="C1257" t="inlineStr">
        <is>
          <t>Angel</t>
        </is>
      </c>
      <c r="D1257" s="26" t="inlineStr">
        <is>
          <t>dsp_peq laisse vide : la source ne decrit que deux commandes analogiques (bascule pre-out/direct et bouton Gain+) et n'aborde ni EQ ni DSP.</t>
        </is>
      </c>
    </row>
    <row r="1258">
      <c r="A1258" t="n">
        <v>110</v>
      </c>
      <c r="B1258" t="inlineStr">
        <is>
          <t>Moondrop</t>
        </is>
      </c>
      <c r="C1258" t="inlineStr">
        <is>
          <t>Dawn</t>
        </is>
      </c>
      <c r="D1258" s="26" t="inlineStr">
        <is>
          <t>La page constructeur moondroplab.com/en/products/dawn renvoie 404 : specs prises dans la review Headfonics du Dawn, corroborees par la comparaison Dawn/XO de la review Hidizs XO ('The Dawn has only 1 - a balanced 4.4mm output'). batterie et dsp_peq laisses vides : la source ne dit rien de l'alimentation ni d'un EQ/DSP (elle precise seulement 'There are no external buttons found here' et l'absence de commutateur de gain).</t>
        </is>
      </c>
    </row>
    <row r="1259">
      <c r="A1259" t="n">
        <v>111</v>
      </c>
      <c r="B1259" t="inlineStr">
        <is>
          <t>FiiO</t>
        </is>
      </c>
      <c r="C1259" t="inlineStr">
        <is>
          <t>KA2</t>
        </is>
      </c>
      <c r="D1259" s="26" t="inlineStr">
        <is>
          <t>Le resume automatique de https://www.fiio.com/ka2 evoquait une 'double sortie 3.5mm/4.4mm', contredit par la page officielle de parametres (Headphone port : 4.4mm balanced output uniquement), par HiFiGo ('Truly balanced design with 4.4mm balanced output') et par Headfonics ('a single 4.4mm balanced output') : le 4.4mm seul est retenu. batterie et bluetooth laisses vides : aucune source ouverte ne dit explicitement que le KA2 est alimente par le bus USB ni ne donne une liste exhaustive des entrees. Les 5 filtres numeriques ne comptent pas comme DSP/PEQ (consigne), et l'egaliseur de l'app FiiO Control est desactive.</t>
        </is>
      </c>
    </row>
    <row r="1260">
      <c r="A1260" t="n">
        <v>112</v>
      </c>
      <c r="B1260" t="inlineStr">
        <is>
          <t>ddHiFi</t>
        </is>
      </c>
      <c r="C1260" t="inlineStr">
        <is>
          <t>TC44A Lightning DAC</t>
        </is>
      </c>
      <c r="D1260" s="26" t="inlineStr">
        <is>
          <t>Section I/O de la review lue integralement : entree lightning ou USB-C, sortie unique 4.4mm (single-ended et non balanced par conception). La sortie 4.4mm est bien presente meme si elle n'est pas cablee en symetrique.</t>
        </is>
      </c>
    </row>
    <row r="1261">
      <c r="A1261" t="n">
        <v>113</v>
      </c>
      <c r="B1261" t="inlineStr">
        <is>
          <t>xDuoo</t>
        </is>
      </c>
      <c r="C1261" t="inlineStr">
        <is>
          <t>Link2 Bal</t>
        </is>
      </c>
      <c r="D1261" s="26" t="inlineStr">
        <is>
          <t>batterie laissee vide : la review ne dit nulle part explicitement que l'appareil est alimente par le bus USB. L'app existante ne contient qu'un controle de gain 63 pas, donc pas de PEQ/DSP reglable.</t>
        </is>
      </c>
    </row>
    <row r="1262">
      <c r="A1262" t="n">
        <v>114</v>
      </c>
      <c r="B1262" t="inlineStr">
        <is>
          <t>Shanling</t>
        </is>
      </c>
      <c r="C1262" t="inlineStr">
        <is>
          <t>UA3</t>
        </is>
      </c>
      <c r="D1262" s="26" t="inlineStr">
        <is>
          <t>dsp_peq = Oui via l'app Eddict player que la review presente explicitement comme l'app qui fonctionne avec l'UA3 (egaliseur 10 bandes + 10 presets). batterie laissee vide : rien d'explicite sur l'alimentation dans la source ouverte.</t>
        </is>
      </c>
    </row>
    <row r="1263">
      <c r="A1263" t="n">
        <v>115</v>
      </c>
      <c r="B1263" t="inlineStr">
        <is>
          <t>HiBy</t>
        </is>
      </c>
      <c r="C1263" t="inlineStr">
        <is>
          <t>FC4</t>
        </is>
      </c>
      <c r="D1263" s="26" t="inlineStr">
        <is>
          <t>dsp_peq laisse vide : la review decrit un egaliseur 10 bandes et le MSEB, mais ce sont des fonctions de l'app lecteur HiBy Music (logiciel generique de HiBy), pas une fonction du FC4 ni d'une app de controle du dongle ; le '416L onboard audio DSP' cite n'est pas presente comme reglable par l'utilisateur. Doute -&gt; vide. batterie laissee vide faute de mention explicite d'alimentation par le bus.</t>
        </is>
      </c>
    </row>
    <row r="1264">
      <c r="A1264" t="n">
        <v>116</v>
      </c>
      <c r="B1264" t="inlineStr">
        <is>
          <t>Questyle</t>
        </is>
      </c>
      <c r="C1264" t="inlineStr">
        <is>
          <t>M15</t>
        </is>
      </c>
      <c r="D1264" s="26" t="inlineStr">
        <is>
          <t>batterie laissee vide : la review ne parle que d'eviter de trop tirer sur la batterie de la source ('source battery drain'), ce qui n'est pas une affirmation explicite d'absence de batterie interne.</t>
        </is>
      </c>
    </row>
    <row r="1265">
      <c r="A1265" t="n">
        <v>117</v>
      </c>
      <c r="B1265" t="inlineStr">
        <is>
          <t>iBasso</t>
        </is>
      </c>
      <c r="C1265" t="inlineStr">
        <is>
          <t>DC06</t>
        </is>
      </c>
      <c r="D1265" s="26" t="inlineStr">
        <is>
          <t>dsp_peq laisse vide : l'app iBasso UAC citee n'apporte qu'un volume 64 pas et un volume max, la review ne dit ni qu'un EQ existe ni qu'il n'y en a pas. batterie laissee vide : la review mentionne seulement que l'autonomie du mobile est divisee par deux, sans affirmer explicitement l'absence de batterie interne.</t>
        </is>
      </c>
    </row>
    <row r="1266">
      <c r="A1266" t="n">
        <v>118</v>
      </c>
      <c r="B1266" t="inlineStr">
        <is>
          <t>Topping</t>
        </is>
      </c>
      <c r="C1266" t="inlineStr">
        <is>
          <t>NX7</t>
        </is>
      </c>
      <c r="D1266" s="26" t="inlineStr">
        <is>
          <t>La page constructeur toppingaudio.com/product/nx7 renvoie 404 ; verification croisee avec deux revendeurs qui confirment 'On the output side, the NX7 has symmetrical 4.4 mm and standard 3.5 mm Jack connectors' et la batterie 4000mAh. Les 3 seuls ports du panneau avant + le USB-C de charge constituent l'ensemble de l'I/O, d'ou bluetooth = Non. dsp_peq = Non : ampli purement analogique, sans DAC interne, seuls volume et gain 3 positions.</t>
        </is>
      </c>
    </row>
    <row r="1267">
      <c r="A1267" t="n">
        <v>119</v>
      </c>
      <c r="B1267" t="inlineStr">
        <is>
          <t>Moondrop</t>
        </is>
      </c>
      <c r="C1267" t="inlineStr">
        <is>
          <t>MoonRiver 2</t>
        </is>
      </c>
      <c r="D1267" s="26" t="inlineStr">
        <is>
          <t>batterie et dsp_peq laisses vides : la review (page 1 lue integralement) ne parle ni d'alimentation/batterie ni d'EQ ou d'app. Seuls le volume onboard et un gain 2 positions sont decrits, ce qui ne suffit pas a conclure 'Non' pour le DSP.</t>
        </is>
      </c>
    </row>
    <row r="1268">
      <c r="A1268" t="n">
        <v>120</v>
      </c>
      <c r="B1268" t="inlineStr">
        <is>
          <t>Colorfly</t>
        </is>
      </c>
      <c r="C1268" t="inlineStr">
        <is>
          <t>CDA M1</t>
        </is>
      </c>
      <c r="D1268" s="26" t="inlineStr">
        <is>
          <t>dsp_peq laisse vide : aucune app ni EQ mentionne ; la review parle d'un 'bass boost' applique par le testeur cote source, pas d'un DSP du CDA M1, et signale ne pas avoir pu verifier une eventuelle fonction de gain faute de manuel.</t>
        </is>
      </c>
    </row>
    <row r="1269">
      <c r="A1269" t="n">
        <v>121</v>
      </c>
      <c r="B1269" t="inlineStr">
        <is>
          <t>FiiO</t>
        </is>
      </c>
      <c r="C1269" t="inlineStr">
        <is>
          <t>KA1</t>
        </is>
      </c>
      <c r="D1269" s="26" t="inlineStr">
        <is>
          <t>La page officielle de parametres (fiio.com/ka1_parameters) ne comporte qu'une section de sortie casque 3.5mm, coherent avec la description exhaustive de l'I/O par Headfonics. dsp_peq laisse vide : ni EQ ni app de controle evoques dans les sources ouvertes.</t>
        </is>
      </c>
    </row>
    <row r="1270">
      <c r="A1270" t="n">
        <v>122</v>
      </c>
      <c r="B1270" t="inlineStr">
        <is>
          <t>iFi audio</t>
        </is>
      </c>
      <c r="C1270" t="inlineStr">
        <is>
          <t>GO bar</t>
        </is>
      </c>
      <c r="D1270" s="26" t="inlineStr">
        <is>
          <t>dsp_peq laisse vide : XBass et XSpace sont des enrichissements activables (on/off) et les 4 filtres numeriques du DAC sont explicitement exclus par la consigne ; la source ne mentionne aucun EQ parametrique ni DSP reglable, mais ne dit pas non plus qu'il n'y en a pas. batterie laissee vide : aucune mention explicite d'absence de batterie ou d'alimentation par le bus dans la source ouverte.</t>
        </is>
      </c>
    </row>
    <row r="1271">
      <c r="A1271" t="n">
        <v>123</v>
      </c>
      <c r="B1271" t="inlineStr">
        <is>
          <t>Audirect</t>
        </is>
      </c>
      <c r="C1271" t="inlineStr">
        <is>
          <t>Beam 3 Plus</t>
        </is>
      </c>
      <c r="D1271" s="26" t="inlineStr">
        <is>
          <t>ATTENTION variante : la source precise deux versions, une single-ended seule (3.5mm) et une version balanced avec 4.4mm en plus ; out_4_4 = Oui vaut pour la version balanced testee. dsp_peq laisse vide : la review decrit les LED, les boutons media, les 3 niveaux de gain et les modes filaire/BT, mais n'aborde ni EQ ni app.</t>
        </is>
      </c>
    </row>
    <row r="1272">
      <c r="A1272" t="n">
        <v>124</v>
      </c>
      <c r="B1272" t="inlineStr">
        <is>
          <t>ddHiFi</t>
        </is>
      </c>
      <c r="C1272" t="inlineStr">
        <is>
          <t>TC44C</t>
        </is>
      </c>
      <c r="D1272" s="26" t="inlineStr">
        <is>
          <t>Contrairement au TC44A (4.4mm seul), le TC44C possede bien 3.5mm ET 4.4mm : verifie sur le texte integral de la review, section I/O. L'app Windows 'BRAVO HD Audio CPL' mentionnee ne sert qu'a changer la profondeur de bits, pas d'EQ.</t>
        </is>
      </c>
    </row>
    <row r="1273">
      <c r="A1273" t="n">
        <v>125</v>
      </c>
      <c r="B1273" t="inlineStr">
        <is>
          <t>Shanling</t>
        </is>
      </c>
      <c r="C1273" t="inlineStr">
        <is>
          <t>UA5</t>
        </is>
      </c>
      <c r="D1273" s="26" t="inlineStr">
        <is>
          <t>batterie = Oui : batterie interne 220mAh qui alimente l'ampli et les puces DAC (donc le fonctionnement audio), meme si elle n'allume pas l'appareil. Le 3.5mm fait aussi office de sortie SPDIF via adaptateur. dsp_peq laisse vide : le menu embarque est enumere de facon complete et ne contient aucun EQ (balance, SPDIF, ecran, gain, filtres DAC, mode d'alimentation, firmware) mais la review UA5 n'aborde pas l'app Eddict player, qui pour l'UA3 offre un egaliseur 10 bandes ; impossible de conclure sans inferer d'un modele voisin.</t>
        </is>
      </c>
    </row>
    <row r="1274">
      <c r="A1274" t="n">
        <v>126</v>
      </c>
      <c r="B1274" t="inlineStr">
        <is>
          <t>TempoTec</t>
        </is>
      </c>
      <c r="C1274" t="inlineStr">
        <is>
          <t>Sonata E35</t>
        </is>
      </c>
      <c r="D1274" s="26" t="inlineStr">
        <is>
          <t>batterie laissee vide : aucune source ouverte ne dit explicitement que l'E35 est alimente par le bus USB ni qu'il n'a pas de batterie (le test audioreviews mesure une consommation sur la batterie du telephone, ce qui reste une deduction). dsp_peq vide : ni EQ ni DSP evoque, les seuls controles decrits sont les boutons de volume. La page produit officielle tempotec.net n'a pas rendu de fiche technique exploitable.</t>
        </is>
      </c>
    </row>
    <row r="1275">
      <c r="A1275" t="n">
        <v>127</v>
      </c>
      <c r="B1275" t="inlineStr">
        <is>
          <t>Astell&amp;Kern</t>
        </is>
      </c>
      <c r="C1275" t="inlineStr">
        <is>
          <t>USB-C Dual DAC Cable PEE51</t>
        </is>
      </c>
      <c r="D1275" s="26" t="inlineStr">
        <is>
          <t>Tableau de specs recopie du constructeur (audioreviews renvoie vers la page produit A&amp;K). dsp_peq laisse vide : la source dit seulement que l'appareil n'a aucun controle embarque (« contain onboard controls…is operated from the source »), elle ne se prononce pas sur l'existence d'un EQ/DSP.</t>
        </is>
      </c>
    </row>
    <row r="1276">
      <c r="A1276" t="n">
        <v>128</v>
      </c>
      <c r="B1276" t="inlineStr">
        <is>
          <t>Audirect</t>
        </is>
      </c>
      <c r="C1276" t="inlineStr">
        <is>
          <t>Beam 3 PRO</t>
        </is>
      </c>
      <c r="D1276" s="26" t="inlineStr">
        <is>
          <t>batterie vide : la revue ne dit ni qu'il y a une batterie ni qu'il est alimente par le bus (la page revendeur shenzhenaudio a refuse l'acces). dsp_peq vide : le seul reglage decrit est un bouton de gain a 3 crans, aucun EQ/DSP evoque.</t>
        </is>
      </c>
    </row>
    <row r="1277">
      <c r="A1277" t="n">
        <v>129</v>
      </c>
      <c r="B1277" t="inlineStr">
        <is>
          <t>EarMen</t>
        </is>
      </c>
      <c r="C1277" t="inlineStr">
        <is>
          <t>Colibri</t>
        </is>
      </c>
      <c r="D1277" s="26" t="inlineStr">
        <is>
          <t>dsp_peq laisse vide : la seule correction tonale decrite est un « bass boost » commutable (volume, on/off, bass boost), ce qui n'est ni un EQ parametrique ni un DSP reglable — mais la source ne nie pas explicitement l'existence d'un EQ.</t>
        </is>
      </c>
    </row>
    <row r="1278">
      <c r="A1278" t="n">
        <v>130</v>
      </c>
      <c r="B1278" t="inlineStr">
        <is>
          <t>Swan Song Audio</t>
        </is>
      </c>
      <c r="C1278" t="inlineStr">
        <is>
          <t>Mini Black</t>
        </is>
      </c>
      <c r="D1278" s="26" t="inlineStr">
        <is>
          <t>Autonomie annoncee de facon contradictoire dans la meme page (specs « Run time 7.5 hours » vs texte « 8 to 9 hours »), mais l'existence de la batterie interne n'est pas ambigue. dsp_peq = Non car le testeur reproche explicitement l'absence de tout reglage de tonalite et renvoie l'EQ a la source (« So long as your source has a good EQ function »).</t>
        </is>
      </c>
    </row>
    <row r="1279">
      <c r="A1279" t="n">
        <v>131</v>
      </c>
      <c r="B1279" t="inlineStr">
        <is>
          <t>iFi audio</t>
        </is>
      </c>
      <c r="C1279" t="inlineStr">
        <is>
          <t>xDSD Gryphon</t>
        </is>
      </c>
      <c r="D1279" s="26" t="inlineStr">
        <is>
          <t>Page constructeur. dsp_peq laisse vide volontairement : les seuls reglages tonaux sont XBass II et XSpace, decrits par iFi comme analogiques (« analogue bass correction system », « analogue signal improvement circuitry »), et les « Custom Digital Filters » (Bit-Perfect/Standard/GTO) sont des filtres numeriques du DAC, exclus par la consigne. Aucun EQ parametrique mentionne, mais la page ne nie pas explicitement l'existence d'un DSP reglable.</t>
        </is>
      </c>
    </row>
    <row r="1280">
      <c r="A1280" t="n">
        <v>132</v>
      </c>
      <c r="B1280" t="inlineStr">
        <is>
          <t>Khadas</t>
        </is>
      </c>
      <c r="C1280" t="inlineStr">
        <is>
          <t>Tea</t>
        </is>
      </c>
      <c r="D1280" s="26" t="inlineStr">
        <is>
          <t>Sorties tranchees sur la page constructeur, qui distingue explicitement le Tea (« 3.5 mm headphone jack ») du Tea Pro (« 3.5 mm headphone jack / 4.4 mm headphone jack ») — attention a ne pas confondre les deux modeles. Petite divergence sur la capacite (1150 mAh dans le texte de headfonics, 1160 mAh dans son tableau de specs) sans incidence sur la reponse. dsp_peq vide : ni la page Khadas ni la revue ne parlent d'EQ/DSP reglable.</t>
        </is>
      </c>
    </row>
    <row r="1281">
      <c r="A1281" t="n">
        <v>133</v>
      </c>
      <c r="B1281" t="inlineStr">
        <is>
          <t>HiBy</t>
        </is>
      </c>
      <c r="C1281" t="inlineStr">
        <is>
          <t>FC5</t>
        </is>
      </c>
      <c r="D1281" s="26" t="inlineStr">
        <is>
          <t>out_3_5 = Non : le FC5 n'a physiquement qu'une prise 4.4 mm, le 3,5 mm n'est obtenu que via un adaptateur fourni. batterie vide : aucune mention d'une batterie ni d'une alimentation par le bus. dsp_peq vide : rien sur un EQ/DSP (le seul reglage embarque est un volume materiel a 30 pas).</t>
        </is>
      </c>
    </row>
    <row r="1282">
      <c r="A1282" t="n">
        <v>134</v>
      </c>
      <c r="B1282" t="inlineStr">
        <is>
          <t>Chord</t>
        </is>
      </c>
      <c r="C1282" t="inlineStr">
        <is>
          <t>Mojo 2</t>
        </is>
      </c>
      <c r="D1282" s="26" t="inlineStr">
        <is>
          <t>Divergence de version sur les sorties : What Hi-Fi decrit le Mojo 2 d'origine avec « Headphone outputs 3.5mm x 2 (balanced 4.4mm in 2026 version) », alors que la page constructeur actuelle annonce « 1x 3.5 mm/1x 4.4 mm headphone output ». J'ai retenu la page constructeur (produit vendu aujourd'hui) ; un exemplaire ancien peut n'avoir que deux prises 3,5 mm. Les entrees sont bien limitees a l'optique/coax/USB (le sans-fil n'est possible qu'avec le module externe Poly), donc bluetooth = Non pour le Mojo 2 seul.</t>
        </is>
      </c>
    </row>
    <row r="1283">
      <c r="A1283" t="n">
        <v>135</v>
      </c>
      <c r="B1283" t="inlineStr">
        <is>
          <t>Cayin</t>
        </is>
      </c>
      <c r="C1283" t="inlineStr">
        <is>
          <t>RU6</t>
        </is>
      </c>
      <c r="D1283" s="26" t="inlineStr">
        <is>
          <t>bluetooth laisse vide : aucune source ouverte ne fournit de liste d'entrees presentee comme exhaustive (la page produit Cayin et la fiche hifigo n'ont pas ete accessibles ; la liste de 13 features recopiee par headfonia ne mentionne que « Type-C USB Audio » mais n'est pas intitulee comme une liste d'entrees). dsp_peq = Non : le menu complet est enumere et ne contient que NOS/OS (filtre numerique du DAC, exclu), gain et minuterie d'ecran.</t>
        </is>
      </c>
    </row>
    <row r="1284">
      <c r="A1284" t="n">
        <v>136</v>
      </c>
      <c r="B1284" t="inlineStr">
        <is>
          <t>iBasso</t>
        </is>
      </c>
      <c r="C1284" t="inlineStr">
        <is>
          <t>DC05</t>
        </is>
      </c>
      <c r="D1284" s="26" t="inlineStr">
        <is>
          <t>batterie vide : la revue parle uniquement de la consommation cote source (« forgiving on battery life »), elle n'affirme nulle part que le DC05 est sans batterie. Ne pas confondre avec le DC04 (sortie 4,4 mm uniquement) ni avec le DC03.</t>
        </is>
      </c>
    </row>
    <row r="1285">
      <c r="A1285" t="n">
        <v>137</v>
      </c>
      <c r="B1285" t="inlineStr">
        <is>
          <t>FiiO</t>
        </is>
      </c>
      <c r="C1285" t="inlineStr">
        <is>
          <t>KA3</t>
        </is>
      </c>
      <c r="D1285" s="26" t="inlineStr">
        <is>
          <t>La page constructeur fiio.com/ka3 n'a pas rendu de contenu exploitable ; tout vient du test headfonics, qui detaille l'application FiiO Control (volume max, balance, adaptation d'impedance, gain, filtre passe-bas) et constate l'absence d'egaliseur. Le « low pass filter » est un filtre numerique du DAC, exclu par la consigne.</t>
        </is>
      </c>
    </row>
    <row r="1286">
      <c r="A1286" t="n">
        <v>138</v>
      </c>
      <c r="B1286" t="inlineStr">
        <is>
          <t>iFi audio</t>
        </is>
      </c>
      <c r="C1286" t="inlineStr">
        <is>
          <t>hip-dac2</t>
        </is>
      </c>
      <c r="D1286" s="26" t="inlineStr">
        <is>
          <t>La page constructeur ifi-audio.com/products/hip-dac2 a refuse l'acces (403) ; tout vient du test headfonics. dsp_peq laisse vide : les seuls reglages sont XBass et le commutateur de gain PowerMatch, et le testeur precise que XBass est realise en analogique (« What keeps me scratching my head is that it’s done on an analog level ») — donc ni EQ parametrique ni DSP reglable, mais aucune negation explicite.</t>
        </is>
      </c>
    </row>
    <row r="1287">
      <c r="A1287" t="n">
        <v>139</v>
      </c>
      <c r="B1287" t="inlineStr">
        <is>
          <t>Hidizs</t>
        </is>
      </c>
      <c r="C1287" t="inlineStr">
        <is>
          <t>S9 Pro Copper</t>
        </is>
      </c>
      <c r="D1287" s="26" t="inlineStr">
        <is>
          <t>Le tableau de specs de la meme page confirme les deux sorties (« Output Parameters (Single-ended 3.5mm) » et « Output Parameters (balanced 2.5mm) ») : c'est bien du 2,5 mm et pas du 4,4 mm. dsp_peq vide : la revue ne parle ni d'EQ ni de DSP (elle deplore seulement l'absence de controles de volume independants de la source).</t>
        </is>
      </c>
    </row>
    <row r="1288">
      <c r="A1288" t="n">
        <v>140</v>
      </c>
      <c r="B1288" t="inlineStr">
        <is>
          <t>Periodic Audio</t>
        </is>
      </c>
      <c r="C1288" t="inlineStr">
        <is>
          <t>Rhodium DAC</t>
        </is>
      </c>
      <c r="D1288" s="26" t="inlineStr">
        <is>
          <t>La page produit periodicaudio.com n'a rendu qu'une image, sans specs. batterie laissee vide : la source donne une consommation (« Current Consumption 23mA @ 1mW output ») et compare la ponction sur la batterie du telephone, mais ne dit pas explicitement que l'appareil est depourvu de batterie.</t>
        </is>
      </c>
    </row>
    <row r="1289">
      <c r="A1289" t="n">
        <v>141</v>
      </c>
      <c r="B1289" t="inlineStr">
        <is>
          <t>Hidizs</t>
        </is>
      </c>
      <c r="C1289" t="inlineStr">
        <is>
          <t>DH80s</t>
        </is>
      </c>
      <c r="D1289" s="26" t="inlineStr">
        <is>
          <t>Sorties : la description d'E/S du côté gauche (3,5 mm + 4,4 mm) et le tableau constructeur EARPHONES PORT PARAMETERS (rangées PO(3.5) et BAL(4.4)) se lisent comme exhaustifs → 2,5 / 6,35 / XLR = Non. dsp_peq laissé vide : les sources ne décrivent qu'un « Gain Switch » 3 niveaux et un volume indépendant, aucun EQ/DSP mentionné (ni dans un sens ni dans l'autre).</t>
        </is>
      </c>
    </row>
    <row r="1290">
      <c r="A1290" t="n">
        <v>142</v>
      </c>
      <c r="B1290" t="inlineStr">
        <is>
          <t>Questyle</t>
        </is>
      </c>
      <c r="C1290" t="inlineStr">
        <is>
          <t>M12</t>
        </is>
      </c>
      <c r="D1290" s="26" t="inlineStr">
        <is>
          <t>Page hébergée sur la boutique du constructeur (questyleshop.com) reprenant une revue avec tableau de specs ; le tableau ne mentionne ni batterie ni Bluetooth → batterie laissée vide. Les deux extrémités du dongle sont décrites (3,5 mm d'un côté, USB-C de l'autre), d'où les Non sur les autres sorties et sur le Bluetooth. La page Headfonics (p.2) ne donne pas de liste d'E/S.</t>
        </is>
      </c>
    </row>
    <row r="1291">
      <c r="A1291" t="n">
        <v>143</v>
      </c>
      <c r="B1291" t="inlineStr">
        <is>
          <t>FiiO</t>
        </is>
      </c>
      <c r="C1291" t="inlineStr">
        <is>
          <t>E10K TC</t>
        </is>
      </c>
      <c r="D1291" s="26" t="inlineStr">
        <is>
          <t>Liste de sorties officielle FiiO exhaustive → un seul jack casque, 3,5 mm. Batterie : aucune source ouverte ne dit explicitement « alimenté par le bus USB / sans batterie » → vide. Bluetooth : pas de liste d'entrées formelle trouvée → vide. dsp_peq : la page produit mentionne « 2 gain levels and BASS boost » ; un bass boost fixe n'est ni un PEQ ni un DSP réglable → vide plutôt que Non.</t>
        </is>
      </c>
    </row>
    <row r="1292">
      <c r="A1292" t="n">
        <v>144</v>
      </c>
      <c r="B1292" t="inlineStr">
        <is>
          <t>Shanling</t>
        </is>
      </c>
      <c r="C1292" t="inlineStr">
        <is>
          <t>UA2</t>
        </is>
      </c>
      <c r="D1292" s="26" t="inlineStr">
        <is>
          <t>ATTENTION modèle : l'UA2 (2021) sort en 3,5 mm + 2,5 mm ; c'est l'UA2 Plus qui a le 4,4 mm — la page constructeur détaille deux sections de sortie (« 2.5mm Balanced output » et « 3.5mm Single-ended output »), liste exhaustive → 4,4 mm = Non. dsp_peq = Oui au titre de l'EQ 10 bandes de l'app compagnon Eddict Player citée par Headfonics (la consigne admet app/logiciel) ; nuance : ce n'est pas un PEQ embarqué dans le dongle. Bluetooth : aucune liste d'entrées formelle ni mention explicite → vide.</t>
        </is>
      </c>
    </row>
    <row r="1293">
      <c r="A1293" t="n">
        <v>145</v>
      </c>
      <c r="B1293" t="inlineStr">
        <is>
          <t>FiiO</t>
        </is>
      </c>
      <c r="C1293" t="inlineStr">
        <is>
          <t>New K3</t>
        </is>
      </c>
      <c r="D1293" s="26" t="inlineStr">
        <is>
          <t>Page officielle FiiO dédiée aux entrées/sorties du NEW K3 : liste d'entrées et de sorties explicitement exhaustive. Batterie non traitée par cette page → vide. dsp_peq : aucun EQ/DSP mentionné → vide.</t>
        </is>
      </c>
    </row>
    <row r="1294">
      <c r="A1294" t="n">
        <v>146</v>
      </c>
      <c r="B1294" t="inlineStr">
        <is>
          <t>ddHiFi</t>
        </is>
      </c>
      <c r="C1294" t="inlineStr">
        <is>
          <t>TC35 Pro Tetris</t>
        </is>
      </c>
      <c r="D1294" s="26" t="inlineStr">
        <is>
          <t>Section « I/O » de Headfonics : une seule entrée (USB-C femelle sur la version Tetris) et une seule sortie (3,5 mm) → Non sur les autres sorties et sur le BT. Batterie : aucune des deux sources ne dit explicitement que l'alimentation vient du téléphone → vide. dsp_peq : aucun EQ/DSP mentionné (pas de bouton, pas d'app) → vide.</t>
        </is>
      </c>
    </row>
    <row r="1295">
      <c r="A1295" t="n">
        <v>147</v>
      </c>
      <c r="B1295" t="inlineStr">
        <is>
          <t>Helm Audio</t>
        </is>
      </c>
      <c r="C1295" t="inlineStr">
        <is>
          <t>Bolt</t>
        </is>
      </c>
      <c r="D1295" s="26" t="inlineStr">
        <is>
          <t>La page produit dédiée (helmaudio.com/products/bolt et /bolt-dac) renvoie 404 ; specs du BOLT relevées sur la page bundle du constructeur + fiche specs Audioholics, concordantes (USB-C in / 3,5 mm out uniquement). ⚠️ Piège : la batterie rechargeable 6-8 h de cette page bundle concerne le DB12 (ampli séparé), PAS le BOLT → batterie du BOLT laissée vide, aucune source ne l'énonce explicitement. dsp_peq : aucun EQ/DSP mentionné pour le BOLT → vide.</t>
        </is>
      </c>
    </row>
    <row r="1296">
      <c r="A1296" t="n">
        <v>148</v>
      </c>
      <c r="B1296" t="inlineStr">
        <is>
          <t>Luxury &amp; Precision</t>
        </is>
      </c>
      <c r="C1296" t="inlineStr">
        <is>
          <t>W2</t>
        </is>
      </c>
      <c r="D1296" s="26" t="inlineStr">
        <is>
          <t>Batterie : aucune des deux revues ouvertes ne dit explicitement si le W2 embarque une batterie ou tire son courant de la source → vide. dsp_peq laissé vide malgré un « Hardware Equalizer » à 7 presets fixes (Classical, Jazz, Rock, Pop, Bass, Movie, Game) : presets non paramétrables par l'utilisateur, et les filtres numériques (fast/slow roll-off, NOS) sont exclus par la consigne. Ce n'est donc ni un Oui ni un Non.</t>
        </is>
      </c>
    </row>
    <row r="1297">
      <c r="A1297" t="n">
        <v>149</v>
      </c>
      <c r="B1297" t="inlineStr">
        <is>
          <t>Hidizs</t>
        </is>
      </c>
      <c r="C1297" t="inlineStr">
        <is>
          <t>S9 Pro</t>
        </is>
      </c>
      <c r="D1297" s="26" t="inlineStr">
        <is>
          <t>Sorties prises dans le tableau comparatif constructeur (colonne S9 PRO explicite : « 3.5mm +2.5mm ») et non déduites du S9 ; Headfonics confirme « the additional 2.5mm balanced output ». Bluetooth = Non sur la seule interface de transmission déclarée (USB Type-C). dsp_peq : aucun EQ/DSP ni app mentionnés dans la revue → vide.</t>
        </is>
      </c>
    </row>
    <row r="1298">
      <c r="A1298" t="n">
        <v>150</v>
      </c>
      <c r="B1298" t="inlineStr">
        <is>
          <t>Hidizs</t>
        </is>
      </c>
      <c r="C1298" t="inlineStr">
        <is>
          <t>S3 Pro</t>
        </is>
      </c>
      <c r="D1298" s="26" t="inlineStr">
        <is>
          <t>Les deux pages produit Hidizs testées renvoient 404 ; tableau de specs recopié par Prime Audio (rangée unique « Headphone output ») → liste de sorties exhaustive. Batterie : « Power connector: USB Type-C » ne dit pas explicitement « sans batterie / alimenté par le bus » → vide. Bluetooth : pas de liste d'entrées formelle → vide. dsp_peq : les « 3 firmware tuning options » sélectionnables via l'app Hidizs sont des accordages de firmware, pas un EQ paramétrable → vide.</t>
        </is>
      </c>
    </row>
    <row r="1299">
      <c r="A1299" t="n">
        <v>151</v>
      </c>
      <c r="B1299" t="inlineStr">
        <is>
          <t>iFi audio</t>
        </is>
      </c>
      <c r="C1299" t="inlineStr">
        <is>
          <t>iDSD Diablo</t>
        </is>
      </c>
      <c r="D1299" s="26" t="inlineStr">
        <is>
          <t>Manuel constructeur : la liste numérotée des connexions ne comporte que 6,3 mm SE et 4,4 mm balancé en sortie casque ; le seul 3,5 mm est une ENTRÉE S/PDIF coaxiale/optique, et il faut un adaptateur 3,5→6,3 pour un casque 3,5 mm → out_3_5 = Non. Le câble 4,4 mm vers XLR fourni est un accessoire, l'appareil n'a pas de prise XLR. dsp_peq = Non sur la mention explicite « sets aside sonic tailoring » (pas de XBass/3D sur ce modèle).</t>
        </is>
      </c>
    </row>
    <row r="1300">
      <c r="A1300" t="n">
        <v>152</v>
      </c>
      <c r="B1300" t="inlineStr">
        <is>
          <t>Phatlab</t>
        </is>
      </c>
      <c r="C1300" t="inlineStr">
        <is>
          <t>Chimera</t>
        </is>
      </c>
      <c r="D1300" s="26" t="inlineStr">
        <is>
          <t>⚠️ La page phatlabaudio.com trouvée décrit le « Chimera GT » (modèle voisin, 18650, USB-C, &gt; 20 h) : non utilisée, aucune inférence faite depuis elle. Description du panneau avant Headfonics, présentée comme identique sur les deux versions (avec/sans DAC), lue comme exhaustive → 2,5 / 6,35 / XLR = Non. Bluetooth : ampli analogique, mais aucune source n'énonce l'absence de BT ni ne donne de liste exhaustive d'entrées → vide. dsp_peq : commutateur JFET/tube et gain hi/lo, aucun EQ/DSP → vide.</t>
        </is>
      </c>
    </row>
    <row r="1301">
      <c r="A1301" t="n">
        <v>153</v>
      </c>
      <c r="B1301" t="inlineStr">
        <is>
          <t>HiBy</t>
        </is>
      </c>
      <c r="C1301" t="inlineStr">
        <is>
          <t>FC3</t>
        </is>
      </c>
      <c r="D1301" s="26" t="inlineStr">
        <is>
          <t>Le tableau de specs recopié par Headfonics n'énumère que deux ports (USB Type-C, casque 3,5 mm TRS) → Non sur les autres sorties et sur le BT. ⚠️ La fiche Amazon « HiBy FC3 with Display » porte la référence interne « FC3 II » : écartée pour éviter une confusion de modèle (dont son « No charging required »). dsp_peq : ni MSEB ni PEQ mentionnés pour ce dongle → vide.</t>
        </is>
      </c>
    </row>
    <row r="1302">
      <c r="A1302" t="n">
        <v>154</v>
      </c>
      <c r="B1302" t="inlineStr">
        <is>
          <t>Khadas</t>
        </is>
      </c>
      <c r="C1302" t="inlineStr">
        <is>
          <t>Tone2 Pro</t>
        </is>
      </c>
      <c r="D1302" s="26" t="inlineStr">
        <is>
          <t>⚠️ khadas.com/tone2 ne documente que le Tone2 « simple », pas le Tone2 Pro : non utilisée pour remplir les champs. Entrées du Pro selon Headfonics : USB-C et coaxial, le Bluetooth n'existant que via « an optional Bluetooth expansion card » (option, pas intégré) → Non avec cette réserve. Sorties : 3,5 mm, 4,4 mm et RCA balancé arrière, liste lue comme exhaustive (RCA ≠ XLR). dsp_peq : le bouton donne accès à « track control, headphone output gain, input, and filters » — filtres et gain sont exclus par la consigne, aucun EQ → vide.</t>
        </is>
      </c>
    </row>
    <row r="1303">
      <c r="A1303" t="n">
        <v>155</v>
      </c>
      <c r="B1303" t="inlineStr">
        <is>
          <t>Hidizs</t>
        </is>
      </c>
      <c r="C1303" t="inlineStr">
        <is>
          <t>DH80</t>
        </is>
      </c>
      <c r="D1303" s="26" t="inlineStr">
        <is>
          <t>Page de specs constructeur commune DH80/DH80S : batterie 1300 mAh et tableau des ports casque (PO 3,5 / BAL 4,4) valent pour les deux modèles, aucune inférence depuis le DH80S. Bluetooth : aucune liste d'entrées exhaustive ni mention explicite pour le DH80 (contrairement au DH80s dont Headfonics détaille les deux ports USB-C) → vide, pas de report d'un modèle sur l'autre. dsp_peq : la revue Headfonics parle du MSEB, mais c'est l'égaliseur du DAP AP80 en amont, pas du DH80 → vide.</t>
        </is>
      </c>
    </row>
    <row r="1304">
      <c r="A1304" t="n">
        <v>156</v>
      </c>
      <c r="B1304" t="inlineStr">
        <is>
          <t>iBasso</t>
        </is>
      </c>
      <c r="C1304" t="inlineStr">
        <is>
          <t>DC04</t>
        </is>
      </c>
      <c r="D1304" s="26" t="inlineStr">
        <is>
          <t>Sorties mises à Non sur la base de la formule « single 4.4mm balanced connector for headphone output » (Headfonics), corroborée par HiFiGo (« the only difference being the 4.4mm balanced output port on the DC04 and the 3.5mm single-ended port on the DC03 »). Bluetooth laissé vide : aucune source ouverte ne donne de liste exhaustive d'entrées ni ne nie explicitement le BT. dsp_peq vide : seule une commande de volume 64 pas via l'app iBasso UAC est documentée, ce qui n'est pas un EQ/DSP.</t>
        </is>
      </c>
    </row>
    <row r="1305">
      <c r="A1305" t="n">
        <v>157</v>
      </c>
      <c r="B1305" t="inlineStr">
        <is>
          <t>HiBy</t>
        </is>
      </c>
      <c r="C1305" t="inlineStr">
        <is>
          <t>FD1 &amp; Beans</t>
        </is>
      </c>
      <c r="D1305" s="26" t="inlineStr">
        <is>
          <t>L'entrée « FD1 &amp; Beans » correspond à une review Headfonics groupant deux produits distincts : le FD1 (DAC/ampli USB) et les Beans (écouteurs). Toutes les valeurs ci-dessus portent sur le HiBy FD1 seul. Bluetooth laissé vide : le tableau HiBy ne comporte aucune ligne Bluetooth (ni présence ni absence), et aucune liste explicitement intitulée « entrées » n'est fournie — silence non transformé en Non. dsp_peq vide : aucun EQ/DSP embarqué documenté.</t>
        </is>
      </c>
    </row>
    <row r="1306">
      <c r="A1306" t="n">
        <v>158</v>
      </c>
      <c r="B1306" t="inlineStr">
        <is>
          <t>iFi audio</t>
        </is>
      </c>
      <c r="C1306" t="inlineStr">
        <is>
          <t>iDSD Valkyrie</t>
        </is>
      </c>
      <c r="D1306" s="26" t="inlineStr">
        <is>
          <t>dsp_peq laissé vide : la seule fonction de traitement documentée est le « traitement K2HD, qui restaure les harmoniques au-delà de 22kHz » — un effet activable, pas un EQ paramétrique ni un DSP réglable ; doute assumé. Sorties 2,5 / 6,35 / XLR mises à Non car la ligne « Sorties » du tableau de specs se lit comme exhaustive (elle inclut jusqu'aux sorties ligne).</t>
        </is>
      </c>
    </row>
    <row r="1307">
      <c r="A1307" t="n">
        <v>159</v>
      </c>
      <c r="B1307" t="inlineStr">
        <is>
          <t>FangSound</t>
        </is>
      </c>
      <c r="C1307" t="inlineStr">
        <is>
          <t>Prometheus</t>
        </is>
      </c>
      <c r="D1307" s="26" t="inlineStr">
        <is>
          <t>dsp_peq vide : aucune mention d'EQ ni de DSP sur la fiche constructeur/revendeur ouverte.</t>
        </is>
      </c>
    </row>
    <row r="1308">
      <c r="A1308" t="n">
        <v>160</v>
      </c>
      <c r="B1308" t="inlineStr">
        <is>
          <t>xDuoo</t>
        </is>
      </c>
      <c r="C1308" t="inlineStr">
        <is>
          <t>XD05T</t>
        </is>
      </c>
      <c r="D1308" s="26" t="inlineStr">
        <is>
          <t>ATTENTION out_3_5 : le 3,5 mm figure bien dans la ligne « Sorties » du tableau, mais en tant que « Entrée / Sortie AUX Jack 3.5mm asymétrique » (niveau ligne, avec « Niveau de sortie 2.0Vrms »), PAS comme sortie casque. Les seules sorties casque sont le 6,35 mm et le 4,4 mm. À arbitrer si la colonne du tableau final vise les sorties casque. dsp_peq vide : seules une fonction « Bass Boost » à switch et 3 réglages de gain Turbo (L/M/H) sont documentés — pas un EQ paramétrique.</t>
        </is>
      </c>
    </row>
    <row r="1309">
      <c r="A1309" t="n">
        <v>161</v>
      </c>
      <c r="B1309" t="inlineStr">
        <is>
          <t>iFi audio</t>
        </is>
      </c>
      <c r="C1309" t="inlineStr">
        <is>
          <t>iDSD GR 2</t>
        </is>
      </c>
      <c r="D1309" s="26" t="inlineStr">
        <is>
          <t>Fiche constructeur iFi utilisée (la source_fichier fournie, une page catégorie audiophonics triée par prix, ne contenait pas de specs). dsp_peq laissé vide : la page décrit K2HD (« For those who prefer a lighter touch, 'K2' mode offers similar enhancement without upsampling ») et l'app iFi Nexis (« advanced settings are easy to access and fine-tune ») sans jamais nommer d'égaliseur paramétrique ni de DSP réglable — doute assumé.</t>
        </is>
      </c>
    </row>
    <row r="1310">
      <c r="A1310" t="n">
        <v>162</v>
      </c>
      <c r="B1310" t="inlineStr">
        <is>
          <t>xDuoo</t>
        </is>
      </c>
      <c r="C1310" t="inlineStr">
        <is>
          <t>XD05 BAL</t>
        </is>
      </c>
      <c r="D1310" s="26" t="inlineStr">
        <is>
          <t>Même réserve que pour le XD05T : le 3,5 mm listé dans « Sorties » est un « AUX Jack 3.5mm » de niveau ligne (« Niveau de sortie (AUX) | 2Vrms »), pas une sortie casque. Sorties casque réelles = 6,35 mm et 4,4 mm. dsp_peq vide : seul un « Réglage gain +6dB / -15dB » est documenté.</t>
        </is>
      </c>
    </row>
    <row r="1311">
      <c r="A1311" t="n">
        <v>163</v>
      </c>
      <c r="B1311" t="inlineStr">
        <is>
          <t>FiiO</t>
        </is>
      </c>
      <c r="C1311" t="inlineStr">
        <is>
          <t>BTR7</t>
        </is>
      </c>
      <c r="D1311" s="26" t="inlineStr">
        <is>
          <t>dsp_peq = Oui sur la base d'un égaliseur réglable via l'app FiiO Control ; la source ne précise pas s'il est paramétrique.</t>
        </is>
      </c>
    </row>
    <row r="1312">
      <c r="A1312" t="n">
        <v>164</v>
      </c>
      <c r="B1312" t="inlineStr">
        <is>
          <t>E1DA</t>
        </is>
      </c>
      <c r="C1312" t="inlineStr">
        <is>
          <t>9039S</t>
        </is>
      </c>
      <c r="D1312" s="26" t="inlineStr">
        <is>
          <t>dsp_peq vide : aucune mention d'EQ/DSP sur la fiche (l'app E1DA Tweak9038 n'est pas mentionnée pour ce modèle sur cette page).</t>
        </is>
      </c>
    </row>
    <row r="1313">
      <c r="A1313" t="n">
        <v>165</v>
      </c>
      <c r="B1313" t="inlineStr">
        <is>
          <t>Aune</t>
        </is>
      </c>
      <c r="C1313" t="inlineStr">
        <is>
          <t>Yuki</t>
        </is>
      </c>
      <c r="D1313" s="26" t="inlineStr">
        <is>
          <t>batterie laissée vide : la fiche audiophonics ne comporte AUCUNE ligne « Alimentation » ni mention de batterie, et la review ichos-reviews ouverte ne l'aborde pas non plus. Sorties confirmées par ichos-reviews (« dual headphone outputs – one 3.5mm and one 4.4mm balanced »). dsp_peq vide : aucune mention d'EQ/DSP.</t>
        </is>
      </c>
    </row>
    <row r="1314">
      <c r="A1314" t="n">
        <v>166</v>
      </c>
      <c r="B1314" t="inlineStr">
        <is>
          <t>E1DA</t>
        </is>
      </c>
      <c r="C1314" t="inlineStr">
        <is>
          <t>9038D6K</t>
        </is>
      </c>
      <c r="D1314" s="26" t="inlineStr">
        <is>
          <t>dsp_peq laissé vide et NON mis à Oui : l'app Tweak9038 citée ne permet que « la compensation de distorsion harmonique, [...] un filtre Nyquist, [...] la fréquence de la Master Clock » — filtres numériques du DAC, explicitement exclus du critère PEQ/DSP.</t>
        </is>
      </c>
    </row>
    <row r="1315">
      <c r="A1315" t="n">
        <v>167</v>
      </c>
      <c r="B1315" t="inlineStr">
        <is>
          <t>iFi audio</t>
        </is>
      </c>
      <c r="C1315" t="inlineStr">
        <is>
          <t>GO Blu Air</t>
        </is>
      </c>
      <c r="D1315" s="26" t="inlineStr">
        <is>
          <t>Fiche constructeur iFi utilisée (la source_fichier fournie était une page catégorie audiophonics sans specs). dsp_peq laissé vide : les seuls traitements documentés, XBass et XSpace, sont qualifiés par iFi de « Analogue bass and soundstage processing » — donc analogiques et non réglables comme un EQ paramétrique.</t>
        </is>
      </c>
    </row>
    <row r="1316">
      <c r="A1316" t="n">
        <v>168</v>
      </c>
      <c r="B1316" t="inlineStr">
        <is>
          <t>E1DA</t>
        </is>
      </c>
      <c r="C1316" t="inlineStr">
        <is>
          <t>9038S Gen 3</t>
        </is>
      </c>
      <c r="D1316" s="26" t="inlineStr">
        <is>
          <t>dsp_peq laissé vide : l'app Tweak9038 mentionnée ne propose que compensation de distorsion, filtre Nyquist et fréquence de Master Clock — hors critère PEQ/DSP.</t>
        </is>
      </c>
    </row>
    <row r="1317">
      <c r="A1317" t="n">
        <v>169</v>
      </c>
      <c r="B1317" t="inlineStr">
        <is>
          <t>iBasso</t>
        </is>
      </c>
      <c r="C1317" t="inlineStr">
        <is>
          <t>DC04U Ultra</t>
        </is>
      </c>
      <c r="D1317" s="26" t="inlineStr">
        <is>
          <t>batterie laissée vide : ni la fiche audiophonics (aucune ligne « Alimentation »), ni la fiche du distributeur officiel ibasso-shop.eu, ni la review Headfonia n'indiquent explicitement l'absence de batterie ou l'alimentation par le bus USB. PEQ 10 bandes confirmé par une 2e source (Headfonia : « The iBasso UAC app adds more settings to play, including channel balance, filter selection, and 10-band PEQ support. »). Une sortie SPDIF coaxiale sur jack 3,5 mm existe en plus de la sortie casque 3,5 mm.</t>
        </is>
      </c>
    </row>
    <row r="1318">
      <c r="A1318" t="n">
        <v>170</v>
      </c>
      <c r="B1318" t="inlineStr">
        <is>
          <t>Aiyima</t>
        </is>
      </c>
      <c r="C1318" t="inlineStr">
        <is>
          <t>H4</t>
        </is>
      </c>
      <c r="D1318" s="26" t="inlineStr">
        <is>
          <t>batterie laissée vide : la fiche ne comporte aucune ligne « Alimentation » ni mention de batterie (les deux autres sources fournies sont des vidéos YouTube et un blog coréen, non ouverts comme sources de specs). dsp_peq laissé vide et NON mis à Oui : seuls « 8 modes de filtres PCM » et « un gain à deux niveaux (haut/bas) » sont documentés — filtres numériques du DAC et gain, explicitement exclus du critère. La sortie 3,5 mm sert aussi de sortie SPDIF.</t>
        </is>
      </c>
    </row>
    <row r="1319">
      <c r="A1319" t="n">
        <v>171</v>
      </c>
      <c r="B1319" t="inlineStr">
        <is>
          <t>Aune</t>
        </is>
      </c>
      <c r="C1319" t="inlineStr">
        <is>
          <t>Yuki SE</t>
        </is>
      </c>
      <c r="D1319" s="26" t="inlineStr">
        <is>
          <t>batterie laissée vide : ni la page constructeur (aune-store) ni Audiophonics n'énoncent la source d'alimentation (aucune ligne Alimentation dans le tableau). dsp_peq vide : aucune source ouverte ne mentionne d'EQ/DSP réglable ni d'application. Sorties 2,5/6,35/XLR mises à Non sur la base de la mention constructeur « Two Headphone outputs » (liste close). La source hifidudes.com fournie en entrée est morte (domaine parqué chez Dynadot).</t>
        </is>
      </c>
    </row>
    <row r="1320">
      <c r="A1320" t="n">
        <v>172</v>
      </c>
      <c r="B1320" t="inlineStr">
        <is>
          <t>Tanchjim</t>
        </is>
      </c>
      <c r="C1320" t="inlineStr">
        <is>
          <t>Space Pro</t>
        </is>
      </c>
      <c r="D1320" s="26" t="inlineStr">
        <is>
          <t>batterie laissée vide : aucune ligne Alimentation dans le tableau de specs, aucune mention de batterie ni d'alimentation par le bus. dsp_peq = Oui sur la base de l'égalisation 10 bandes réglable par l'application Tanchjim (pas un simple filtre numérique de DAC : les modes Class AB/H et les presets sont distincts et l'EQ est explicitement une égalisation multibande utilisateur).</t>
        </is>
      </c>
    </row>
    <row r="1321">
      <c r="A1321" t="n">
        <v>173</v>
      </c>
      <c r="B1321" t="inlineStr">
        <is>
          <t>Fosi Audio</t>
        </is>
      </c>
      <c r="C1321" t="inlineStr">
        <is>
          <t>DS3</t>
        </is>
      </c>
      <c r="D1321" s="26" t="inlineStr">
        <is>
          <t>dsp_peq = Oui : la page constructeur annonce un EQ matériel réglable via un panneau de contrôle web ; le revendeur theaudiostore.in précise « 8-band hardware-level PEQ (adjustable via web-based control panel) ». Réserve à signaler : la review mobileaudiophile écrit « Regarding PEQ, the product page mentions a web interface that I assume is Walkplay, but it doesn't work on a Mac. No information is available, so it could be something that hasn't been released yet. » — l'existence de la fonction n'est pas contredite, seule sa disponibilité pratique est mise en doute. Les 8 filtres numériques et les modes FPS/7.1 n'ont PAS été comptés comme DSP/PEQ.</t>
        </is>
      </c>
    </row>
    <row r="1322">
      <c r="A1322" t="n">
        <v>174</v>
      </c>
      <c r="B1322" t="inlineStr">
        <is>
          <t>Fosi Audio</t>
        </is>
      </c>
      <c r="C1322" t="inlineStr">
        <is>
          <t>SK02</t>
        </is>
      </c>
      <c r="D1322" s="26" t="inlineStr">
        <is>
          <t>batterie = Non appuyé sur deux sources concordantes : Headfonia (« USB-Powered ») et la ligne « Alimentation : 5V DC via USB-C » du tableau Audiophonics. dsp_peq laissé vide : Headfonia énumère les commandes (bouton de gain, bouton de sélection d'entrée, volume) sans mentionner d'EQ, mais aucune source ne se prononce explicitement sur l'absence d'EQ/DSP — silence ≠ Non.</t>
        </is>
      </c>
    </row>
    <row r="1323">
      <c r="A1323" t="n">
        <v>175</v>
      </c>
      <c r="B1323" t="inlineStr">
        <is>
          <t>CrinEar</t>
        </is>
      </c>
      <c r="C1323" t="inlineStr">
        <is>
          <t>Protocol Max</t>
        </is>
      </c>
      <c r="D1323" s="26" t="inlineStr">
        <is>
          <t>batterie laissée vide : aucune ligne Alimentation, aucune mention de batterie ni d'alimentation par le bus dans la source ouverte (les modes Eco/Boost concernent la puissance de sortie, pas la source d'énergie).</t>
        </is>
      </c>
    </row>
    <row r="1324">
      <c r="A1324" t="n">
        <v>176</v>
      </c>
      <c r="B1324" t="inlineStr">
        <is>
          <t>ROSESELSA</t>
        </is>
      </c>
      <c r="C1324" t="inlineStr">
        <is>
          <t>RS9029</t>
        </is>
      </c>
      <c r="D1324" s="26" t="inlineStr">
        <is>
          <t>⚠️ Ambiguïté de référence : la page Audiophonics ouverte est intitulée exactement « ROSESELSA RS9029 Portable DAC ES9039Q2M 32bit 384kHz DSD256 » — elle nomme donc bien le RS9029 — mais son URL et le reste du marché parlent du RS9039 (même puce ES9039Q2M). Il est possible que « RS9029 » soit une coquille d'Audiophonics reprise dans le fichier source ; les valeurs ci-dessus proviennent de la seule page qui porte le nom RS9029. batterie et dsp_peq laissés vides : aucune ligne Alimentation, ni mention de batterie, d'EQ, de DSP ou d'application sur la page ouverte.</t>
        </is>
      </c>
    </row>
    <row r="1325">
      <c r="A1325" t="n">
        <v>177</v>
      </c>
      <c r="B1325" t="inlineStr">
        <is>
          <t>iFi audio</t>
        </is>
      </c>
      <c r="C1325" t="inlineStr">
        <is>
          <t>GO Link 2 Max</t>
        </is>
      </c>
      <c r="D1325" s="26" t="inlineStr">
        <is>
          <t>batterie laissée vide : la page constructeur ne comporte aucune ligne d'alimentation et n'écrit nulle part que l'appareil est alimenté par l'hôte — l'absence de batterie n'est donc pas attestée, seulement vraisemblable. dsp_peq laissé vide volontairement : la page ne propose que le choix de filtres numériques (« hybrid » / « linear ») via l'app iFi Nexis et la fonction DRE (Dynamic Range Enhancement), ce qui n'est ni un EQ paramétrique ni un DSP multibande réglable au sens de la consigne.</t>
        </is>
      </c>
    </row>
    <row r="1326">
      <c r="A1326" t="n">
        <v>178</v>
      </c>
      <c r="B1326" t="inlineStr">
        <is>
          <t>Fosi Audio</t>
        </is>
      </c>
      <c r="C1326" t="inlineStr">
        <is>
          <t>DS1</t>
        </is>
      </c>
      <c r="D1326" s="26" t="inlineStr">
        <is>
          <t>batterie et dsp_peq laissés vides : le tableau Audiophonics ne comporte ni ligne Alimentation ni mention de batterie, d'EQ, de DSP ou d'application. Aucune donnée du DS3 n'a été reportée sur le DS1 (modèles distincts, puces différentes : ES9038Q2M vs ES9039Q2M).</t>
        </is>
      </c>
    </row>
    <row r="1327">
      <c r="A1327" t="n">
        <v>179</v>
      </c>
      <c r="B1327" t="inlineStr">
        <is>
          <t>Tanchjim</t>
        </is>
      </c>
      <c r="C1327" t="inlineStr">
        <is>
          <t>Space</t>
        </is>
      </c>
      <c r="D1327" s="26" t="inlineStr">
        <is>
          <t>batterie et dsp_peq laissés vides : aucune ligne Alimentation, aucune mention de batterie, d'EQ, de DSP ou d'application Tanchjim sur la page ouverte. L'égalisation 10 bandes documentée pour le Space Pro n'a PAS été reportée sur le Space (modèles distincts, puces différentes : 2x CS43131 vs 2x CS43198).</t>
        </is>
      </c>
    </row>
    <row r="1330">
      <c r="A1330" s="28" t="inlineStr">
        <is>
          <t>Règles de convention retenues pour ces colonnes</t>
        </is>
      </c>
    </row>
    <row r="1331">
      <c r="A1331" s="26" t="inlineStr">
        <is>
          <t>• Sorties (F-J) : seules les prises CASQUE comptent. Un jack de niveau ligne (AUX) ou une entrée ne vaut pas une sortie.</t>
        </is>
      </c>
    </row>
    <row r="1332">
      <c r="A1332" s="26" t="inlineStr">
        <is>
          <t>• DSP/PEQ (K) : « Oui » = courbe d'égalisation définie par l'utilisateur et stockée dans l'appareil, ou DSP embarqué réglable. Exclus : presets fixes seuls, correction grave/aigu, filtres numériques du DAC, et l'égaliseur appartenant à l'application lecteur (Eddict Player, HiBy Music).</t>
        </is>
      </c>
    </row>
    <row r="1333">
      <c r="A1333" s="26" t="inlineStr">
        <is>
          <t>• Produits à variantes mono-sortie : mention « Selon variante » plutôt qu'un Oui/Non faux pour toute unité réelle.</t>
        </is>
      </c>
    </row>
    <row r="1335">
      <c r="A1335" s="28" t="inlineStr">
        <is>
          <t>Cellules ajustées par ces règles après la vérification</t>
        </is>
      </c>
    </row>
    <row r="1336">
      <c r="A1336" s="28" t="inlineStr">
        <is>
          <t>Ligne</t>
        </is>
      </c>
      <c r="B1336" s="28" t="inlineStr">
        <is>
          <t>Marque</t>
        </is>
      </c>
      <c r="C1336" s="28" t="inlineStr">
        <is>
          <t>Modèle</t>
        </is>
      </c>
      <c r="D1336" s="28" t="inlineStr">
        <is>
          <t>Champ</t>
        </is>
      </c>
      <c r="E1336" s="28" t="inlineStr">
        <is>
          <t>Avant</t>
        </is>
      </c>
      <c r="F1336" s="28" t="inlineStr">
        <is>
          <t>Après</t>
        </is>
      </c>
      <c r="G1336" s="28" t="inlineStr">
        <is>
          <t>Motif</t>
        </is>
      </c>
    </row>
    <row r="1337">
      <c r="A1337" t="n">
        <v>160</v>
      </c>
      <c r="B1337" t="inlineStr">
        <is>
          <t>xDuoo</t>
        </is>
      </c>
      <c r="C1337" t="inlineStr">
        <is>
          <t>XD05T</t>
        </is>
      </c>
      <c r="D1337" t="inlineStr">
        <is>
          <t>3.5mm</t>
        </is>
      </c>
      <c r="E1337" t="inlineStr">
        <is>
          <t>Oui</t>
        </is>
      </c>
      <c r="F1337" t="inlineStr">
        <is>
          <t>Non</t>
        </is>
      </c>
      <c r="G1337" s="26" t="inlineStr">
        <is>
          <t>Le 3,5 mm figure dans la ligne « Sorties » mais comme « Entrée / Sortie AUX » de niveau ligne (2,0 Vrms). Seules sorties casque : 6,35 et 4,4 mm.</t>
        </is>
      </c>
    </row>
    <row r="1338">
      <c r="A1338" t="n">
        <v>162</v>
      </c>
      <c r="B1338" t="inlineStr">
        <is>
          <t>xDuoo</t>
        </is>
      </c>
      <c r="C1338" t="inlineStr">
        <is>
          <t>XD05 BAL</t>
        </is>
      </c>
      <c r="D1338" t="inlineStr">
        <is>
          <t>3.5mm</t>
        </is>
      </c>
      <c r="E1338" t="inlineStr">
        <is>
          <t>Oui</t>
        </is>
      </c>
      <c r="F1338" t="inlineStr">
        <is>
          <t>Non</t>
        </is>
      </c>
      <c r="G1338" s="26" t="inlineStr">
        <is>
          <t>Le 3,5 mm listé dans « Sorties » est un « AUX Jack 3.5mm » de niveau ligne (2 Vrms). Sorties casque réelles : 6,35 et 4,4 mm.</t>
        </is>
      </c>
    </row>
    <row r="1339">
      <c r="A1339" t="n">
        <v>91</v>
      </c>
      <c r="B1339" t="inlineStr">
        <is>
          <t>xDuoo</t>
        </is>
      </c>
      <c r="C1339" t="inlineStr">
        <is>
          <t>XD05 Pro</t>
        </is>
      </c>
      <c r="D1339" t="inlineStr">
        <is>
          <t>3.5mm</t>
        </is>
      </c>
      <c r="E1339" t="inlineStr">
        <is>
          <t>(vide)</t>
        </is>
      </c>
      <c r="F1339" t="inlineStr">
        <is>
          <t>Non</t>
        </is>
      </c>
      <c r="G1339" s="26" t="inlineStr">
        <is>
          <t>Façade = 6,35 + 4,4 mm uniquement ; le 3,5 mm arrière est une entrée ou une sortie de niveau ligne selon réglage. Devient attesté sous la règle « sorties casque uniquement ».</t>
        </is>
      </c>
    </row>
    <row r="1340">
      <c r="A1340" t="n">
        <v>51</v>
      </c>
      <c r="B1340" t="inlineStr">
        <is>
          <t>xDuoo</t>
        </is>
      </c>
      <c r="C1340" t="inlineStr">
        <is>
          <t>XD05 Basic2</t>
        </is>
      </c>
      <c r="D1340" t="inlineStr">
        <is>
          <t>3.5mm</t>
        </is>
      </c>
      <c r="E1340" t="inlineStr">
        <is>
          <t>(vide)</t>
        </is>
      </c>
      <c r="F1340" t="inlineStr">
        <is>
          <t>Non</t>
        </is>
      </c>
      <c r="G1340" s="26" t="inlineStr">
        <is>
          <t>« There is only one 6.35 mm headphone output jack on the front » : aucune sortie casque 3,5 mm. Le connecteur AUX arrière ne compte pas.</t>
        </is>
      </c>
    </row>
    <row r="1341">
      <c r="A1341" t="n">
        <v>44</v>
      </c>
      <c r="B1341" t="inlineStr">
        <is>
          <t>FiiO</t>
        </is>
      </c>
      <c r="C1341" t="inlineStr">
        <is>
          <t>SNOWSKY Tiny</t>
        </is>
      </c>
      <c r="D1341" t="inlineStr">
        <is>
          <t>4.4mm</t>
        </is>
      </c>
      <c r="E1341" t="inlineStr">
        <is>
          <t>Oui</t>
        </is>
      </c>
      <c r="F1341" t="inlineStr">
        <is>
          <t>Selon variante</t>
        </is>
      </c>
      <c r="G1341" s="26" t="inlineStr">
        <is>
          <t>SNOWSKY Tiny A : « Headphone Jack: 3.5mm (single-ended), USB-C » — pas de 4,4 mm. Tiny B : 3,5 + 4,4 mm. Le 3,5 mm reste « Oui » (présent sur les deux).</t>
        </is>
      </c>
    </row>
    <row r="1342">
      <c r="A1342" t="n">
        <v>49</v>
      </c>
      <c r="B1342" t="inlineStr">
        <is>
          <t>FiiO</t>
        </is>
      </c>
      <c r="C1342" t="inlineStr">
        <is>
          <t>JIEZI</t>
        </is>
      </c>
      <c r="D1342" t="inlineStr">
        <is>
          <t>3.5mm</t>
        </is>
      </c>
      <c r="E1342" t="inlineStr">
        <is>
          <t>Oui</t>
        </is>
      </c>
      <c r="F1342" t="inlineStr">
        <is>
          <t>Selon variante</t>
        </is>
      </c>
      <c r="G1342" s="26" t="inlineStr">
        <is>
          <t>JIEZI A = 3,5 mm seul, JIEZI B = 4,4 mm seul. Aucune unité ne possède les deux.</t>
        </is>
      </c>
    </row>
    <row r="1343">
      <c r="A1343" t="n">
        <v>49</v>
      </c>
      <c r="B1343" t="inlineStr">
        <is>
          <t>FiiO</t>
        </is>
      </c>
      <c r="C1343" t="inlineStr">
        <is>
          <t>JIEZI</t>
        </is>
      </c>
      <c r="D1343" t="inlineStr">
        <is>
          <t>4.4mm</t>
        </is>
      </c>
      <c r="E1343" t="inlineStr">
        <is>
          <t>Oui</t>
        </is>
      </c>
      <c r="F1343" t="inlineStr">
        <is>
          <t>Selon variante</t>
        </is>
      </c>
      <c r="G1343" s="26" t="inlineStr">
        <is>
          <t>JIEZI A = 3,5 mm seul, JIEZI B = 4,4 mm seul. Aucune unité ne possède les deux.</t>
        </is>
      </c>
    </row>
    <row r="1344">
      <c r="A1344" t="n">
        <v>23</v>
      </c>
      <c r="B1344" t="inlineStr">
        <is>
          <t>xDuoo</t>
        </is>
      </c>
      <c r="C1344" t="inlineStr">
        <is>
          <t>POKE II</t>
        </is>
      </c>
      <c r="D1344" t="inlineStr">
        <is>
          <t>DSP/PEQ</t>
        </is>
      </c>
      <c r="E1344" t="inlineStr">
        <is>
          <t>Non</t>
        </is>
      </c>
      <c r="F1344" t="inlineStr">
        <is>
          <t>https://hifigo.com/products/xduoo-poke-ii-portable-dac-amplifier</t>
        </is>
      </c>
      <c r="G1344" s="26" t="inlineStr">
        <is>
          <t>Built-in EQ Presets (Pop, Cinema, Game) ; Bass boost: ±10dB ; Treble boost: ±10dB — presets fixes + correcteur grave/aigu, exclus par la convention</t>
        </is>
      </c>
      <c r="H1344" t="inlineStr">
        <is>
          <t>2026-08-10</t>
        </is>
      </c>
    </row>
    <row r="1345">
      <c r="A1345" t="n">
        <v>56</v>
      </c>
      <c r="B1345" t="inlineStr">
        <is>
          <t>Shanling</t>
        </is>
      </c>
      <c r="C1345" t="inlineStr">
        <is>
          <t>UP6</t>
        </is>
      </c>
      <c r="D1345" t="inlineStr">
        <is>
          <t>DSP/PEQ</t>
        </is>
      </c>
      <c r="E1345" t="inlineStr">
        <is>
          <t>Oui</t>
        </is>
      </c>
      <c r="F1345" t="inlineStr">
        <is>
          <t>https://headfonics.com/shanling-up6-review/</t>
        </is>
      </c>
      <c r="G1345" s="26" t="inlineStr">
        <is>
          <t>The UP6 also has 2.0 and 1.0 USB DAC modes, built-in user tweakable equalizer presets [...] There are also EQ presets, and you can make your own and recall them later on. [...] you can customize the EQ presets, load them up to the UP6, and then take them on the go — courbe définie par l'utilisateur chargée et conservée dans l'appareil</t>
        </is>
      </c>
      <c r="H1345" t="inlineStr">
        <is>
          <t>2026-08-10</t>
        </is>
      </c>
    </row>
    <row r="1346">
      <c r="A1346" t="n">
        <v>114</v>
      </c>
      <c r="B1346" t="inlineStr">
        <is>
          <t>Shanling</t>
        </is>
      </c>
      <c r="C1346" t="inlineStr">
        <is>
          <t>UA3</t>
        </is>
      </c>
      <c r="D1346" t="inlineStr">
        <is>
          <t>DSP/PEQ</t>
        </is>
      </c>
      <c r="E1346" t="inlineStr">
        <is>
          <t>Non</t>
        </is>
      </c>
      <c r="F1346" t="inlineStr">
        <is>
          <t>https://headfonics.com/shanling-ua3-review/</t>
        </is>
      </c>
      <c r="G1346" s="26" t="inlineStr">
        <is>
          <t>There's a ten-band equalizer with ten custom presets, a few filters plus a gain — égaliseur 10 bandes de l'application lecteur Eddict Player, exclu par la convention (traitement harmonisé avec UA2/UA4/UA1 Plus)</t>
        </is>
      </c>
      <c r="H1346" t="inlineStr">
        <is>
          <t>2026-08-10</t>
        </is>
      </c>
    </row>
    <row r="1347">
      <c r="A1347" t="n">
        <v>144</v>
      </c>
      <c r="B1347" t="inlineStr">
        <is>
          <t>Shanling</t>
        </is>
      </c>
      <c r="C1347" t="inlineStr">
        <is>
          <t>UA2</t>
        </is>
      </c>
      <c r="D1347" t="inlineStr">
        <is>
          <t>DSP/PEQ</t>
        </is>
      </c>
      <c r="E1347" t="inlineStr">
        <is>
          <t>Non</t>
        </is>
      </c>
      <c r="F1347" t="inlineStr">
        <is>
          <t>https://headfonics.com/shanling-ua2-review/</t>
        </is>
      </c>
      <c r="G1347" s="26" t="inlineStr">
        <is>
          <t>There is a 10-band equalizer along with some digital phase filter presets — égaliseur de l'application Eddict Player + presets de filtres, exclus par la convention (cohérent avec le traitement des autres UA)</t>
        </is>
      </c>
      <c r="H1347" t="inlineStr">
        <is>
          <t>2026-08-10</t>
        </is>
      </c>
    </row>
    <row r="1348">
      <c r="A1348" t="n">
        <v>163</v>
      </c>
      <c r="B1348" t="inlineStr">
        <is>
          <t>FiiO</t>
        </is>
      </c>
      <c r="C1348" t="inlineStr">
        <is>
          <t>BTR7</t>
        </is>
      </c>
      <c r="D1348" t="inlineStr">
        <is>
          <t>DSP/PEQ</t>
        </is>
      </c>
      <c r="E1348" t="inlineStr">
        <is>
          <t>Oui</t>
        </is>
      </c>
      <c r="F1348" t="inlineStr">
        <is>
          <t>https://fiio-file.fiio.net/70%E4%B8%8A%E4%BC%A0%E7%9A%84%E6%96%87%E4%BB%B6/PEQ%20Settings%20Instructions%20for%20FiiO%20Portable%20DAC&amp;AMP.pdf</t>
        </is>
      </c>
      <c r="G1348" s="26" t="inlineStr">
        <is>
          <t>FiiO Products that support Bluetooth PEQ settings include: UTWS5 2025, Q7, Q15, BTR13, BTR15, BTR17, FW5, FW3, UTWS5, K9, K9AKM, K9Pro, K9Pro ESS, K17, K19, K15, K7BT, BTR7</t>
        </is>
      </c>
      <c r="H1348" t="inlineStr">
        <is>
          <t>2026-08-10</t>
        </is>
      </c>
    </row>
    <row r="1349">
      <c r="A1349" t="n">
        <v>23</v>
      </c>
      <c r="B1349" t="inlineStr">
        <is>
          <t>xDuoo</t>
        </is>
      </c>
      <c r="C1349" t="inlineStr">
        <is>
          <t>POKE II</t>
        </is>
      </c>
      <c r="D1349" t="inlineStr">
        <is>
          <t>2.5mm</t>
        </is>
      </c>
      <c r="E1349" t="inlineStr">
        <is>
          <t>Non</t>
        </is>
      </c>
      <c r="F1349" t="inlineStr">
        <is>
          <t>https://hifigo.com/products/xduoo-poke-ii-portable-dac-amplifier</t>
        </is>
      </c>
      <c r="G1349" t="inlineStr">
        <is>
          <t>4.4mm balanced+3.5mm Single-ended headphone outputs</t>
        </is>
      </c>
      <c r="H1349" t="inlineStr">
        <is>
          <t>2026-08-10</t>
        </is>
      </c>
    </row>
    <row r="1350">
      <c r="A1350" t="n">
        <v>23</v>
      </c>
      <c r="B1350" t="inlineStr">
        <is>
          <t>xDuoo</t>
        </is>
      </c>
      <c r="C1350" t="inlineStr">
        <is>
          <t>POKE II</t>
        </is>
      </c>
      <c r="D1350" t="inlineStr">
        <is>
          <t>6.35mm</t>
        </is>
      </c>
      <c r="E1350" t="inlineStr">
        <is>
          <t>Non</t>
        </is>
      </c>
      <c r="F1350" t="inlineStr">
        <is>
          <t>https://hifigo.com/products/xduoo-poke-ii-portable-dac-amplifier</t>
        </is>
      </c>
      <c r="G1350" t="inlineStr">
        <is>
          <t>4.4mm balanced+3.5mm Single-ended headphone outputs</t>
        </is>
      </c>
      <c r="H1350" t="inlineStr">
        <is>
          <t>2026-08-10</t>
        </is>
      </c>
    </row>
    <row r="1351">
      <c r="A1351" t="n">
        <v>23</v>
      </c>
      <c r="B1351" t="inlineStr">
        <is>
          <t>xDuoo</t>
        </is>
      </c>
      <c r="C1351" t="inlineStr">
        <is>
          <t>POKE II</t>
        </is>
      </c>
      <c r="D1351" t="inlineStr">
        <is>
          <t>XLR</t>
        </is>
      </c>
      <c r="E1351" t="inlineStr">
        <is>
          <t>Non</t>
        </is>
      </c>
      <c r="F1351" t="inlineStr">
        <is>
          <t>https://hifigo.com/products/xduoo-poke-ii-portable-dac-amplifier</t>
        </is>
      </c>
      <c r="G1351" t="inlineStr">
        <is>
          <t>4.4mm balanced+3.5mm Single-ended headphone outputs</t>
        </is>
      </c>
      <c r="H1351" t="inlineStr">
        <is>
          <t>2026-08-10</t>
        </is>
      </c>
    </row>
    <row r="1352">
      <c r="A1352" t="n">
        <v>30</v>
      </c>
      <c r="B1352" t="inlineStr">
        <is>
          <t>Questyle</t>
        </is>
      </c>
      <c r="C1352" t="inlineStr">
        <is>
          <t>M15C</t>
        </is>
      </c>
      <c r="D1352" t="inlineStr">
        <is>
          <t>Batterie</t>
        </is>
      </c>
      <c r="E1352" t="inlineStr">
        <is>
          <t>Non</t>
        </is>
      </c>
      <c r="F1352" t="inlineStr">
        <is>
          <t>https://www.audiophonics.fr/en/portable-dac-and-mobile/questyle-m15c-p-20765.html</t>
        </is>
      </c>
      <c r="G1352" t="inlineStr">
        <is>
          <t>Power Supply: Via USB-C</t>
        </is>
      </c>
      <c r="H1352" t="inlineStr">
        <is>
          <t>2026-08-10</t>
        </is>
      </c>
    </row>
    <row r="1353">
      <c r="A1353" t="n">
        <v>30</v>
      </c>
      <c r="B1353" t="inlineStr">
        <is>
          <t>Questyle</t>
        </is>
      </c>
      <c r="C1353" t="inlineStr">
        <is>
          <t>M15C</t>
        </is>
      </c>
      <c r="D1353" t="inlineStr">
        <is>
          <t>Bluetooth</t>
        </is>
      </c>
      <c r="E1353" t="inlineStr">
        <is>
          <t>Non</t>
        </is>
      </c>
      <c r="F1353" t="inlineStr">
        <is>
          <t>https://www.audiophonics.fr/en/portable-dac-and-mobile/questyle-m15c-p-20765.html</t>
        </is>
      </c>
      <c r="G1353" t="inlineStr">
        <is>
          <t>Input: 1x USB-C</t>
        </is>
      </c>
      <c r="H1353" t="inlineStr">
        <is>
          <t>2026-08-10</t>
        </is>
      </c>
    </row>
    <row r="1354">
      <c r="A1354" t="n">
        <v>30</v>
      </c>
      <c r="B1354" t="inlineStr">
        <is>
          <t>Questyle</t>
        </is>
      </c>
      <c r="C1354" t="inlineStr">
        <is>
          <t>M15C</t>
        </is>
      </c>
      <c r="D1354" t="inlineStr">
        <is>
          <t>2.5mm</t>
        </is>
      </c>
      <c r="E1354" t="inlineStr">
        <is>
          <t>Non</t>
        </is>
      </c>
      <c r="F1354" t="inlineStr">
        <is>
          <t>https://www.audiophonics.fr/en/portable-dac-and-mobile/questyle-m15c-p-20765.html</t>
        </is>
      </c>
      <c r="G1354" t="inlineStr">
        <is>
          <t>1x 3.5mm jack headphone output ; 1x Balanced 4.4mm jack headphone output</t>
        </is>
      </c>
      <c r="H1354" t="inlineStr">
        <is>
          <t>2026-08-10</t>
        </is>
      </c>
    </row>
    <row r="1355">
      <c r="A1355" t="n">
        <v>30</v>
      </c>
      <c r="B1355" t="inlineStr">
        <is>
          <t>Questyle</t>
        </is>
      </c>
      <c r="C1355" t="inlineStr">
        <is>
          <t>M15C</t>
        </is>
      </c>
      <c r="D1355" t="inlineStr">
        <is>
          <t>6.35mm</t>
        </is>
      </c>
      <c r="E1355" t="inlineStr">
        <is>
          <t>Non</t>
        </is>
      </c>
      <c r="F1355" t="inlineStr">
        <is>
          <t>https://www.audiophonics.fr/en/portable-dac-and-mobile/questyle-m15c-p-20765.html</t>
        </is>
      </c>
      <c r="G1355" t="inlineStr">
        <is>
          <t>1x 3.5mm jack headphone output ; 1x Balanced 4.4mm jack headphone output</t>
        </is>
      </c>
      <c r="H1355" t="inlineStr">
        <is>
          <t>2026-08-10</t>
        </is>
      </c>
    </row>
    <row r="1356">
      <c r="A1356" t="n">
        <v>30</v>
      </c>
      <c r="B1356" t="inlineStr">
        <is>
          <t>Questyle</t>
        </is>
      </c>
      <c r="C1356" t="inlineStr">
        <is>
          <t>M15C</t>
        </is>
      </c>
      <c r="D1356" t="inlineStr">
        <is>
          <t>XLR</t>
        </is>
      </c>
      <c r="E1356" t="inlineStr">
        <is>
          <t>Non</t>
        </is>
      </c>
      <c r="F1356" t="inlineStr">
        <is>
          <t>https://www.audiophonics.fr/en/portable-dac-and-mobile/questyle-m15c-p-20765.html</t>
        </is>
      </c>
      <c r="G1356" t="inlineStr">
        <is>
          <t>1x 3.5mm jack headphone output ; 1x Balanced 4.4mm jack headphone output</t>
        </is>
      </c>
      <c r="H1356" t="inlineStr">
        <is>
          <t>2026-08-10</t>
        </is>
      </c>
    </row>
    <row r="1357">
      <c r="A1357" t="n">
        <v>150</v>
      </c>
      <c r="B1357" t="inlineStr">
        <is>
          <t>Hidizs</t>
        </is>
      </c>
      <c r="C1357" t="inlineStr">
        <is>
          <t>S3 Pro</t>
        </is>
      </c>
      <c r="D1357" t="inlineStr">
        <is>
          <t>Batterie</t>
        </is>
      </c>
      <c r="E1357" t="inlineStr">
        <is>
          <t>Non</t>
        </is>
      </c>
      <c r="F1357" t="inlineStr">
        <is>
          <t>https://www.hidizs.net/pages/s3-pro-specifications</t>
        </is>
      </c>
      <c r="G1357" t="inlineStr">
        <is>
          <t>Power Connector: Type-C</t>
        </is>
      </c>
      <c r="H1357" t="inlineStr">
        <is>
          <t>2026-08-10</t>
        </is>
      </c>
    </row>
    <row r="1358">
      <c r="A1358" t="n">
        <v>150</v>
      </c>
      <c r="B1358" t="inlineStr">
        <is>
          <t>Hidizs</t>
        </is>
      </c>
      <c r="C1358" t="inlineStr">
        <is>
          <t>S3 Pro</t>
        </is>
      </c>
      <c r="D1358" t="inlineStr">
        <is>
          <t>Bluetooth</t>
        </is>
      </c>
      <c r="E1358" t="inlineStr">
        <is>
          <t>Non</t>
        </is>
      </c>
      <c r="F1358" t="inlineStr">
        <is>
          <t>https://www.hidizs.net/pages/s3-pro-specifications</t>
        </is>
      </c>
      <c r="G1358" t="inlineStr">
        <is>
          <t>Power Connector: Type-C ; Output: Single-ended 3.5mm headphone port (tableau de specs officiel complet, aucune interface sans fil)</t>
        </is>
      </c>
      <c r="H1358" t="inlineStr">
        <is>
          <t>2026-08-10</t>
        </is>
      </c>
    </row>
    <row r="1359">
      <c r="A1359" t="n">
        <v>150</v>
      </c>
      <c r="B1359" t="inlineStr">
        <is>
          <t>Hidizs</t>
        </is>
      </c>
      <c r="C1359" t="inlineStr">
        <is>
          <t>S3 Pro</t>
        </is>
      </c>
      <c r="D1359" t="inlineStr">
        <is>
          <t>DSP/PEQ</t>
        </is>
      </c>
      <c r="E1359" t="inlineStr">
        <is>
          <t>Non</t>
        </is>
      </c>
      <c r="F1359" t="inlineStr">
        <is>
          <t>https://www.hidizs.net/pages/s3-pro-specifications</t>
        </is>
      </c>
      <c r="G1359" t="inlineStr">
        <is>
          <t>tableau de specs officiel complet : aucune fonction EQ/DSP, aucune application de contrôle</t>
        </is>
      </c>
      <c r="H1359" t="inlineStr">
        <is>
          <t>2026-08-10</t>
        </is>
      </c>
    </row>
    <row r="1360">
      <c r="A1360" t="n">
        <v>73</v>
      </c>
      <c r="B1360" t="inlineStr">
        <is>
          <t>LETSHUOER</t>
        </is>
      </c>
      <c r="C1360" t="inlineStr">
        <is>
          <t>DT03</t>
        </is>
      </c>
      <c r="D1360" t="inlineStr">
        <is>
          <t>2.5mm</t>
        </is>
      </c>
      <c r="E1360" t="inlineStr">
        <is>
          <t>Non</t>
        </is>
      </c>
      <c r="F1360" t="inlineStr">
        <is>
          <t>https://headfonics.com/letshuoer-dt03-review/</t>
        </is>
      </c>
      <c r="G1360" t="inlineStr">
        <is>
          <t>two headphone outputs: one 4.4mm balanced and one 3.5mm single ended</t>
        </is>
      </c>
      <c r="H1360" t="inlineStr">
        <is>
          <t>2026-08-10</t>
        </is>
      </c>
    </row>
    <row r="1361">
      <c r="A1361" t="n">
        <v>73</v>
      </c>
      <c r="B1361" t="inlineStr">
        <is>
          <t>LETSHUOER</t>
        </is>
      </c>
      <c r="C1361" t="inlineStr">
        <is>
          <t>DT03</t>
        </is>
      </c>
      <c r="D1361" t="inlineStr">
        <is>
          <t>6.35mm</t>
        </is>
      </c>
      <c r="E1361" t="inlineStr">
        <is>
          <t>Non</t>
        </is>
      </c>
      <c r="F1361" t="inlineStr">
        <is>
          <t>https://headfonics.com/letshuoer-dt03-review/</t>
        </is>
      </c>
      <c r="G1361" t="inlineStr">
        <is>
          <t>two headphone outputs: one 4.4mm balanced and one 3.5mm single ended</t>
        </is>
      </c>
      <c r="H1361" t="inlineStr">
        <is>
          <t>2026-08-10</t>
        </is>
      </c>
    </row>
    <row r="1362">
      <c r="A1362" t="n">
        <v>73</v>
      </c>
      <c r="B1362" t="inlineStr">
        <is>
          <t>LETSHUOER</t>
        </is>
      </c>
      <c r="C1362" t="inlineStr">
        <is>
          <t>DT03</t>
        </is>
      </c>
      <c r="D1362" t="inlineStr">
        <is>
          <t>XLR</t>
        </is>
      </c>
      <c r="E1362" t="inlineStr">
        <is>
          <t>Non</t>
        </is>
      </c>
      <c r="F1362" t="inlineStr">
        <is>
          <t>https://headfonics.com/letshuoer-dt03-review/</t>
        </is>
      </c>
      <c r="G1362" t="inlineStr">
        <is>
          <t>two headphone outputs: one 4.4mm balanced and one 3.5mm single ended</t>
        </is>
      </c>
      <c r="H1362" t="inlineStr">
        <is>
          <t>2026-08-10</t>
        </is>
      </c>
    </row>
    <row r="1363">
      <c r="A1363" t="n">
        <v>58</v>
      </c>
      <c r="B1363" t="inlineStr">
        <is>
          <t>FiiO</t>
        </is>
      </c>
      <c r="C1363" t="inlineStr">
        <is>
          <t>RR11</t>
        </is>
      </c>
      <c r="D1363" t="inlineStr">
        <is>
          <t>DSP/PEQ</t>
        </is>
      </c>
      <c r="E1363" t="inlineStr">
        <is>
          <t>Non</t>
        </is>
      </c>
      <c r="F1363" t="inlineStr">
        <is>
          <t>https://fiio-file.fiio.net/70%E4%B8%8A%E4%BC%A0%E7%9A%84%E6%96%87%E4%BB%B6/PEQ%20Settings%20Instructions%20for%20FiiO%20Portable%20DAC&amp;AMP.pdf</t>
        </is>
      </c>
      <c r="G1363" t="inlineStr">
        <is>
          <t>1.The FiiO Products with PEQ support — FiiO products that support wired PEQ settings include: KA17, KA15, JA11, BTR13, BTR17, BTR15, K19, K17, Q7, Q15 [...] Bluetooth PEQ: UTWS5 2025, Q7, Q15, BTR13, BTR15, BTR17, FW5, FW3, UTWS5, K9, K9AKM, K9Pro, K9Pro ESS, K17, K19, K15, K7BT, BTR7 (RR11 absent des quatre listes)</t>
        </is>
      </c>
      <c r="H1363" t="inlineStr">
        <is>
          <t>2026-08-10</t>
        </is>
      </c>
    </row>
    <row r="1364">
      <c r="A1364" t="n">
        <v>79</v>
      </c>
      <c r="B1364" t="inlineStr">
        <is>
          <t>FiiO</t>
        </is>
      </c>
      <c r="C1364" t="inlineStr">
        <is>
          <t>KA11</t>
        </is>
      </c>
      <c r="D1364" t="inlineStr">
        <is>
          <t>DSP/PEQ</t>
        </is>
      </c>
      <c r="E1364" t="inlineStr">
        <is>
          <t>Non</t>
        </is>
      </c>
      <c r="F1364" t="inlineStr">
        <is>
          <t>https://fiio-file.fiio.net/70%E4%B8%8A%E4%BC%A0%E7%9A%84%E6%96%87%E4%BB%B6/PEQ%20Settings%20Instructions%20for%20FiiO%20Portable%20DAC&amp;AMP.pdf</t>
        </is>
      </c>
      <c r="G1364" t="inlineStr">
        <is>
          <t>1.The FiiO Products with PEQ support — [4 listes officielles] ; KA11 absent des quatre listes (seul le KA15/KA17 y figurent)</t>
        </is>
      </c>
      <c r="H1364" t="inlineStr">
        <is>
          <t>2026-08-10</t>
        </is>
      </c>
    </row>
    <row r="1365">
      <c r="A1365" t="n">
        <v>121</v>
      </c>
      <c r="B1365" t="inlineStr">
        <is>
          <t>FiiO</t>
        </is>
      </c>
      <c r="C1365" t="inlineStr">
        <is>
          <t>KA1</t>
        </is>
      </c>
      <c r="D1365" t="inlineStr">
        <is>
          <t>DSP/PEQ</t>
        </is>
      </c>
      <c r="E1365" t="inlineStr">
        <is>
          <t>Non</t>
        </is>
      </c>
      <c r="F1365" t="inlineStr">
        <is>
          <t>https://fiio-file.fiio.net/70%E4%B8%8A%E4%BC%A0%E7%9A%84%E6%96%87%E4%BB%B6/PEQ%20Settings%20Instructions%20for%20FiiO%20Portable%20DAC&amp;AMP.pdf</t>
        </is>
      </c>
      <c r="G1365" t="inlineStr">
        <is>
          <t>1.The FiiO Products with PEQ support — [4 listes officielles] ; KA1 absent des quatre listes</t>
        </is>
      </c>
      <c r="H1365" t="inlineStr">
        <is>
          <t>2026-08-10</t>
        </is>
      </c>
    </row>
    <row r="1366">
      <c r="A1366" t="n">
        <v>143</v>
      </c>
      <c r="B1366" t="inlineStr">
        <is>
          <t>FiiO</t>
        </is>
      </c>
      <c r="C1366" t="inlineStr">
        <is>
          <t>E10K TC</t>
        </is>
      </c>
      <c r="D1366" t="inlineStr">
        <is>
          <t>DSP/PEQ</t>
        </is>
      </c>
      <c r="E1366" t="inlineStr">
        <is>
          <t>Non</t>
        </is>
      </c>
      <c r="F1366" t="inlineStr">
        <is>
          <t>https://fiio-file.fiio.net/70%E4%B8%8A%E4%BC%A0%E7%9A%84%E6%96%87%E4%BB%B6/PEQ%20Settings%20Instructions%20for%20FiiO%20Portable%20DAC&amp;AMP.pdf</t>
        </is>
      </c>
      <c r="G1366" t="inlineStr">
        <is>
          <t>1.The FiiO Products with PEQ support — [4 listes officielles] ; E10K TC absent des quatre listes</t>
        </is>
      </c>
      <c r="H1366" t="inlineStr">
        <is>
          <t>2026-08-10</t>
        </is>
      </c>
    </row>
    <row r="1367">
      <c r="A1367" t="n">
        <v>145</v>
      </c>
      <c r="B1367" t="inlineStr">
        <is>
          <t>FiiO</t>
        </is>
      </c>
      <c r="C1367" t="inlineStr">
        <is>
          <t>New K3</t>
        </is>
      </c>
      <c r="D1367" t="inlineStr">
        <is>
          <t>DSP/PEQ</t>
        </is>
      </c>
      <c r="E1367" t="inlineStr">
        <is>
          <t>Non</t>
        </is>
      </c>
      <c r="F1367" t="inlineStr">
        <is>
          <t>https://fiio-file.fiio.net/70%E4%B8%8A%E4%BC%A0%E7%9A%84%E6%96%87%E4%BB%B6/PEQ%20Settings%20Instructions%20for%20FiiO%20Portable%20DAC&amp;AMP.pdf</t>
        </is>
      </c>
      <c r="G1367" t="inlineStr">
        <is>
          <t>1.The FiiO Products with PEQ support — [4 listes officielles] ; New K3 absent des quatre listes</t>
        </is>
      </c>
      <c r="H1367" t="inlineStr">
        <is>
          <t>2026-08-10</t>
        </is>
      </c>
    </row>
    <row r="1368">
      <c r="A1368" t="n">
        <v>80</v>
      </c>
      <c r="B1368" t="inlineStr">
        <is>
          <t>FiiO</t>
        </is>
      </c>
      <c r="C1368" t="inlineStr">
        <is>
          <t>KA17</t>
        </is>
      </c>
      <c r="D1368" t="inlineStr">
        <is>
          <t>Bluetooth</t>
        </is>
      </c>
      <c r="E1368" t="inlineStr">
        <is>
          <t>Non</t>
        </is>
      </c>
      <c r="F1368" t="inlineStr">
        <is>
          <t>https://www.audiophonics.fr/en/mobile-hp-amplifiers/fiio-ka17-p-18751.html</t>
        </is>
      </c>
      <c r="G1368" t="inlineStr">
        <is>
          <t>Input: USB (seule interface listée) ; Output: 1x 3.5mm headphone output, 1x 4.4mm balanced headphone output</t>
        </is>
      </c>
      <c r="H1368" t="inlineStr">
        <is>
          <t>2026-08-10</t>
        </is>
      </c>
    </row>
    <row r="1369">
      <c r="A1369" t="n">
        <v>66</v>
      </c>
      <c r="B1369" t="inlineStr">
        <is>
          <t>FiiO</t>
        </is>
      </c>
      <c r="C1369" t="inlineStr">
        <is>
          <t>KA15</t>
        </is>
      </c>
      <c r="D1369" t="inlineStr">
        <is>
          <t>Bluetooth</t>
        </is>
      </c>
      <c r="E1369" t="inlineStr">
        <is>
          <t>Non</t>
        </is>
      </c>
      <c r="F1369" t="inlineStr">
        <is>
          <t>https://www.audiophonics.fr/en/mobile-hp-amplifiers/fiio-ka15-black-p-19913.html</t>
        </is>
      </c>
      <c r="G1369" t="inlineStr">
        <is>
          <t>Input: 1x USB-C (seule interface listée)</t>
        </is>
      </c>
      <c r="H1369" t="inlineStr">
        <is>
          <t>2026-08-10</t>
        </is>
      </c>
    </row>
    <row r="1370">
      <c r="A1370" t="n">
        <v>79</v>
      </c>
      <c r="B1370" t="inlineStr">
        <is>
          <t>FiiO</t>
        </is>
      </c>
      <c r="C1370" t="inlineStr">
        <is>
          <t>KA11</t>
        </is>
      </c>
      <c r="D1370" t="inlineStr">
        <is>
          <t>Bluetooth</t>
        </is>
      </c>
      <c r="E1370" t="inlineStr">
        <is>
          <t>Non</t>
        </is>
      </c>
      <c r="F1370" t="inlineStr">
        <is>
          <t>https://www.audiophonics.fr/en/portable-dac-and-mobile/fiio-ka11-usb-c-p-21646.html</t>
        </is>
      </c>
      <c r="G1370" t="inlineStr">
        <is>
          <t>Input: USB ; Output: Jack 3.5mm</t>
        </is>
      </c>
      <c r="H1370" t="inlineStr">
        <is>
          <t>2026-08-10</t>
        </is>
      </c>
    </row>
    <row r="1371">
      <c r="A1371" t="n">
        <v>78</v>
      </c>
      <c r="B1371" t="inlineStr">
        <is>
          <t>Shanling</t>
        </is>
      </c>
      <c r="C1371" t="inlineStr">
        <is>
          <t>UA4</t>
        </is>
      </c>
      <c r="D1371" t="inlineStr">
        <is>
          <t>Bluetooth</t>
        </is>
      </c>
      <c r="E1371" t="inlineStr">
        <is>
          <t>Non</t>
        </is>
      </c>
      <c r="F1371" t="inlineStr">
        <is>
          <t>https://www.audiophonics.fr/en/portable-dac-and-mobile/shanling-ua4-silver-p-18612.html</t>
        </is>
      </c>
      <c r="G1371" t="inlineStr">
        <is>
          <t>Input: 1x USB-C ; Output: 1x Single-ended 3.5mm jack, 1x Balanced 4.4mm jack</t>
        </is>
      </c>
      <c r="H1371" t="inlineStr">
        <is>
          <t>2026-08-10</t>
        </is>
      </c>
    </row>
    <row r="1372">
      <c r="A1372" t="n">
        <v>29</v>
      </c>
      <c r="B1372" t="inlineStr">
        <is>
          <t>Shanling</t>
        </is>
      </c>
      <c r="C1372" t="inlineStr">
        <is>
          <t>UA6</t>
        </is>
      </c>
      <c r="D1372" t="inlineStr">
        <is>
          <t>Bluetooth</t>
        </is>
      </c>
      <c r="E1372" t="inlineStr">
        <is>
          <t>Non</t>
        </is>
      </c>
      <c r="F1372" t="inlineStr">
        <is>
          <t>https://www.audiophonics.fr/en/portable-dac-and-mobile/shanling-ua-6-black-p-19950.html</t>
        </is>
      </c>
      <c r="G1372" t="inlineStr">
        <is>
          <t>Input: 1x USB-C (seule interface listée)</t>
        </is>
      </c>
      <c r="H1372" t="inlineStr">
        <is>
          <t>2026-08-10</t>
        </is>
      </c>
    </row>
    <row r="1373">
      <c r="A1373" t="n">
        <v>29</v>
      </c>
      <c r="B1373" t="inlineStr">
        <is>
          <t>Shanling</t>
        </is>
      </c>
      <c r="C1373" t="inlineStr">
        <is>
          <t>UA6</t>
        </is>
      </c>
      <c r="D1373" t="inlineStr">
        <is>
          <t>2.5mm</t>
        </is>
      </c>
      <c r="E1373" t="inlineStr">
        <is>
          <t>Non</t>
        </is>
      </c>
      <c r="F1373" t="inlineStr">
        <is>
          <t>https://www.audiophonics.fr/en/portable-dac-and-mobile/shanling-ua-6-black-p-19950.html</t>
        </is>
      </c>
      <c r="G1373" t="inlineStr">
        <is>
          <t>1x Single-ended jack 3.5mm / 1x Balanced jack 4.4mm</t>
        </is>
      </c>
      <c r="H1373" t="inlineStr">
        <is>
          <t>2026-08-10</t>
        </is>
      </c>
    </row>
    <row r="1374">
      <c r="A1374" t="n">
        <v>29</v>
      </c>
      <c r="B1374" t="inlineStr">
        <is>
          <t>Shanling</t>
        </is>
      </c>
      <c r="C1374" t="inlineStr">
        <is>
          <t>UA6</t>
        </is>
      </c>
      <c r="D1374" t="inlineStr">
        <is>
          <t>6.35mm</t>
        </is>
      </c>
      <c r="E1374" t="inlineStr">
        <is>
          <t>Non</t>
        </is>
      </c>
      <c r="F1374" t="inlineStr">
        <is>
          <t>https://www.audiophonics.fr/en/portable-dac-and-mobile/shanling-ua-6-black-p-19950.html</t>
        </is>
      </c>
      <c r="G1374" t="inlineStr">
        <is>
          <t>1x Single-ended jack 3.5mm / 1x Balanced jack 4.4mm</t>
        </is>
      </c>
      <c r="H1374" t="inlineStr">
        <is>
          <t>2026-08-10</t>
        </is>
      </c>
    </row>
    <row r="1375">
      <c r="A1375" t="n">
        <v>29</v>
      </c>
      <c r="B1375" t="inlineStr">
        <is>
          <t>Shanling</t>
        </is>
      </c>
      <c r="C1375" t="inlineStr">
        <is>
          <t>UA6</t>
        </is>
      </c>
      <c r="D1375" t="inlineStr">
        <is>
          <t>XLR</t>
        </is>
      </c>
      <c r="E1375" t="inlineStr">
        <is>
          <t>Non</t>
        </is>
      </c>
      <c r="F1375" t="inlineStr">
        <is>
          <t>https://www.audiophonics.fr/en/portable-dac-and-mobile/shanling-ua-6-black-p-19950.html</t>
        </is>
      </c>
      <c r="G1375" t="inlineStr">
        <is>
          <t>1x Single-ended jack 3.5mm / 1x Balanced jack 4.4mm</t>
        </is>
      </c>
      <c r="H1375" t="inlineStr">
        <is>
          <t>2026-08-10</t>
        </is>
      </c>
    </row>
    <row r="1376">
      <c r="A1376" t="n">
        <v>29</v>
      </c>
      <c r="B1376" t="inlineStr">
        <is>
          <t>Shanling</t>
        </is>
      </c>
      <c r="C1376" t="inlineStr">
        <is>
          <t>UA6</t>
        </is>
      </c>
      <c r="D1376" t="inlineStr">
        <is>
          <t>DSP/PEQ</t>
        </is>
      </c>
      <c r="E1376" t="inlineStr">
        <is>
          <t>Non</t>
        </is>
      </c>
      <c r="F1376" t="inlineStr">
        <is>
          <t>https://www.audiophonics.fr/en/portable-dac-and-mobile/shanling-ua-6-black-p-19950.html</t>
        </is>
      </c>
      <c r="G1376" t="inlineStr">
        <is>
          <t>Digital filters: 5 options — filtres numériques du DAC, exclus par la convention (ni PEQ utilisateur ni DSP réglable stocké)</t>
        </is>
      </c>
      <c r="H1376" t="inlineStr">
        <is>
          <t>2026-08-10</t>
        </is>
      </c>
    </row>
    <row r="1377">
      <c r="A1377" t="n">
        <v>52</v>
      </c>
      <c r="B1377" t="inlineStr">
        <is>
          <t>iBasso</t>
        </is>
      </c>
      <c r="C1377" t="inlineStr">
        <is>
          <t>Nunchaku</t>
        </is>
      </c>
      <c r="D1377" t="inlineStr">
        <is>
          <t>Bluetooth</t>
        </is>
      </c>
      <c r="E1377" t="inlineStr">
        <is>
          <t>Non</t>
        </is>
      </c>
      <c r="F1377" t="inlineStr">
        <is>
          <t>https://www.audiophonics.fr/en/portable-dac-and-mobile/ibasso-nunchaku-p-20512.html</t>
        </is>
      </c>
      <c r="G1377" t="inlineStr">
        <is>
          <t>Input: 1x USB-C ; Output: 1x Balanced 4.4mm jack, 1x Single-ended 3.5 mm jack</t>
        </is>
      </c>
      <c r="H1377" t="inlineStr">
        <is>
          <t>2026-08-10</t>
        </is>
      </c>
    </row>
    <row r="1378">
      <c r="A1378" t="n">
        <v>122</v>
      </c>
      <c r="B1378" t="inlineStr">
        <is>
          <t>iFi audio</t>
        </is>
      </c>
      <c r="C1378" t="inlineStr">
        <is>
          <t>GO bar</t>
        </is>
      </c>
      <c r="D1378" t="inlineStr">
        <is>
          <t>DSP/PEQ</t>
        </is>
      </c>
      <c r="E1378" t="inlineStr">
        <is>
          <t>Non</t>
        </is>
      </c>
      <c r="F1378" t="inlineStr">
        <is>
          <t>https://ifi-audio.com/products/go-bar/</t>
        </is>
      </c>
      <c r="G1378" t="inlineStr">
        <is>
          <t>XBass+ delivers a deep, tighter bass sound. XSpace is the iFi analogue signal improvement circuitry [...] Four bespoke digital filtering options: Bit Perfect, Standard, Minimum Phase, Gibbs Transient Optimised — traitement analogique + filtres numériques préréglés du DAC, aucun EQ utilisateur : exclus par la convention</t>
        </is>
      </c>
      <c r="H1378" t="inlineStr">
        <is>
          <t>2026-08-10</t>
        </is>
      </c>
    </row>
    <row r="1379">
      <c r="A1379" t="n">
        <v>16</v>
      </c>
      <c r="B1379" t="inlineStr">
        <is>
          <t>Shanling</t>
        </is>
      </c>
      <c r="C1379" t="inlineStr">
        <is>
          <t>UA7</t>
        </is>
      </c>
      <c r="D1379" t="inlineStr">
        <is>
          <t>DSP/PEQ</t>
        </is>
      </c>
      <c r="E1379" t="inlineStr">
        <is>
          <t>Non</t>
        </is>
      </c>
      <c r="F1379" t="inlineStr">
        <is>
          <t>https://headfonics.com/shanling-ua7-review/</t>
        </is>
      </c>
      <c r="G1379" t="inlineStr">
        <is>
          <t>About the only feature that I miss is an equalizer or tone customization, since I do like to color my music on occasion. [...] You could always engage one of the eight digital filters, but they're subtle at best.</t>
        </is>
      </c>
      <c r="H1379" t="inlineStr">
        <is>
          <t>2026-08-10</t>
        </is>
      </c>
    </row>
    <row r="1380">
      <c r="A1380" t="n">
        <v>19</v>
      </c>
      <c r="B1380" t="inlineStr">
        <is>
          <t>ONIX</t>
        </is>
      </c>
      <c r="C1380" t="inlineStr">
        <is>
          <t>Alpha XI1</t>
        </is>
      </c>
      <c r="D1380" t="inlineStr">
        <is>
          <t>DSP/PEQ</t>
        </is>
      </c>
      <c r="E1380" t="inlineStr">
        <is>
          <t>Non</t>
        </is>
      </c>
      <c r="F1380" t="inlineStr">
        <is>
          <t>https://headfonics.com/onix-alpha-xi1-review/</t>
        </is>
      </c>
      <c r="G1380" t="inlineStr">
        <is>
          <t>The app has a decent music player with a 10-band equalizer and it has many hidden features. [...] you'll find specific settings that apply to the Alpha XI1, including six digital filters, font settings, backlight brightness — l'égaliseur est celui du lecteur de l'app, les réglages appareil se limitent aux filtres numériques : exclus par la convention</t>
        </is>
      </c>
      <c r="H1380" t="inlineStr">
        <is>
          <t>2026-08-10</t>
        </is>
      </c>
    </row>
    <row r="1381">
      <c r="A1381" t="n">
        <v>72</v>
      </c>
      <c r="B1381" t="inlineStr">
        <is>
          <t>Shanling</t>
        </is>
      </c>
      <c r="C1381" t="inlineStr">
        <is>
          <t>H2</t>
        </is>
      </c>
      <c r="D1381" t="inlineStr">
        <is>
          <t>DSP/PEQ</t>
        </is>
      </c>
      <c r="E1381" t="inlineStr">
        <is>
          <t>Non</t>
        </is>
      </c>
      <c r="F1381" t="inlineStr">
        <is>
          <t>https://headfonics.com/shanling-h2-review/</t>
        </is>
      </c>
      <c r="G1381" t="inlineStr">
        <is>
          <t>The Shanling app, called Eddict player is a media player with a 10-band equalizer — égaliseur du lecteur Eddict, exclu par la convention</t>
        </is>
      </c>
      <c r="H1381" t="inlineStr">
        <is>
          <t>2026-08-10</t>
        </is>
      </c>
    </row>
    <row r="1382">
      <c r="A1382" t="n">
        <v>90</v>
      </c>
      <c r="B1382" t="inlineStr">
        <is>
          <t>Hidizs</t>
        </is>
      </c>
      <c r="C1382" t="inlineStr">
        <is>
          <t>S9 Pro Plus Martha</t>
        </is>
      </c>
      <c r="D1382" t="inlineStr">
        <is>
          <t>Batterie</t>
        </is>
      </c>
      <c r="E1382" t="inlineStr">
        <is>
          <t>Non</t>
        </is>
      </c>
      <c r="F1382" t="inlineStr">
        <is>
          <t>https://headfonics.com/hidizs-s9-pro-plus-martha-review/</t>
        </is>
      </c>
      <c r="G1382" t="inlineStr">
        <is>
          <t>The S9 Pro Plus Martha does not have a built-in battery and therefore requires the use of your source to power.</t>
        </is>
      </c>
      <c r="H1382" t="inlineStr">
        <is>
          <t>2026-08-10</t>
        </is>
      </c>
    </row>
    <row r="1383">
      <c r="A1383" t="n">
        <v>34</v>
      </c>
      <c r="B1383" t="inlineStr">
        <is>
          <t>Fosi Audio</t>
        </is>
      </c>
      <c r="C1383" t="inlineStr">
        <is>
          <t>MD3</t>
        </is>
      </c>
      <c r="D1383" t="inlineStr">
        <is>
          <t>Batterie</t>
        </is>
      </c>
      <c r="E1383" t="inlineStr">
        <is>
          <t>Oui</t>
        </is>
      </c>
      <c r="F1383" t="inlineStr">
        <is>
          <t>https://headfonics.com/fosi-audio-md3-review/</t>
        </is>
      </c>
      <c r="G1383" t="inlineStr">
        <is>
          <t>MD3 is Fosi Audio's first pocketable battery-powered DAC amplifier with a magnetic backplate for attachment to a compatible phone or phone case.</t>
        </is>
      </c>
      <c r="H1383" t="inlineStr">
        <is>
          <t>2026-08-10</t>
        </is>
      </c>
    </row>
    <row r="1384">
      <c r="A1384" t="n">
        <v>40</v>
      </c>
      <c r="B1384" t="inlineStr">
        <is>
          <t>HiBy</t>
        </is>
      </c>
      <c r="C1384" t="inlineStr">
        <is>
          <t>W4</t>
        </is>
      </c>
      <c r="D1384" t="inlineStr">
        <is>
          <t>DSP/PEQ</t>
        </is>
      </c>
      <c r="E1384" t="inlineStr">
        <is>
          <t>Non</t>
        </is>
      </c>
      <c r="F1384" t="inlineStr">
        <is>
          <t>https://headfonics.com/hiby-w4-review/</t>
        </is>
      </c>
      <c r="G1384" t="inlineStr">
        <is>
          <t>And while W4 features four filters and six EQ settings, as well as low, mid, and high gain modes, among others, in the touchscreen menu, you cannot make your own EQ curve like you can with other DACs</t>
        </is>
      </c>
      <c r="H1384" t="inlineStr">
        <is>
          <t>2026-08-10</t>
        </is>
      </c>
    </row>
    <row r="1385">
      <c r="A1385" t="n">
        <v>41</v>
      </c>
      <c r="B1385" t="inlineStr">
        <is>
          <t>Questyle</t>
        </is>
      </c>
      <c r="C1385" t="inlineStr">
        <is>
          <t>SIGMA Pro</t>
        </is>
      </c>
      <c r="D1385" t="inlineStr">
        <is>
          <t>DSP/PEQ</t>
        </is>
      </c>
      <c r="E1385" t="inlineStr">
        <is>
          <t>Non</t>
        </is>
      </c>
      <c r="F1385" t="inlineStr">
        <is>
          <t>https://headfonics.com/questyle-sigma-pro-review/</t>
        </is>
      </c>
      <c r="G1385" t="inlineStr">
        <is>
          <t>One thing I did not find was a set of digital filters, because there seem to be none available [...] I am somewhat disappointed due to the lack of onboard features like digital filters and screen time-out adjustments</t>
        </is>
      </c>
      <c r="H1385" t="inlineStr">
        <is>
          <t>2026-08-10</t>
        </is>
      </c>
    </row>
    <row r="1386">
      <c r="A1386" t="n">
        <v>45</v>
      </c>
      <c r="B1386" t="inlineStr">
        <is>
          <t>Khadas</t>
        </is>
      </c>
      <c r="C1386" t="inlineStr">
        <is>
          <t>Tea Pro</t>
        </is>
      </c>
      <c r="D1386" t="inlineStr">
        <is>
          <t>DSP/PEQ</t>
        </is>
      </c>
      <c r="E1386" t="inlineStr">
        <is>
          <t>Oui</t>
        </is>
      </c>
      <c r="F1386" t="inlineStr">
        <is>
          <t>https://headfonics.com/khadas-tea-pro-review/</t>
        </is>
      </c>
      <c r="G1386" t="inlineStr">
        <is>
          <t>It features the Latest Qualcomm QCC5181 Bluetooth 5.4 chip, a built-in microphone for answering calls, and a feature-rich equalizer via the Khadas App. [...] Tea Pro's display, which indicates every critical piece of information about its operating situation, including the USB mode, gain mode, equalizer, battery level — égaliseur de l'appareil, réglé par l'app et dont l'état est affiché sur l'écran du dongle</t>
        </is>
      </c>
      <c r="H1386" t="inlineStr">
        <is>
          <t>2026-08-10</t>
        </is>
      </c>
    </row>
    <row r="1387">
      <c r="A1387" t="n">
        <v>54</v>
      </c>
      <c r="B1387" t="inlineStr">
        <is>
          <t>ddHiFi</t>
        </is>
      </c>
      <c r="C1387" t="inlineStr">
        <is>
          <t>TC44Pro M3</t>
        </is>
      </c>
      <c r="D1387" t="inlineStr">
        <is>
          <t>DSP/PEQ</t>
        </is>
      </c>
      <c r="E1387" t="inlineStr">
        <is>
          <t>Non</t>
        </is>
      </c>
      <c r="F1387" t="inlineStr">
        <is>
          <t>https://headfonics.com/ddhifi-tc44pro-m3-review/</t>
        </is>
      </c>
      <c r="G1387" t="inlineStr">
        <is>
          <t>It offers straightforward plug-and-play functionality without the need for drivers or companion apps.</t>
        </is>
      </c>
      <c r="H1387" t="inlineStr">
        <is>
          <t>2026-08-10</t>
        </is>
      </c>
    </row>
    <row r="1388">
      <c r="A1388" t="n">
        <v>75</v>
      </c>
      <c r="B1388" t="inlineStr">
        <is>
          <t>Hidizs</t>
        </is>
      </c>
      <c r="C1388" t="inlineStr">
        <is>
          <t>S8 Pro Robin</t>
        </is>
      </c>
      <c r="D1388" t="inlineStr">
        <is>
          <t>DSP/PEQ</t>
        </is>
      </c>
      <c r="E1388" t="inlineStr">
        <is>
          <t>Non</t>
        </is>
      </c>
      <c r="F1388" t="inlineStr">
        <is>
          <t>https://headfonics.com/hidizs-s8-pro-robin-review/</t>
        </is>
      </c>
      <c r="G1388" t="inlineStr">
        <is>
          <t>The S8 Pro Plus Robin has six digital filters just like the Martha, that can be toggled through by simultaneously pressing both side buttons — seuls réglages de l'appareil : filtres numériques du DAC, exclus par la convention</t>
        </is>
      </c>
      <c r="H1388" t="inlineStr">
        <is>
          <t>2026-08-10</t>
        </is>
      </c>
    </row>
    <row r="1389">
      <c r="A1389" t="n">
        <v>76</v>
      </c>
      <c r="B1389" t="inlineStr">
        <is>
          <t>iFi audio</t>
        </is>
      </c>
      <c r="C1389" t="inlineStr">
        <is>
          <t>GO bar Kensei</t>
        </is>
      </c>
      <c r="D1389" t="inlineStr">
        <is>
          <t>DSP/PEQ</t>
        </is>
      </c>
      <c r="E1389" t="inlineStr">
        <is>
          <t>Non</t>
        </is>
      </c>
      <c r="F1389" t="inlineStr">
        <is>
          <t>https://headfonics.com/ifi-audio-go-bar-kensei-review/</t>
        </is>
      </c>
      <c r="G1389" t="inlineStr">
        <is>
          <t>There's the XMOS microcontroller, a Cirrus Logic DAC section, a GMT clock, four digital filters, and popular iFi Audio exclusive features like iEMatch, Xbass, and XSpace [...] you can choose one of four digital filters to further tailor the DAC section output — filtres numériques + traitements analogiques iFi, exclus</t>
        </is>
      </c>
      <c r="H1389" t="inlineStr">
        <is>
          <t>2026-08-10</t>
        </is>
      </c>
    </row>
    <row r="1390">
      <c r="A1390" t="n">
        <v>77</v>
      </c>
      <c r="B1390" t="inlineStr">
        <is>
          <t>ONIX</t>
        </is>
      </c>
      <c r="C1390" t="inlineStr">
        <is>
          <t>Mystic XP1</t>
        </is>
      </c>
      <c r="D1390" t="inlineStr">
        <is>
          <t>DSP/PEQ</t>
        </is>
      </c>
      <c r="E1390" t="inlineStr">
        <is>
          <t>Non</t>
        </is>
      </c>
      <c r="F1390" t="inlineStr">
        <is>
          <t>https://headfonics.com/onix-mystic-xp1-review/</t>
        </is>
      </c>
      <c r="G1390" t="inlineStr">
        <is>
          <t>These include options such as digital filter switching and channel balancing as well as some battery-life saving options such as shutdown times and the brightness of the OLED screen — énumération des réglages de l'appareil, aucun égaliseur</t>
        </is>
      </c>
      <c r="H1390" t="inlineStr">
        <is>
          <t>2026-08-10</t>
        </is>
      </c>
    </row>
    <row r="1391">
      <c r="A1391" t="n">
        <v>78</v>
      </c>
      <c r="B1391" t="inlineStr">
        <is>
          <t>Shanling</t>
        </is>
      </c>
      <c r="C1391" t="inlineStr">
        <is>
          <t>UA4</t>
        </is>
      </c>
      <c r="D1391" t="inlineStr">
        <is>
          <t>DSP/PEQ</t>
        </is>
      </c>
      <c r="E1391" t="inlineStr">
        <is>
          <t>Non</t>
        </is>
      </c>
      <c r="F1391" t="inlineStr">
        <is>
          <t>https://headfonics.com/shanling-ua4-review/</t>
        </is>
      </c>
      <c r="G1391" t="inlineStr">
        <is>
          <t>Within this app, you can access the eight internal DAC digital filters, channel balance adjustment, and even control idle time and the backlight brightness of the display. The player itself carries over all the general features like the fixed 10-band graphic equalizer — égaliseur fixe du lecteur Eddict, exclu ; réglages appareil limités aux filtres</t>
        </is>
      </c>
      <c r="H1391" t="inlineStr">
        <is>
          <t>2026-08-10</t>
        </is>
      </c>
    </row>
    <row r="1392">
      <c r="A1392" t="n">
        <v>84</v>
      </c>
      <c r="B1392" t="inlineStr">
        <is>
          <t>Colorfly</t>
        </is>
      </c>
      <c r="C1392" t="inlineStr">
        <is>
          <t>CDA-M1P</t>
        </is>
      </c>
      <c r="D1392" t="inlineStr">
        <is>
          <t>DSP/PEQ</t>
        </is>
      </c>
      <c r="E1392" t="inlineStr">
        <is>
          <t>Non</t>
        </is>
      </c>
      <c r="F1392" t="inlineStr">
        <is>
          <t>https://headfonics.com/colorfly-cda-m1p-review/</t>
        </is>
      </c>
      <c r="G1392" t="inlineStr">
        <is>
          <t>The CDA-M1P's volume buttons also act as multifunction controls for the gain level, digital filters, and gaming mode [...] You also get 6 digital filter options drawn directly from the AKM DAC chipset — énumération complète des commandes, aucun égaliseur</t>
        </is>
      </c>
      <c r="H1392" t="inlineStr">
        <is>
          <t>2026-08-10</t>
        </is>
      </c>
    </row>
    <row r="1393">
      <c r="A1393" t="n">
        <v>88</v>
      </c>
      <c r="B1393" t="inlineStr">
        <is>
          <t>Shanling</t>
        </is>
      </c>
      <c r="C1393" t="inlineStr">
        <is>
          <t>UA1 Plus</t>
        </is>
      </c>
      <c r="D1393" t="inlineStr">
        <is>
          <t>DSP/PEQ</t>
        </is>
      </c>
      <c r="E1393" t="inlineStr">
        <is>
          <t>Non</t>
        </is>
      </c>
      <c r="F1393" t="inlineStr">
        <is>
          <t>https://headfonics.com/shanling-ua1-plus-review/</t>
        </is>
      </c>
      <c r="G1393" t="inlineStr">
        <is>
          <t>The player does offer a full equalizer and the ability to save EQ curve presets. The Eddict player for example lowers the gain levels when you enable the equalizer — égaliseur de l'application lecteur Eddict, exclu par la convention</t>
        </is>
      </c>
      <c r="H1393" t="inlineStr">
        <is>
          <t>2026-08-10</t>
        </is>
      </c>
    </row>
    <row r="1394">
      <c r="A1394" t="n">
        <v>90</v>
      </c>
      <c r="B1394" t="inlineStr">
        <is>
          <t>Hidizs</t>
        </is>
      </c>
      <c r="C1394" t="inlineStr">
        <is>
          <t>S9 Pro Plus Martha</t>
        </is>
      </c>
      <c r="D1394" t="inlineStr">
        <is>
          <t>DSP/PEQ</t>
        </is>
      </c>
      <c r="E1394" t="inlineStr">
        <is>
          <t>Non</t>
        </is>
      </c>
      <c r="F1394" t="inlineStr">
        <is>
          <t>https://headfonics.com/hidizs-s9-pro-plus-martha-review/</t>
        </is>
      </c>
      <c r="G1394" t="inlineStr">
        <is>
          <t>The S9 Pro Plus Martha has six digital filters that can be toggled through by simultaneously pressing both side buttons, and the color changes to denote the appropriate filter — seuls réglages : filtres numériques, exclus</t>
        </is>
      </c>
      <c r="H1394" t="inlineStr">
        <is>
          <t>2026-08-10</t>
        </is>
      </c>
    </row>
    <row r="1395">
      <c r="A1395" t="n">
        <v>98</v>
      </c>
      <c r="B1395" t="inlineStr">
        <is>
          <t>ddHiFi</t>
        </is>
      </c>
      <c r="C1395" t="inlineStr">
        <is>
          <t>TC35C</t>
        </is>
      </c>
      <c r="D1395" t="inlineStr">
        <is>
          <t>DSP/PEQ</t>
        </is>
      </c>
      <c r="E1395" t="inlineStr">
        <is>
          <t>Non</t>
        </is>
      </c>
      <c r="F1395" t="inlineStr">
        <is>
          <t>https://headfonics.com/ddhifi-tc35c-review/</t>
        </is>
      </c>
      <c r="G1395" t="inlineStr">
        <is>
          <t>No control app, and no firmware updates.</t>
        </is>
      </c>
      <c r="H1395" t="inlineStr">
        <is>
          <t>2026-08-10</t>
        </is>
      </c>
    </row>
    <row r="1396">
      <c r="A1396" t="n">
        <v>101</v>
      </c>
      <c r="B1396" t="inlineStr">
        <is>
          <t>iFi audio</t>
        </is>
      </c>
      <c r="C1396" t="inlineStr">
        <is>
          <t>UNO</t>
        </is>
      </c>
      <c r="D1396" t="inlineStr">
        <is>
          <t>DSP/PEQ</t>
        </is>
      </c>
      <c r="E1396" t="inlineStr">
        <is>
          <t>Non</t>
        </is>
      </c>
      <c r="F1396" t="inlineStr">
        <is>
          <t>https://headfonics.com/ifi-audio-uno-review/</t>
        </is>
      </c>
      <c r="G1396" t="inlineStr">
        <is>
          <t>There's another chip behind the three-way EQ button which I'm guessing gives function to that feature and is probably where the three-tone curves are stored — trois courbes de tonalité préréglées commutées par bouton, presets fixes exclus par la convention</t>
        </is>
      </c>
      <c r="H1396" t="inlineStr">
        <is>
          <t>2026-08-10</t>
        </is>
      </c>
    </row>
    <row r="1397">
      <c r="A1397" t="n">
        <v>83</v>
      </c>
      <c r="B1397" t="inlineStr">
        <is>
          <t>Hidizs</t>
        </is>
      </c>
      <c r="C1397" t="inlineStr">
        <is>
          <t>SD2</t>
        </is>
      </c>
      <c r="D1397" t="inlineStr">
        <is>
          <t>DSP/PEQ</t>
        </is>
      </c>
      <c r="E1397" t="inlineStr">
        <is>
          <t>Non</t>
        </is>
      </c>
      <c r="F1397" t="inlineStr">
        <is>
          <t>https://headfonics.com/hidizs-sd2-review/</t>
        </is>
      </c>
      <c r="G1397" t="inlineStr">
        <is>
          <t>For EQ, all EQ applications work with it like Wavelet, PowerAmp, PeaceEQ, and more — l'égalisation passe par des applications tierces sur la source, l'appareil n'en embarque pas</t>
        </is>
      </c>
      <c r="H1397" t="inlineStr">
        <is>
          <t>2026-08-10</t>
        </is>
      </c>
    </row>
    <row r="1398">
      <c r="A1398" t="n">
        <v>104</v>
      </c>
      <c r="B1398" t="inlineStr">
        <is>
          <t>Shanling</t>
        </is>
      </c>
      <c r="C1398" t="inlineStr">
        <is>
          <t>H7</t>
        </is>
      </c>
      <c r="D1398" t="inlineStr">
        <is>
          <t>DSP/PEQ</t>
        </is>
      </c>
      <c r="E1398" t="inlineStr">
        <is>
          <t>Non</t>
        </is>
      </c>
      <c r="F1398" t="inlineStr">
        <is>
          <t>https://headfonics.com/shanling-h7-review/</t>
        </is>
      </c>
      <c r="G1398" t="inlineStr">
        <is>
          <t>Settings include gain, channel imbalance, digital filter, and firmware updates — énumération des réglages de l'appareil, aucun égaliseur utilisateur</t>
        </is>
      </c>
      <c r="H1398" t="inlineStr">
        <is>
          <t>2026-08-10</t>
        </is>
      </c>
    </row>
    <row r="1399">
      <c r="A1399" t="n">
        <v>125</v>
      </c>
      <c r="B1399" t="inlineStr">
        <is>
          <t>Shanling</t>
        </is>
      </c>
      <c r="C1399" t="inlineStr">
        <is>
          <t>UA5</t>
        </is>
      </c>
      <c r="D1399" t="inlineStr">
        <is>
          <t>DSP/PEQ</t>
        </is>
      </c>
      <c r="E1399" t="inlineStr">
        <is>
          <t>Non</t>
        </is>
      </c>
      <c r="F1399" t="inlineStr">
        <is>
          <t>https://headfonics.com/shanling-ua5-review/</t>
        </is>
      </c>
      <c r="G1399" t="inlineStr">
        <is>
          <t>This dongle will also allow you to select the DAC's inherent 7 digital filter options — filtres numériques propres au DAC, exclus par la convention</t>
        </is>
      </c>
      <c r="H1399" t="inlineStr">
        <is>
          <t>2026-08-10</t>
        </is>
      </c>
    </row>
    <row r="1400">
      <c r="A1400" t="n">
        <v>148</v>
      </c>
      <c r="B1400" t="inlineStr">
        <is>
          <t>Luxury &amp; Precision</t>
        </is>
      </c>
      <c r="C1400" t="inlineStr">
        <is>
          <t>W2</t>
        </is>
      </c>
      <c r="D1400" t="inlineStr">
        <is>
          <t>DSP/PEQ</t>
        </is>
      </c>
      <c r="E1400" t="inlineStr">
        <is>
          <t>Non</t>
        </is>
      </c>
      <c r="F1400" t="inlineStr">
        <is>
          <t>https://headfonics.com/luxury-precision-w2-review/</t>
        </is>
      </c>
      <c r="G1400" t="inlineStr">
        <is>
          <t>By holding down the button on the right side you will gain access to the settings menu including gain, EQ presets, SDF profiles tuned for specific IEMs, and Tune profiles — presets d'égalisation et profils figés, exclus par la convention (pas de courbe définie par l'utilisateur)</t>
        </is>
      </c>
      <c r="H1400" t="inlineStr">
        <is>
          <t>2026-08-10</t>
        </is>
      </c>
    </row>
    <row r="1401">
      <c r="A1401" t="n">
        <v>6</v>
      </c>
      <c r="B1401" t="inlineStr">
        <is>
          <t>Cayin</t>
        </is>
      </c>
      <c r="C1401" t="inlineStr">
        <is>
          <t>N7</t>
        </is>
      </c>
      <c r="D1401" t="inlineStr">
        <is>
          <t>DSP/PEQ</t>
        </is>
      </c>
      <c r="E1401" t="inlineStr">
        <is>
          <t>Non</t>
        </is>
      </c>
      <c r="F1401" t="inlineStr">
        <is>
          <t>https://hifigo.com/products/cayin-n7</t>
        </is>
      </c>
      <c r="G1401" t="inlineStr">
        <is>
          <t>Aucune mention de « DSP/PEQ » dans la source produit consultée (2 source(s) ouverte(s) pour ce produit). Règle retenue le 2026-08-10 : caractéristique non mentionnée = Non.</t>
        </is>
      </c>
      <c r="H1401" t="inlineStr">
        <is>
          <t>2026-08-10</t>
        </is>
      </c>
    </row>
    <row r="1402">
      <c r="A1402" t="n">
        <v>7</v>
      </c>
      <c r="B1402" t="inlineStr">
        <is>
          <t>Topping</t>
        </is>
      </c>
      <c r="C1402" t="inlineStr">
        <is>
          <t>L70</t>
        </is>
      </c>
      <c r="D1402" t="inlineStr">
        <is>
          <t>DSP/PEQ</t>
        </is>
      </c>
      <c r="E1402" t="inlineStr">
        <is>
          <t>Non</t>
        </is>
      </c>
      <c r="F1402" t="inlineStr">
        <is>
          <t>https://shenzhenaudio.com/products/topping-l70-full-balanced-nfca-headphone-amp-4pin-xlr-4-4-balanced-6-35mm-se-output-preamp-relay-volume-control</t>
        </is>
      </c>
      <c r="G1402" t="inlineStr">
        <is>
          <t>Aucune mention de « DSP/PEQ » dans la source produit consultée (1 source(s) ouverte(s) pour ce produit). Règle retenue le 2026-08-10 : caractéristique non mentionnée = Non.</t>
        </is>
      </c>
      <c r="H1402" t="inlineStr">
        <is>
          <t>2026-08-10</t>
        </is>
      </c>
    </row>
    <row r="1403">
      <c r="A1403" t="n">
        <v>9</v>
      </c>
      <c r="B1403" t="inlineStr">
        <is>
          <t>Quloos</t>
        </is>
      </c>
      <c r="C1403" t="inlineStr">
        <is>
          <t>MUB1</t>
        </is>
      </c>
      <c r="D1403" t="inlineStr">
        <is>
          <t>DSP/PEQ</t>
        </is>
      </c>
      <c r="E1403" t="inlineStr">
        <is>
          <t>Non</t>
        </is>
      </c>
      <c r="F1403" t="inlineStr">
        <is>
          <t>https://hifigo.com/products/quloos-mub1</t>
        </is>
      </c>
      <c r="G1403" t="inlineStr">
        <is>
          <t>Aucune mention de « DSP/PEQ » dans la source produit consultée (2 source(s) ouverte(s) pour ce produit). Règle retenue le 2026-08-10 : caractéristique non mentionnée = Non.</t>
        </is>
      </c>
      <c r="H1403" t="inlineStr">
        <is>
          <t>2026-08-10</t>
        </is>
      </c>
    </row>
    <row r="1404">
      <c r="A1404" t="n">
        <v>11</v>
      </c>
      <c r="B1404" t="inlineStr">
        <is>
          <t>Dethonray</t>
        </is>
      </c>
      <c r="C1404" t="inlineStr">
        <is>
          <t>Clarinet</t>
        </is>
      </c>
      <c r="D1404" t="inlineStr">
        <is>
          <t>DSP/PEQ</t>
        </is>
      </c>
      <c r="E1404" t="inlineStr">
        <is>
          <t>Non</t>
        </is>
      </c>
      <c r="F1404" t="inlineStr">
        <is>
          <t>https://www.audiophile-heaven.com/2025/04/the-canto-master-dethonray-clarinet-dac-headphone-amp.html</t>
        </is>
      </c>
      <c r="G1404" t="inlineStr">
        <is>
          <t>Aucune mention de « DSP/PEQ » dans la source produit consultée (2 source(s) ouverte(s) pour ce produit). Règle retenue le 2026-08-10 : caractéristique non mentionnée = Non.</t>
        </is>
      </c>
      <c r="H1404" t="inlineStr">
        <is>
          <t>2026-08-10</t>
        </is>
      </c>
    </row>
    <row r="1405">
      <c r="A1405" t="n">
        <v>15</v>
      </c>
      <c r="B1405" t="inlineStr">
        <is>
          <t>Questyle</t>
        </is>
      </c>
      <c r="C1405" t="inlineStr">
        <is>
          <t>M15i</t>
        </is>
      </c>
      <c r="D1405" t="inlineStr">
        <is>
          <t>Batterie</t>
        </is>
      </c>
      <c r="E1405" t="inlineStr">
        <is>
          <t>Non</t>
        </is>
      </c>
      <c r="F1405" t="inlineStr">
        <is>
          <t>https://hifigo.com/products/questyle-m15i</t>
        </is>
      </c>
      <c r="G1405" t="inlineStr">
        <is>
          <t>Aucune mention de « Batterie » dans la source produit consultée (1 source(s) ouverte(s) pour ce produit). Règle retenue le 2026-08-10 : caractéristique non mentionnée = Non.</t>
        </is>
      </c>
      <c r="H1405" t="inlineStr">
        <is>
          <t>2026-08-10</t>
        </is>
      </c>
    </row>
    <row r="1406">
      <c r="A1406" t="n">
        <v>15</v>
      </c>
      <c r="B1406" t="inlineStr">
        <is>
          <t>Questyle</t>
        </is>
      </c>
      <c r="C1406" t="inlineStr">
        <is>
          <t>M15i</t>
        </is>
      </c>
      <c r="D1406" t="inlineStr">
        <is>
          <t>DSP/PEQ</t>
        </is>
      </c>
      <c r="E1406" t="inlineStr">
        <is>
          <t>Non</t>
        </is>
      </c>
      <c r="F1406" t="inlineStr">
        <is>
          <t>https://hifigo.com/products/questyle-m15i</t>
        </is>
      </c>
      <c r="G1406" t="inlineStr">
        <is>
          <t>Aucune mention de « DSP/PEQ » dans la source produit consultée (1 source(s) ouverte(s) pour ce produit). Règle retenue le 2026-08-10 : caractéristique non mentionnée = Non.</t>
        </is>
      </c>
      <c r="H1406" t="inlineStr">
        <is>
          <t>2026-08-10</t>
        </is>
      </c>
    </row>
    <row r="1407">
      <c r="A1407" t="n">
        <v>17</v>
      </c>
      <c r="B1407" t="inlineStr">
        <is>
          <t>iBasso</t>
        </is>
      </c>
      <c r="C1407" t="inlineStr">
        <is>
          <t>DC07PRO</t>
        </is>
      </c>
      <c r="D1407" t="inlineStr">
        <is>
          <t>DSP/PEQ</t>
        </is>
      </c>
      <c r="E1407" t="inlineStr">
        <is>
          <t>Non</t>
        </is>
      </c>
      <c r="F1407" t="inlineStr">
        <is>
          <t>https://www.audiophonics.fr/fr/dac-portables/ibasso-dc07pro-noir-p-19619.html</t>
        </is>
      </c>
      <c r="G1407" t="inlineStr">
        <is>
          <t>Aucune mention de « DSP/PEQ » dans la source produit consultée (4 source(s) ouverte(s) pour ce produit). Règle retenue le 2026-08-10 : caractéristique non mentionnée = Non.</t>
        </is>
      </c>
      <c r="H1407" t="inlineStr">
        <is>
          <t>2026-08-10</t>
        </is>
      </c>
    </row>
    <row r="1408">
      <c r="A1408" t="n">
        <v>18</v>
      </c>
      <c r="B1408" t="inlineStr">
        <is>
          <t>Shanling</t>
        </is>
      </c>
      <c r="C1408" t="inlineStr">
        <is>
          <t>UA6 II</t>
        </is>
      </c>
      <c r="D1408" t="inlineStr">
        <is>
          <t>Batterie</t>
        </is>
      </c>
      <c r="E1408" t="inlineStr">
        <is>
          <t>Non</t>
        </is>
      </c>
      <c r="F1408" t="inlineStr">
        <is>
          <t>https://www.audiophonics.fr/fr/dac-portables/shanling-ua6-ii-p-22362.html</t>
        </is>
      </c>
      <c r="G1408" t="inlineStr">
        <is>
          <t>Aucune mention de « Batterie » dans la source produit consultée (2 source(s) ouverte(s) pour ce produit). Règle retenue le 2026-08-10 : caractéristique non mentionnée = Non.</t>
        </is>
      </c>
      <c r="H1408" t="inlineStr">
        <is>
          <t>2026-08-10</t>
        </is>
      </c>
    </row>
    <row r="1409">
      <c r="A1409" t="n">
        <v>18</v>
      </c>
      <c r="B1409" t="inlineStr">
        <is>
          <t>Shanling</t>
        </is>
      </c>
      <c r="C1409" t="inlineStr">
        <is>
          <t>UA6 II</t>
        </is>
      </c>
      <c r="D1409" t="inlineStr">
        <is>
          <t>DSP/PEQ</t>
        </is>
      </c>
      <c r="E1409" t="inlineStr">
        <is>
          <t>Non</t>
        </is>
      </c>
      <c r="F1409" t="inlineStr">
        <is>
          <t>https://www.audiophonics.fr/fr/dac-portables/shanling-ua6-ii-p-22362.html</t>
        </is>
      </c>
      <c r="G1409" t="inlineStr">
        <is>
          <t>Aucune mention de « DSP/PEQ » dans la source produit consultée (2 source(s) ouverte(s) pour ce produit). Règle retenue le 2026-08-10 : caractéristique non mentionnée = Non.</t>
        </is>
      </c>
      <c r="H1409" t="inlineStr">
        <is>
          <t>2026-08-10</t>
        </is>
      </c>
    </row>
    <row r="1410">
      <c r="A1410" t="n">
        <v>20</v>
      </c>
      <c r="B1410" t="inlineStr">
        <is>
          <t>xDuoo</t>
        </is>
      </c>
      <c r="C1410" t="inlineStr">
        <is>
          <t>XD05 BAL 2</t>
        </is>
      </c>
      <c r="D1410" t="inlineStr">
        <is>
          <t>DSP/PEQ</t>
        </is>
      </c>
      <c r="E1410" t="inlineStr">
        <is>
          <t>Non</t>
        </is>
      </c>
      <c r="F1410" t="inlineStr">
        <is>
          <t>https://headfonics.com/xduoo-xd05-bal-2-review/</t>
        </is>
      </c>
      <c r="G1410" t="inlineStr">
        <is>
          <t>Aucune mention de « DSP/PEQ » dans la source produit consultée (1 source(s) ouverte(s) pour ce produit). Règle retenue le 2026-08-10 : caractéristique non mentionnée = Non.</t>
        </is>
      </c>
      <c r="H1410" t="inlineStr">
        <is>
          <t>2026-08-10</t>
        </is>
      </c>
    </row>
    <row r="1411">
      <c r="A1411" t="n">
        <v>21</v>
      </c>
      <c r="B1411" t="inlineStr">
        <is>
          <t>Dethonray</t>
        </is>
      </c>
      <c r="C1411" t="inlineStr">
        <is>
          <t>Pegasus SG1</t>
        </is>
      </c>
      <c r="D1411" t="inlineStr">
        <is>
          <t>DSP/PEQ</t>
        </is>
      </c>
      <c r="E1411" t="inlineStr">
        <is>
          <t>Non</t>
        </is>
      </c>
      <c r="F1411" t="inlineStr">
        <is>
          <t>https://hifigo.com/products/dethonray-pegasus-sg1</t>
        </is>
      </c>
      <c r="G1411" t="inlineStr">
        <is>
          <t>Aucune mention de « DSP/PEQ » dans la source produit consultée (1 source(s) ouverte(s) pour ce produit). Règle retenue le 2026-08-10 : caractéristique non mentionnée = Non.</t>
        </is>
      </c>
      <c r="H1411" t="inlineStr">
        <is>
          <t>2026-08-10</t>
        </is>
      </c>
    </row>
    <row r="1412">
      <c r="A1412" t="n">
        <v>22</v>
      </c>
      <c r="B1412" t="inlineStr">
        <is>
          <t>Shanling</t>
        </is>
      </c>
      <c r="C1412" t="inlineStr">
        <is>
          <t>H5 MQA</t>
        </is>
      </c>
      <c r="D1412" t="inlineStr">
        <is>
          <t>DSP/PEQ</t>
        </is>
      </c>
      <c r="E1412" t="inlineStr">
        <is>
          <t>Non</t>
        </is>
      </c>
      <c r="F1412" t="inlineStr">
        <is>
          <t>https://hifigo.com/products/shanling-h5</t>
        </is>
      </c>
      <c r="G1412" t="inlineStr">
        <is>
          <t>Aucune mention de « DSP/PEQ » dans la source produit consultée (1 source(s) ouverte(s) pour ce produit). Règle retenue le 2026-08-10 : caractéristique non mentionnée = Non.</t>
        </is>
      </c>
      <c r="H1412" t="inlineStr">
        <is>
          <t>2026-08-10</t>
        </is>
      </c>
    </row>
    <row r="1413">
      <c r="A1413" t="n">
        <v>26</v>
      </c>
      <c r="B1413" t="inlineStr">
        <is>
          <t>SMSL</t>
        </is>
      </c>
      <c r="C1413" t="inlineStr">
        <is>
          <t>DS20</t>
        </is>
      </c>
      <c r="D1413" t="inlineStr">
        <is>
          <t>Bluetooth</t>
        </is>
      </c>
      <c r="E1413" t="inlineStr">
        <is>
          <t>Non</t>
        </is>
      </c>
      <c r="F1413" t="inlineStr">
        <is>
          <t>https://headfonics.com/smsl-ds20-review/</t>
        </is>
      </c>
      <c r="G1413" t="inlineStr">
        <is>
          <t>Aucune mention de « Bluetooth » dans la source produit consultée (2 source(s) ouverte(s) pour ce produit). Règle retenue le 2026-08-10 : caractéristique non mentionnée = Non.</t>
        </is>
      </c>
      <c r="H1413" t="inlineStr">
        <is>
          <t>2026-08-10</t>
        </is>
      </c>
    </row>
    <row r="1414">
      <c r="A1414" t="n">
        <v>26</v>
      </c>
      <c r="B1414" t="inlineStr">
        <is>
          <t>SMSL</t>
        </is>
      </c>
      <c r="C1414" t="inlineStr">
        <is>
          <t>DS20</t>
        </is>
      </c>
      <c r="D1414" t="inlineStr">
        <is>
          <t>DSP/PEQ</t>
        </is>
      </c>
      <c r="E1414" t="inlineStr">
        <is>
          <t>Non</t>
        </is>
      </c>
      <c r="F1414" t="inlineStr">
        <is>
          <t>https://headfonics.com/smsl-ds20-review/</t>
        </is>
      </c>
      <c r="G1414" t="inlineStr">
        <is>
          <t>Aucune mention de « DSP/PEQ » dans la source produit consultée (2 source(s) ouverte(s) pour ce produit). Règle retenue le 2026-08-10 : caractéristique non mentionnée = Non.</t>
        </is>
      </c>
      <c r="H1414" t="inlineStr">
        <is>
          <t>2026-08-10</t>
        </is>
      </c>
    </row>
    <row r="1415">
      <c r="A1415" t="n">
        <v>27</v>
      </c>
      <c r="B1415" t="inlineStr">
        <is>
          <t>MUSE HiFi</t>
        </is>
      </c>
      <c r="C1415" t="inlineStr">
        <is>
          <t>M5 Ultra</t>
        </is>
      </c>
      <c r="D1415" t="inlineStr">
        <is>
          <t>DSP/PEQ</t>
        </is>
      </c>
      <c r="E1415" t="inlineStr">
        <is>
          <t>Non</t>
        </is>
      </c>
      <c r="F1415" t="inlineStr">
        <is>
          <t>https://headfonics.com/muse-hifi-m5-ultra-review/</t>
        </is>
      </c>
      <c r="G1415" t="inlineStr">
        <is>
          <t>Aucune mention de « DSP/PEQ » dans la source produit consultée (2 source(s) ouverte(s) pour ce produit). Règle retenue le 2026-08-10 : caractéristique non mentionnée = Non.</t>
        </is>
      </c>
      <c r="H1415" t="inlineStr">
        <is>
          <t>2026-08-10</t>
        </is>
      </c>
    </row>
    <row r="1416">
      <c r="A1416" t="n">
        <v>28</v>
      </c>
      <c r="B1416" t="inlineStr">
        <is>
          <t>Topping</t>
        </is>
      </c>
      <c r="C1416" t="inlineStr">
        <is>
          <t>G5</t>
        </is>
      </c>
      <c r="D1416" t="inlineStr">
        <is>
          <t>DSP/PEQ</t>
        </is>
      </c>
      <c r="E1416" t="inlineStr">
        <is>
          <t>Non</t>
        </is>
      </c>
      <c r="F1416" t="inlineStr">
        <is>
          <t>https://shenzhenaudio.com/products/topping-g5-headphone-amplifier-portable-es9068as-dac-amp-ldac-hi-res-audio-support-up-to-dsd512-768khz</t>
        </is>
      </c>
      <c r="G1416" t="inlineStr">
        <is>
          <t>Aucune mention de « DSP/PEQ » dans la source produit consultée (2 source(s) ouverte(s) pour ce produit). Règle retenue le 2026-08-10 : caractéristique non mentionnée = Non.</t>
        </is>
      </c>
      <c r="H1416" t="inlineStr">
        <is>
          <t>2026-08-10</t>
        </is>
      </c>
    </row>
    <row r="1417">
      <c r="A1417" t="n">
        <v>31</v>
      </c>
      <c r="B1417" t="inlineStr">
        <is>
          <t>iBasso</t>
        </is>
      </c>
      <c r="C1417" t="inlineStr">
        <is>
          <t>DC-Tonfa</t>
        </is>
      </c>
      <c r="D1417" t="inlineStr">
        <is>
          <t>Batterie</t>
        </is>
      </c>
      <c r="E1417" t="inlineStr">
        <is>
          <t>Non</t>
        </is>
      </c>
      <c r="F1417" t="inlineStr">
        <is>
          <t>https://hifigo.com/products/ibasso-dc-tonfa</t>
        </is>
      </c>
      <c r="G1417" t="inlineStr">
        <is>
          <t>Aucune mention de « Batterie » dans la source produit consultée (2 source(s) ouverte(s) pour ce produit). Règle retenue le 2026-08-10 : caractéristique non mentionnée = Non.</t>
        </is>
      </c>
      <c r="H1417" t="inlineStr">
        <is>
          <t>2026-08-10</t>
        </is>
      </c>
    </row>
    <row r="1418">
      <c r="A1418" t="n">
        <v>31</v>
      </c>
      <c r="B1418" t="inlineStr">
        <is>
          <t>iBasso</t>
        </is>
      </c>
      <c r="C1418" t="inlineStr">
        <is>
          <t>DC-Tonfa</t>
        </is>
      </c>
      <c r="D1418" t="inlineStr">
        <is>
          <t>Bluetooth</t>
        </is>
      </c>
      <c r="E1418" t="inlineStr">
        <is>
          <t>Non</t>
        </is>
      </c>
      <c r="F1418" t="inlineStr">
        <is>
          <t>https://hifigo.com/products/ibasso-dc-tonfa</t>
        </is>
      </c>
      <c r="G1418" t="inlineStr">
        <is>
          <t>Aucune mention de « Bluetooth » dans la source produit consultée (2 source(s) ouverte(s) pour ce produit). Règle retenue le 2026-08-10 : caractéristique non mentionnée = Non.</t>
        </is>
      </c>
      <c r="H1418" t="inlineStr">
        <is>
          <t>2026-08-10</t>
        </is>
      </c>
    </row>
    <row r="1419">
      <c r="A1419" t="n">
        <v>31</v>
      </c>
      <c r="B1419" t="inlineStr">
        <is>
          <t>iBasso</t>
        </is>
      </c>
      <c r="C1419" t="inlineStr">
        <is>
          <t>DC-Tonfa</t>
        </is>
      </c>
      <c r="D1419" t="inlineStr">
        <is>
          <t>DSP/PEQ</t>
        </is>
      </c>
      <c r="E1419" t="inlineStr">
        <is>
          <t>Non</t>
        </is>
      </c>
      <c r="F1419" t="inlineStr">
        <is>
          <t>https://hifigo.com/products/ibasso-dc-tonfa</t>
        </is>
      </c>
      <c r="G1419" t="inlineStr">
        <is>
          <t>Aucune mention de « DSP/PEQ » dans la source produit consultée (2 source(s) ouverte(s) pour ce produit). Règle retenue le 2026-08-10 : caractéristique non mentionnée = Non.</t>
        </is>
      </c>
      <c r="H1419" t="inlineStr">
        <is>
          <t>2026-08-10</t>
        </is>
      </c>
    </row>
    <row r="1420">
      <c r="A1420" t="n">
        <v>32</v>
      </c>
      <c r="B1420" t="inlineStr">
        <is>
          <t>Questyle</t>
        </is>
      </c>
      <c r="C1420" t="inlineStr">
        <is>
          <t>M18i Max</t>
        </is>
      </c>
      <c r="D1420" t="inlineStr">
        <is>
          <t>DSP/PEQ</t>
        </is>
      </c>
      <c r="E1420" t="inlineStr">
        <is>
          <t>Non</t>
        </is>
      </c>
      <c r="F1420" t="inlineStr">
        <is>
          <t>https://bloomaudio.com/products/questyle-m18i-max</t>
        </is>
      </c>
      <c r="G1420" t="inlineStr">
        <is>
          <t>Aucune mention de « DSP/PEQ » dans la source produit consultée (1 source(s) ouverte(s) pour ce produit). Règle retenue le 2026-08-10 : caractéristique non mentionnée = Non.</t>
        </is>
      </c>
      <c r="H1420" t="inlineStr">
        <is>
          <t>2026-08-10</t>
        </is>
      </c>
    </row>
    <row r="1421">
      <c r="A1421" t="n">
        <v>33</v>
      </c>
      <c r="B1421" t="inlineStr">
        <is>
          <t>AFUL</t>
        </is>
      </c>
      <c r="C1421" t="inlineStr">
        <is>
          <t>ICEBORNE</t>
        </is>
      </c>
      <c r="D1421" t="inlineStr">
        <is>
          <t>Batterie</t>
        </is>
      </c>
      <c r="E1421" t="inlineStr">
        <is>
          <t>Non</t>
        </is>
      </c>
      <c r="F1421" t="inlineStr">
        <is>
          <t>https://headfonics.com/aful-iceborne-review/</t>
        </is>
      </c>
      <c r="G1421" t="inlineStr">
        <is>
          <t>Aucune mention de « Batterie » dans la source produit consultée (1 source(s) ouverte(s) pour ce produit). Règle retenue le 2026-08-10 : caractéristique non mentionnée = Non.</t>
        </is>
      </c>
      <c r="H1421" t="inlineStr">
        <is>
          <t>2026-08-10</t>
        </is>
      </c>
    </row>
    <row r="1422">
      <c r="A1422" t="n">
        <v>33</v>
      </c>
      <c r="B1422" t="inlineStr">
        <is>
          <t>AFUL</t>
        </is>
      </c>
      <c r="C1422" t="inlineStr">
        <is>
          <t>ICEBORNE</t>
        </is>
      </c>
      <c r="D1422" t="inlineStr">
        <is>
          <t>Bluetooth</t>
        </is>
      </c>
      <c r="E1422" t="inlineStr">
        <is>
          <t>Non</t>
        </is>
      </c>
      <c r="F1422" t="inlineStr">
        <is>
          <t>https://headfonics.com/aful-iceborne-review/</t>
        </is>
      </c>
      <c r="G1422" t="inlineStr">
        <is>
          <t>Aucune mention de « Bluetooth » dans la source produit consultée (1 source(s) ouverte(s) pour ce produit). Règle retenue le 2026-08-10 : caractéristique non mentionnée = Non.</t>
        </is>
      </c>
      <c r="H1422" t="inlineStr">
        <is>
          <t>2026-08-10</t>
        </is>
      </c>
    </row>
    <row r="1423">
      <c r="A1423" t="n">
        <v>33</v>
      </c>
      <c r="B1423" t="inlineStr">
        <is>
          <t>AFUL</t>
        </is>
      </c>
      <c r="C1423" t="inlineStr">
        <is>
          <t>ICEBORNE</t>
        </is>
      </c>
      <c r="D1423" t="inlineStr">
        <is>
          <t>DSP/PEQ</t>
        </is>
      </c>
      <c r="E1423" t="inlineStr">
        <is>
          <t>Non</t>
        </is>
      </c>
      <c r="F1423" t="inlineStr">
        <is>
          <t>https://headfonics.com/aful-iceborne-review/</t>
        </is>
      </c>
      <c r="G1423" t="inlineStr">
        <is>
          <t>Aucune mention de « DSP/PEQ » dans la source produit consultée (1 source(s) ouverte(s) pour ce produit). Règle retenue le 2026-08-10 : caractéristique non mentionnée = Non.</t>
        </is>
      </c>
      <c r="H1423" t="inlineStr">
        <is>
          <t>2026-08-10</t>
        </is>
      </c>
    </row>
    <row r="1424">
      <c r="A1424" t="n">
        <v>34</v>
      </c>
      <c r="B1424" t="inlineStr">
        <is>
          <t>Fosi Audio</t>
        </is>
      </c>
      <c r="C1424" t="inlineStr">
        <is>
          <t>MD3</t>
        </is>
      </c>
      <c r="D1424" t="inlineStr">
        <is>
          <t>DSP/PEQ</t>
        </is>
      </c>
      <c r="E1424" t="inlineStr">
        <is>
          <t>Non</t>
        </is>
      </c>
      <c r="F1424" t="inlineStr">
        <is>
          <t>https://headfonics.com/fosi-audio-md3-review/</t>
        </is>
      </c>
      <c r="G1424" t="inlineStr">
        <is>
          <t>Aucune mention de « DSP/PEQ » dans la source produit consultée (1 source(s) ouverte(s) pour ce produit). Règle retenue le 2026-08-10 : caractéristique non mentionnée = Non.</t>
        </is>
      </c>
      <c r="H1424" t="inlineStr">
        <is>
          <t>2026-08-10</t>
        </is>
      </c>
    </row>
    <row r="1425">
      <c r="A1425" t="n">
        <v>35</v>
      </c>
      <c r="B1425" t="inlineStr">
        <is>
          <t>iFi audio</t>
        </is>
      </c>
      <c r="C1425" t="inlineStr">
        <is>
          <t>GO link 2</t>
        </is>
      </c>
      <c r="D1425" t="inlineStr">
        <is>
          <t>DSP/PEQ</t>
        </is>
      </c>
      <c r="E1425" t="inlineStr">
        <is>
          <t>Non</t>
        </is>
      </c>
      <c r="F1425" t="inlineStr">
        <is>
          <t>https://bloomaudio.com/products/ifi-audio-go-link-2</t>
        </is>
      </c>
      <c r="G1425" t="inlineStr">
        <is>
          <t>Aucune mention de « DSP/PEQ » dans la source produit consultée (1 source(s) ouverte(s) pour ce produit). Règle retenue le 2026-08-10 : caractéristique non mentionnée = Non.</t>
        </is>
      </c>
      <c r="H1425" t="inlineStr">
        <is>
          <t>2026-08-10</t>
        </is>
      </c>
    </row>
    <row r="1426">
      <c r="A1426" t="n">
        <v>36</v>
      </c>
      <c r="B1426" t="inlineStr">
        <is>
          <t>MUSE HiFi</t>
        </is>
      </c>
      <c r="C1426" t="inlineStr">
        <is>
          <t>M3 Ultra</t>
        </is>
      </c>
      <c r="D1426" t="inlineStr">
        <is>
          <t>Batterie</t>
        </is>
      </c>
      <c r="E1426" t="inlineStr">
        <is>
          <t>Non</t>
        </is>
      </c>
      <c r="F1426" t="inlineStr">
        <is>
          <t>https://hifigo.com/products/muse-hifi-m3-ultra</t>
        </is>
      </c>
      <c r="G1426" t="inlineStr">
        <is>
          <t>Aucune mention de « Batterie » dans la source produit consultée (1 source(s) ouverte(s) pour ce produit). Règle retenue le 2026-08-10 : caractéristique non mentionnée = Non.</t>
        </is>
      </c>
      <c r="H1426" t="inlineStr">
        <is>
          <t>2026-08-10</t>
        </is>
      </c>
    </row>
    <row r="1427">
      <c r="A1427" t="n">
        <v>38</v>
      </c>
      <c r="B1427" t="inlineStr">
        <is>
          <t>xDuoo</t>
        </is>
      </c>
      <c r="C1427" t="inlineStr">
        <is>
          <t>XP-2 Bal</t>
        </is>
      </c>
      <c r="D1427" t="inlineStr">
        <is>
          <t>2.5mm</t>
        </is>
      </c>
      <c r="E1427" t="inlineStr">
        <is>
          <t>Non</t>
        </is>
      </c>
      <c r="F1427" t="inlineStr">
        <is>
          <t>https://headfonics.com/xduoo-xp-2-bal-review/</t>
        </is>
      </c>
      <c r="G1427" t="inlineStr">
        <is>
          <t>Aucune mention de « Sortie 2.5mm » dans la source produit consultée (2 source(s) ouverte(s) pour ce produit). Règle retenue le 2026-08-10 : caractéristique non mentionnée = Non.</t>
        </is>
      </c>
      <c r="H1427" t="inlineStr">
        <is>
          <t>2026-08-10</t>
        </is>
      </c>
    </row>
    <row r="1428">
      <c r="A1428" t="n">
        <v>38</v>
      </c>
      <c r="B1428" t="inlineStr">
        <is>
          <t>xDuoo</t>
        </is>
      </c>
      <c r="C1428" t="inlineStr">
        <is>
          <t>XP-2 Bal</t>
        </is>
      </c>
      <c r="D1428" t="inlineStr">
        <is>
          <t>6.35mm</t>
        </is>
      </c>
      <c r="E1428" t="inlineStr">
        <is>
          <t>Non</t>
        </is>
      </c>
      <c r="F1428" t="inlineStr">
        <is>
          <t>https://headfonics.com/xduoo-xp-2-bal-review/</t>
        </is>
      </c>
      <c r="G1428" t="inlineStr">
        <is>
          <t>Aucune mention de « Sortie 6.35mm » dans la source produit consultée (2 source(s) ouverte(s) pour ce produit). Règle retenue le 2026-08-10 : caractéristique non mentionnée = Non.</t>
        </is>
      </c>
      <c r="H1428" t="inlineStr">
        <is>
          <t>2026-08-10</t>
        </is>
      </c>
    </row>
    <row r="1429">
      <c r="A1429" t="n">
        <v>38</v>
      </c>
      <c r="B1429" t="inlineStr">
        <is>
          <t>xDuoo</t>
        </is>
      </c>
      <c r="C1429" t="inlineStr">
        <is>
          <t>XP-2 Bal</t>
        </is>
      </c>
      <c r="D1429" t="inlineStr">
        <is>
          <t>XLR</t>
        </is>
      </c>
      <c r="E1429" t="inlineStr">
        <is>
          <t>Non</t>
        </is>
      </c>
      <c r="F1429" t="inlineStr">
        <is>
          <t>https://headfonics.com/xduoo-xp-2-bal-review/</t>
        </is>
      </c>
      <c r="G1429" t="inlineStr">
        <is>
          <t>Aucune mention de « Sortie XLR » dans la source produit consultée (2 source(s) ouverte(s) pour ce produit). Règle retenue le 2026-08-10 : caractéristique non mentionnée = Non.</t>
        </is>
      </c>
      <c r="H1429" t="inlineStr">
        <is>
          <t>2026-08-10</t>
        </is>
      </c>
    </row>
    <row r="1430">
      <c r="A1430" t="n">
        <v>38</v>
      </c>
      <c r="B1430" t="inlineStr">
        <is>
          <t>xDuoo</t>
        </is>
      </c>
      <c r="C1430" t="inlineStr">
        <is>
          <t>XP-2 Bal</t>
        </is>
      </c>
      <c r="D1430" t="inlineStr">
        <is>
          <t>DSP/PEQ</t>
        </is>
      </c>
      <c r="E1430" t="inlineStr">
        <is>
          <t>Non</t>
        </is>
      </c>
      <c r="F1430" t="inlineStr">
        <is>
          <t>https://headfonics.com/xduoo-xp-2-bal-review/</t>
        </is>
      </c>
      <c r="G1430" t="inlineStr">
        <is>
          <t>Aucune mention de « DSP/PEQ » dans la source produit consultée (2 source(s) ouverte(s) pour ce produit). Règle retenue le 2026-08-10 : caractéristique non mentionnée = Non.</t>
        </is>
      </c>
      <c r="H1430" t="inlineStr">
        <is>
          <t>2026-08-10</t>
        </is>
      </c>
    </row>
    <row r="1431">
      <c r="A1431" t="n">
        <v>39</v>
      </c>
      <c r="B1431" t="inlineStr">
        <is>
          <t>iBasso</t>
        </is>
      </c>
      <c r="C1431" t="inlineStr">
        <is>
          <t>PB6 MACAW</t>
        </is>
      </c>
      <c r="D1431" t="inlineStr">
        <is>
          <t>DSP/PEQ</t>
        </is>
      </c>
      <c r="E1431" t="inlineStr">
        <is>
          <t>Non</t>
        </is>
      </c>
      <c r="F1431" t="inlineStr">
        <is>
          <t>https://hifigo.com/products/ibasso-pb6-macaw</t>
        </is>
      </c>
      <c r="G1431" t="inlineStr">
        <is>
          <t>Aucune mention de « DSP/PEQ » dans la source produit consultée (1 source(s) ouverte(s) pour ce produit). Règle retenue le 2026-08-10 : caractéristique non mentionnée = Non.</t>
        </is>
      </c>
      <c r="H1431" t="inlineStr">
        <is>
          <t>2026-08-10</t>
        </is>
      </c>
    </row>
    <row r="1432">
      <c r="A1432" t="n">
        <v>42</v>
      </c>
      <c r="B1432" t="inlineStr">
        <is>
          <t>iBasso</t>
        </is>
      </c>
      <c r="C1432" t="inlineStr">
        <is>
          <t>D17 Atheris</t>
        </is>
      </c>
      <c r="D1432" t="inlineStr">
        <is>
          <t>DSP/PEQ</t>
        </is>
      </c>
      <c r="E1432" t="inlineStr">
        <is>
          <t>Non</t>
        </is>
      </c>
      <c r="F1432" t="inlineStr">
        <is>
          <t>https://bloomaudio.com/products/ibasso-d17</t>
        </is>
      </c>
      <c r="G1432" t="inlineStr">
        <is>
          <t>Aucune mention de « DSP/PEQ » dans la source produit consultée (1 source(s) ouverte(s) pour ce produit). Règle retenue le 2026-08-10 : caractéristique non mentionnée = Non.</t>
        </is>
      </c>
      <c r="H1432" t="inlineStr">
        <is>
          <t>2026-08-10</t>
        </is>
      </c>
    </row>
    <row r="1433">
      <c r="A1433" t="n">
        <v>44</v>
      </c>
      <c r="B1433" t="inlineStr">
        <is>
          <t>FiiO</t>
        </is>
      </c>
      <c r="C1433" t="inlineStr">
        <is>
          <t>SNOWSKY Tiny</t>
        </is>
      </c>
      <c r="D1433" t="inlineStr">
        <is>
          <t>Batterie</t>
        </is>
      </c>
      <c r="E1433" t="inlineStr">
        <is>
          <t>Non</t>
        </is>
      </c>
      <c r="F1433" t="inlineStr">
        <is>
          <t>https://headfonics.com/fiio-snowsky-tiny-review/</t>
        </is>
      </c>
      <c r="G1433" t="inlineStr">
        <is>
          <t>Aucune mention de « Batterie » dans la source produit consultée (2 source(s) ouverte(s) pour ce produit). Règle retenue le 2026-08-10 : caractéristique non mentionnée = Non.</t>
        </is>
      </c>
      <c r="H1433" t="inlineStr">
        <is>
          <t>2026-08-10</t>
        </is>
      </c>
    </row>
    <row r="1434">
      <c r="A1434" t="n">
        <v>44</v>
      </c>
      <c r="B1434" t="inlineStr">
        <is>
          <t>FiiO</t>
        </is>
      </c>
      <c r="C1434" t="inlineStr">
        <is>
          <t>SNOWSKY Tiny</t>
        </is>
      </c>
      <c r="D1434" t="inlineStr">
        <is>
          <t>Bluetooth</t>
        </is>
      </c>
      <c r="E1434" t="inlineStr">
        <is>
          <t>Non</t>
        </is>
      </c>
      <c r="F1434" t="inlineStr">
        <is>
          <t>https://headfonics.com/fiio-snowsky-tiny-review/</t>
        </is>
      </c>
      <c r="G1434" t="inlineStr">
        <is>
          <t>Aucune mention de « Bluetooth » dans la source produit consultée (2 source(s) ouverte(s) pour ce produit). Règle retenue le 2026-08-10 : caractéristique non mentionnée = Non.</t>
        </is>
      </c>
      <c r="H1434" t="inlineStr">
        <is>
          <t>2026-08-10</t>
        </is>
      </c>
    </row>
    <row r="1435">
      <c r="A1435" t="n">
        <v>46</v>
      </c>
      <c r="B1435" t="inlineStr">
        <is>
          <t>ddHiFi</t>
        </is>
      </c>
      <c r="C1435" t="inlineStr">
        <is>
          <t>TC44Grip</t>
        </is>
      </c>
      <c r="D1435" t="inlineStr">
        <is>
          <t>Batterie</t>
        </is>
      </c>
      <c r="E1435" t="inlineStr">
        <is>
          <t>Non</t>
        </is>
      </c>
      <c r="F1435" t="inlineStr">
        <is>
          <t>https://bloomaudio.com/products/ddhifi-p85m-p95m</t>
        </is>
      </c>
      <c r="G1435" t="inlineStr">
        <is>
          <t>Aucune mention de « Batterie » dans la source produit consultée (1 source(s) ouverte(s) pour ce produit). Règle retenue le 2026-08-10 : caractéristique non mentionnée = Non.</t>
        </is>
      </c>
      <c r="H1435" t="inlineStr">
        <is>
          <t>2026-08-10</t>
        </is>
      </c>
    </row>
    <row r="1436">
      <c r="A1436" t="n">
        <v>46</v>
      </c>
      <c r="B1436" t="inlineStr">
        <is>
          <t>ddHiFi</t>
        </is>
      </c>
      <c r="C1436" t="inlineStr">
        <is>
          <t>TC44Grip</t>
        </is>
      </c>
      <c r="D1436" t="inlineStr">
        <is>
          <t>Bluetooth</t>
        </is>
      </c>
      <c r="E1436" t="inlineStr">
        <is>
          <t>Non</t>
        </is>
      </c>
      <c r="F1436" t="inlineStr">
        <is>
          <t>https://bloomaudio.com/products/ddhifi-p85m-p95m</t>
        </is>
      </c>
      <c r="G1436" t="inlineStr">
        <is>
          <t>Aucune mention de « Bluetooth » dans la source produit consultée (1 source(s) ouverte(s) pour ce produit). Règle retenue le 2026-08-10 : caractéristique non mentionnée = Non.</t>
        </is>
      </c>
      <c r="H1436" t="inlineStr">
        <is>
          <t>2026-08-10</t>
        </is>
      </c>
    </row>
    <row r="1437">
      <c r="A1437" t="n">
        <v>46</v>
      </c>
      <c r="B1437" t="inlineStr">
        <is>
          <t>ddHiFi</t>
        </is>
      </c>
      <c r="C1437" t="inlineStr">
        <is>
          <t>TC44Grip</t>
        </is>
      </c>
      <c r="D1437" t="inlineStr">
        <is>
          <t>DSP/PEQ</t>
        </is>
      </c>
      <c r="E1437" t="inlineStr">
        <is>
          <t>Non</t>
        </is>
      </c>
      <c r="F1437" t="inlineStr">
        <is>
          <t>https://bloomaudio.com/products/ddhifi-p85m-p95m</t>
        </is>
      </c>
      <c r="G1437" t="inlineStr">
        <is>
          <t>Aucune mention de « DSP/PEQ » dans la source produit consultée (1 source(s) ouverte(s) pour ce produit). Règle retenue le 2026-08-10 : caractéristique non mentionnée = Non.</t>
        </is>
      </c>
      <c r="H1437" t="inlineStr">
        <is>
          <t>2026-08-10</t>
        </is>
      </c>
    </row>
    <row r="1438">
      <c r="A1438" t="n">
        <v>47</v>
      </c>
      <c r="B1438" t="inlineStr">
        <is>
          <t>ddHiFi</t>
        </is>
      </c>
      <c r="C1438" t="inlineStr">
        <is>
          <t>TC44 Pro E3</t>
        </is>
      </c>
      <c r="D1438" t="inlineStr">
        <is>
          <t>Batterie</t>
        </is>
      </c>
      <c r="E1438" t="inlineStr">
        <is>
          <t>Non</t>
        </is>
      </c>
      <c r="F1438" t="inlineStr">
        <is>
          <t>https://headfonics.com/ddhifi-tc44-pro-e3-review/</t>
        </is>
      </c>
      <c r="G1438" t="inlineStr">
        <is>
          <t>Aucune mention de « Batterie » dans la source produit consultée (2 source(s) ouverte(s) pour ce produit). Règle retenue le 2026-08-10 : caractéristique non mentionnée = Non.</t>
        </is>
      </c>
      <c r="H1438" t="inlineStr">
        <is>
          <t>2026-08-10</t>
        </is>
      </c>
    </row>
    <row r="1439">
      <c r="A1439" t="n">
        <v>47</v>
      </c>
      <c r="B1439" t="inlineStr">
        <is>
          <t>ddHiFi</t>
        </is>
      </c>
      <c r="C1439" t="inlineStr">
        <is>
          <t>TC44 Pro E3</t>
        </is>
      </c>
      <c r="D1439" t="inlineStr">
        <is>
          <t>DSP/PEQ</t>
        </is>
      </c>
      <c r="E1439" t="inlineStr">
        <is>
          <t>Non</t>
        </is>
      </c>
      <c r="F1439" t="inlineStr">
        <is>
          <t>https://headfonics.com/ddhifi-tc44-pro-e3-review/</t>
        </is>
      </c>
      <c r="G1439" t="inlineStr">
        <is>
          <t>Aucune mention de « DSP/PEQ » dans la source produit consultée (2 source(s) ouverte(s) pour ce produit). Règle retenue le 2026-08-10 : caractéristique non mentionnée = Non.</t>
        </is>
      </c>
      <c r="H1439" t="inlineStr">
        <is>
          <t>2026-08-10</t>
        </is>
      </c>
    </row>
    <row r="1440">
      <c r="A1440" t="n">
        <v>49</v>
      </c>
      <c r="B1440" t="inlineStr">
        <is>
          <t>FiiO</t>
        </is>
      </c>
      <c r="C1440" t="inlineStr">
        <is>
          <t>JIEZI</t>
        </is>
      </c>
      <c r="D1440" t="inlineStr">
        <is>
          <t>Batterie</t>
        </is>
      </c>
      <c r="E1440" t="inlineStr">
        <is>
          <t>Non</t>
        </is>
      </c>
      <c r="F1440" t="inlineStr">
        <is>
          <t>https://headfonics.com/fiio-jiezi-review/</t>
        </is>
      </c>
      <c r="G1440" t="inlineStr">
        <is>
          <t>Aucune mention de « Batterie » dans la source produit consultée (1 source(s) ouverte(s) pour ce produit). Règle retenue le 2026-08-10 : caractéristique non mentionnée = Non.</t>
        </is>
      </c>
      <c r="H1440" t="inlineStr">
        <is>
          <t>2026-08-10</t>
        </is>
      </c>
    </row>
    <row r="1441">
      <c r="A1441" t="n">
        <v>50</v>
      </c>
      <c r="B1441" t="inlineStr">
        <is>
          <t>FiiO</t>
        </is>
      </c>
      <c r="C1441" t="inlineStr">
        <is>
          <t>SNOWSKY Melody</t>
        </is>
      </c>
      <c r="D1441" t="inlineStr">
        <is>
          <t>Batterie</t>
        </is>
      </c>
      <c r="E1441" t="inlineStr">
        <is>
          <t>Non</t>
        </is>
      </c>
      <c r="F1441" t="inlineStr">
        <is>
          <t>https://headfonics.com/fiio-snowsky-melody-review/</t>
        </is>
      </c>
      <c r="G1441" t="inlineStr">
        <is>
          <t>Aucune mention de « Batterie » dans la source produit consultée (1 source(s) ouverte(s) pour ce produit). Règle retenue le 2026-08-10 : caractéristique non mentionnée = Non.</t>
        </is>
      </c>
      <c r="H1441" t="inlineStr">
        <is>
          <t>2026-08-10</t>
        </is>
      </c>
    </row>
    <row r="1442">
      <c r="A1442" t="n">
        <v>51</v>
      </c>
      <c r="B1442" t="inlineStr">
        <is>
          <t>xDuoo</t>
        </is>
      </c>
      <c r="C1442" t="inlineStr">
        <is>
          <t>XD05 Basic2</t>
        </is>
      </c>
      <c r="D1442" t="inlineStr">
        <is>
          <t>DSP/PEQ</t>
        </is>
      </c>
      <c r="E1442" t="inlineStr">
        <is>
          <t>Non</t>
        </is>
      </c>
      <c r="F1442" t="inlineStr">
        <is>
          <t>https://headfonics.com/xduoo-xd05-basic2-review/</t>
        </is>
      </c>
      <c r="G1442" t="inlineStr">
        <is>
          <t>Aucune mention de « DSP/PEQ » dans la source produit consultée (2 source(s) ouverte(s) pour ce produit). Règle retenue le 2026-08-10 : caractéristique non mentionnée = Non.</t>
        </is>
      </c>
      <c r="H1442" t="inlineStr">
        <is>
          <t>2026-08-10</t>
        </is>
      </c>
    </row>
    <row r="1443">
      <c r="A1443" t="n">
        <v>52</v>
      </c>
      <c r="B1443" t="inlineStr">
        <is>
          <t>iBasso</t>
        </is>
      </c>
      <c r="C1443" t="inlineStr">
        <is>
          <t>Nunchaku</t>
        </is>
      </c>
      <c r="D1443" t="inlineStr">
        <is>
          <t>Batterie</t>
        </is>
      </c>
      <c r="E1443" t="inlineStr">
        <is>
          <t>Non</t>
        </is>
      </c>
      <c r="F1443" t="inlineStr">
        <is>
          <t>https://headfonics.com/ibasso-nunchaku-review/</t>
        </is>
      </c>
      <c r="G1443" t="inlineStr">
        <is>
          <t>Aucune mention de « Batterie » dans la source produit consultée (2 source(s) ouverte(s) pour ce produit). Règle retenue le 2026-08-10 : caractéristique non mentionnée = Non.</t>
        </is>
      </c>
      <c r="H1443" t="inlineStr">
        <is>
          <t>2026-08-10</t>
        </is>
      </c>
    </row>
    <row r="1444">
      <c r="A1444" t="n">
        <v>52</v>
      </c>
      <c r="B1444" t="inlineStr">
        <is>
          <t>iBasso</t>
        </is>
      </c>
      <c r="C1444" t="inlineStr">
        <is>
          <t>Nunchaku</t>
        </is>
      </c>
      <c r="D1444" t="inlineStr">
        <is>
          <t>DSP/PEQ</t>
        </is>
      </c>
      <c r="E1444" t="inlineStr">
        <is>
          <t>Non</t>
        </is>
      </c>
      <c r="F1444" t="inlineStr">
        <is>
          <t>https://headfonics.com/ibasso-nunchaku-review/</t>
        </is>
      </c>
      <c r="G1444" t="inlineStr">
        <is>
          <t>Aucune mention de « DSP/PEQ » dans la source produit consultée (2 source(s) ouverte(s) pour ce produit). Règle retenue le 2026-08-10 : caractéristique non mentionnée = Non.</t>
        </is>
      </c>
      <c r="H1444" t="inlineStr">
        <is>
          <t>2026-08-10</t>
        </is>
      </c>
    </row>
    <row r="1445">
      <c r="A1445" t="n">
        <v>53</v>
      </c>
      <c r="B1445" t="inlineStr">
        <is>
          <t>NiPO</t>
        </is>
      </c>
      <c r="C1445" t="inlineStr">
        <is>
          <t>A100</t>
        </is>
      </c>
      <c r="D1445" t="inlineStr">
        <is>
          <t>DSP/PEQ</t>
        </is>
      </c>
      <c r="E1445" t="inlineStr">
        <is>
          <t>Non</t>
        </is>
      </c>
      <c r="F1445" t="inlineStr">
        <is>
          <t>https://headfonics.com/nipo-a100-review/</t>
        </is>
      </c>
      <c r="G1445" t="inlineStr">
        <is>
          <t>Aucune mention de « DSP/PEQ » dans la source produit consultée (1 source(s) ouverte(s) pour ce produit). Règle retenue le 2026-08-10 : caractéristique non mentionnée = Non.</t>
        </is>
      </c>
      <c r="H1445" t="inlineStr">
        <is>
          <t>2026-08-10</t>
        </is>
      </c>
    </row>
    <row r="1446">
      <c r="A1446" t="n">
        <v>54</v>
      </c>
      <c r="B1446" t="inlineStr">
        <is>
          <t>ddHiFi</t>
        </is>
      </c>
      <c r="C1446" t="inlineStr">
        <is>
          <t>TC44Pro M3</t>
        </is>
      </c>
      <c r="D1446" t="inlineStr">
        <is>
          <t>Batterie</t>
        </is>
      </c>
      <c r="E1446" t="inlineStr">
        <is>
          <t>Non</t>
        </is>
      </c>
      <c r="F1446" t="inlineStr">
        <is>
          <t>https://headfonics.com/ddhifi-tc44pro-m3-review/</t>
        </is>
      </c>
      <c r="G1446" t="inlineStr">
        <is>
          <t>Aucune mention de « Batterie » dans la source produit consultée (3 source(s) ouverte(s) pour ce produit). Règle retenue le 2026-08-10 : caractéristique non mentionnée = Non.</t>
        </is>
      </c>
      <c r="H1446" t="inlineStr">
        <is>
          <t>2026-08-10</t>
        </is>
      </c>
    </row>
    <row r="1447">
      <c r="A1447" t="n">
        <v>58</v>
      </c>
      <c r="B1447" t="inlineStr">
        <is>
          <t>FiiO</t>
        </is>
      </c>
      <c r="C1447" t="inlineStr">
        <is>
          <t>RR11</t>
        </is>
      </c>
      <c r="D1447" t="inlineStr">
        <is>
          <t>Bluetooth</t>
        </is>
      </c>
      <c r="E1447" t="inlineStr">
        <is>
          <t>Non</t>
        </is>
      </c>
      <c r="F1447" t="inlineStr">
        <is>
          <t>https://headfonics.com/fiio-rr11-review/</t>
        </is>
      </c>
      <c r="G1447" t="inlineStr">
        <is>
          <t>Aucune mention de « Bluetooth » dans la source produit consultée (3 source(s) ouverte(s) pour ce produit). Règle retenue le 2026-08-10 : caractéristique non mentionnée = Non.</t>
        </is>
      </c>
      <c r="H1447" t="inlineStr">
        <is>
          <t>2026-08-10</t>
        </is>
      </c>
    </row>
    <row r="1448">
      <c r="A1448" t="n">
        <v>59</v>
      </c>
      <c r="B1448" t="inlineStr">
        <is>
          <t>EarMen</t>
        </is>
      </c>
      <c r="C1448" t="inlineStr">
        <is>
          <t>L-Amp</t>
        </is>
      </c>
      <c r="D1448" t="inlineStr">
        <is>
          <t>Batterie</t>
        </is>
      </c>
      <c r="E1448" t="inlineStr">
        <is>
          <t>Non</t>
        </is>
      </c>
      <c r="F1448" t="inlineStr">
        <is>
          <t>https://headfonics.com/earmen-l-amp-review/</t>
        </is>
      </c>
      <c r="G1448" t="inlineStr">
        <is>
          <t>Aucune mention de « Batterie » dans la source produit consultée (1 source(s) ouverte(s) pour ce produit). Règle retenue le 2026-08-10 : caractéristique non mentionnée = Non.</t>
        </is>
      </c>
      <c r="H1448" t="inlineStr">
        <is>
          <t>2026-08-10</t>
        </is>
      </c>
    </row>
    <row r="1449">
      <c r="A1449" t="n">
        <v>59</v>
      </c>
      <c r="B1449" t="inlineStr">
        <is>
          <t>EarMen</t>
        </is>
      </c>
      <c r="C1449" t="inlineStr">
        <is>
          <t>L-Amp</t>
        </is>
      </c>
      <c r="D1449" t="inlineStr">
        <is>
          <t>Bluetooth</t>
        </is>
      </c>
      <c r="E1449" t="inlineStr">
        <is>
          <t>Non</t>
        </is>
      </c>
      <c r="F1449" t="inlineStr">
        <is>
          <t>https://headfonics.com/earmen-l-amp-review/</t>
        </is>
      </c>
      <c r="G1449" t="inlineStr">
        <is>
          <t>Aucune mention de « Bluetooth » dans la source produit consultée (1 source(s) ouverte(s) pour ce produit). Règle retenue le 2026-08-10 : caractéristique non mentionnée = Non.</t>
        </is>
      </c>
      <c r="H1449" t="inlineStr">
        <is>
          <t>2026-08-10</t>
        </is>
      </c>
    </row>
    <row r="1450">
      <c r="A1450" t="n">
        <v>59</v>
      </c>
      <c r="B1450" t="inlineStr">
        <is>
          <t>EarMen</t>
        </is>
      </c>
      <c r="C1450" t="inlineStr">
        <is>
          <t>L-Amp</t>
        </is>
      </c>
      <c r="D1450" t="inlineStr">
        <is>
          <t>DSP/PEQ</t>
        </is>
      </c>
      <c r="E1450" t="inlineStr">
        <is>
          <t>Non</t>
        </is>
      </c>
      <c r="F1450" t="inlineStr">
        <is>
          <t>https://headfonics.com/earmen-l-amp-review/</t>
        </is>
      </c>
      <c r="G1450" t="inlineStr">
        <is>
          <t>Aucune mention de « DSP/PEQ » dans la source produit consultée (1 source(s) ouverte(s) pour ce produit). Règle retenue le 2026-08-10 : caractéristique non mentionnée = Non.</t>
        </is>
      </c>
      <c r="H1450" t="inlineStr">
        <is>
          <t>2026-08-10</t>
        </is>
      </c>
    </row>
    <row r="1451">
      <c r="A1451" t="n">
        <v>61</v>
      </c>
      <c r="B1451" t="inlineStr">
        <is>
          <t>Cayin</t>
        </is>
      </c>
      <c r="C1451" t="inlineStr">
        <is>
          <t>C9ii</t>
        </is>
      </c>
      <c r="D1451" t="inlineStr">
        <is>
          <t>Bluetooth</t>
        </is>
      </c>
      <c r="E1451" t="inlineStr">
        <is>
          <t>Non</t>
        </is>
      </c>
      <c r="F1451" t="inlineStr">
        <is>
          <t>https://hifigo.com/products/cayin-c9ii</t>
        </is>
      </c>
      <c r="G1451" t="inlineStr">
        <is>
          <t>Aucune mention de « Bluetooth » dans la source produit consultée (2 source(s) ouverte(s) pour ce produit). Règle retenue le 2026-08-10 : caractéristique non mentionnée = Non.</t>
        </is>
      </c>
      <c r="H1451" t="inlineStr">
        <is>
          <t>2026-08-10</t>
        </is>
      </c>
    </row>
    <row r="1452">
      <c r="A1452" t="n">
        <v>61</v>
      </c>
      <c r="B1452" t="inlineStr">
        <is>
          <t>Cayin</t>
        </is>
      </c>
      <c r="C1452" t="inlineStr">
        <is>
          <t>C9ii</t>
        </is>
      </c>
      <c r="D1452" t="inlineStr">
        <is>
          <t>DSP/PEQ</t>
        </is>
      </c>
      <c r="E1452" t="inlineStr">
        <is>
          <t>Non</t>
        </is>
      </c>
      <c r="F1452" t="inlineStr">
        <is>
          <t>https://hifigo.com/products/cayin-c9ii</t>
        </is>
      </c>
      <c r="G1452" t="inlineStr">
        <is>
          <t>Aucune mention de « DSP/PEQ » dans la source produit consultée (2 source(s) ouverte(s) pour ce produit). Règle retenue le 2026-08-10 : caractéristique non mentionnée = Non.</t>
        </is>
      </c>
      <c r="H1452" t="inlineStr">
        <is>
          <t>2026-08-10</t>
        </is>
      </c>
    </row>
    <row r="1453">
      <c r="A1453" t="n">
        <v>62</v>
      </c>
      <c r="B1453" t="inlineStr">
        <is>
          <t>ddHiFi</t>
        </is>
      </c>
      <c r="C1453" t="inlineStr">
        <is>
          <t>TC35M2</t>
        </is>
      </c>
      <c r="D1453" t="inlineStr">
        <is>
          <t>Batterie</t>
        </is>
      </c>
      <c r="E1453" t="inlineStr">
        <is>
          <t>Non</t>
        </is>
      </c>
      <c r="F1453" t="inlineStr">
        <is>
          <t>https://www.linsoul.com/products/ddhifi-tc35m2</t>
        </is>
      </c>
      <c r="G1453" t="inlineStr">
        <is>
          <t>Aucune mention de « Batterie » dans la source produit consultée (1 source(s) ouverte(s) pour ce produit). Règle retenue le 2026-08-10 : caractéristique non mentionnée = Non.</t>
        </is>
      </c>
      <c r="H1453" t="inlineStr">
        <is>
          <t>2026-08-10</t>
        </is>
      </c>
    </row>
    <row r="1454">
      <c r="A1454" t="n">
        <v>62</v>
      </c>
      <c r="B1454" t="inlineStr">
        <is>
          <t>ddHiFi</t>
        </is>
      </c>
      <c r="C1454" t="inlineStr">
        <is>
          <t>TC35M2</t>
        </is>
      </c>
      <c r="D1454" t="inlineStr">
        <is>
          <t>DSP/PEQ</t>
        </is>
      </c>
      <c r="E1454" t="inlineStr">
        <is>
          <t>Non</t>
        </is>
      </c>
      <c r="F1454" t="inlineStr">
        <is>
          <t>https://www.linsoul.com/products/ddhifi-tc35m2</t>
        </is>
      </c>
      <c r="G1454" t="inlineStr">
        <is>
          <t>Aucune mention de « DSP/PEQ » dans la source produit consultée (1 source(s) ouverte(s) pour ce produit). Règle retenue le 2026-08-10 : caractéristique non mentionnée = Non.</t>
        </is>
      </c>
      <c r="H1454" t="inlineStr">
        <is>
          <t>2026-08-10</t>
        </is>
      </c>
    </row>
    <row r="1455">
      <c r="A1455" t="n">
        <v>64</v>
      </c>
      <c r="B1455" t="inlineStr">
        <is>
          <t>Heartfield</t>
        </is>
      </c>
      <c r="C1455" t="inlineStr">
        <is>
          <t>R1</t>
        </is>
      </c>
      <c r="D1455" t="inlineStr">
        <is>
          <t>Batterie</t>
        </is>
      </c>
      <c r="E1455" t="inlineStr">
        <is>
          <t>Non</t>
        </is>
      </c>
      <c r="F1455" t="inlineStr">
        <is>
          <t>https://headfonics.com/heartfield-r1-review/</t>
        </is>
      </c>
      <c r="G1455" t="inlineStr">
        <is>
          <t>Aucune mention de « Batterie » dans la source produit consultée (2 source(s) ouverte(s) pour ce produit). Règle retenue le 2026-08-10 : caractéristique non mentionnée = Non.</t>
        </is>
      </c>
      <c r="H1455" t="inlineStr">
        <is>
          <t>2026-08-10</t>
        </is>
      </c>
    </row>
    <row r="1456">
      <c r="A1456" t="n">
        <v>64</v>
      </c>
      <c r="B1456" t="inlineStr">
        <is>
          <t>Heartfield</t>
        </is>
      </c>
      <c r="C1456" t="inlineStr">
        <is>
          <t>R1</t>
        </is>
      </c>
      <c r="D1456" t="inlineStr">
        <is>
          <t>DSP/PEQ</t>
        </is>
      </c>
      <c r="E1456" t="inlineStr">
        <is>
          <t>Non</t>
        </is>
      </c>
      <c r="F1456" t="inlineStr">
        <is>
          <t>https://headfonics.com/heartfield-r1-review/</t>
        </is>
      </c>
      <c r="G1456" t="inlineStr">
        <is>
          <t>Aucune mention de « DSP/PEQ » dans la source produit consultée (2 source(s) ouverte(s) pour ce produit). Règle retenue le 2026-08-10 : caractéristique non mentionnée = Non.</t>
        </is>
      </c>
      <c r="H1456" t="inlineStr">
        <is>
          <t>2026-08-10</t>
        </is>
      </c>
    </row>
    <row r="1457">
      <c r="A1457" t="n">
        <v>65</v>
      </c>
      <c r="B1457" t="inlineStr">
        <is>
          <t>iBasso</t>
        </is>
      </c>
      <c r="C1457" t="inlineStr">
        <is>
          <t>PB5 Osprey</t>
        </is>
      </c>
      <c r="D1457" t="inlineStr">
        <is>
          <t>DSP/PEQ</t>
        </is>
      </c>
      <c r="E1457" t="inlineStr">
        <is>
          <t>Non</t>
        </is>
      </c>
      <c r="F1457" t="inlineStr">
        <is>
          <t>https://headfonics.com/ibasso-pb5-osprey-review/</t>
        </is>
      </c>
      <c r="G1457" t="inlineStr">
        <is>
          <t>Aucune mention de « DSP/PEQ » dans la source produit consultée (2 source(s) ouverte(s) pour ce produit). Règle retenue le 2026-08-10 : caractéristique non mentionnée = Non.</t>
        </is>
      </c>
      <c r="H1457" t="inlineStr">
        <is>
          <t>2026-08-10</t>
        </is>
      </c>
    </row>
    <row r="1458">
      <c r="A1458" t="n">
        <v>66</v>
      </c>
      <c r="B1458" t="inlineStr">
        <is>
          <t>FiiO</t>
        </is>
      </c>
      <c r="C1458" t="inlineStr">
        <is>
          <t>KA15</t>
        </is>
      </c>
      <c r="D1458" t="inlineStr">
        <is>
          <t>Batterie</t>
        </is>
      </c>
      <c r="E1458" t="inlineStr">
        <is>
          <t>Non</t>
        </is>
      </c>
      <c r="F1458" t="inlineStr">
        <is>
          <t>https://headfonics.com/fiio-ka15-review/</t>
        </is>
      </c>
      <c r="G1458" t="inlineStr">
        <is>
          <t>Aucune mention de « Batterie » dans la source produit consultée (2 source(s) ouverte(s) pour ce produit). Règle retenue le 2026-08-10 : caractéristique non mentionnée = Non.</t>
        </is>
      </c>
      <c r="H1458" t="inlineStr">
        <is>
          <t>2026-08-10</t>
        </is>
      </c>
    </row>
    <row r="1459">
      <c r="A1459" t="n">
        <v>67</v>
      </c>
      <c r="B1459" t="inlineStr">
        <is>
          <t>TempoTec</t>
        </is>
      </c>
      <c r="C1459" t="inlineStr">
        <is>
          <t>Sonata BHD Pro</t>
        </is>
      </c>
      <c r="D1459" t="inlineStr">
        <is>
          <t>Bluetooth</t>
        </is>
      </c>
      <c r="E1459" t="inlineStr">
        <is>
          <t>Non</t>
        </is>
      </c>
      <c r="F1459" t="inlineStr">
        <is>
          <t>https://headfonics.com/tempotec-sonata-bhd-pro-review/</t>
        </is>
      </c>
      <c r="G1459" t="inlineStr">
        <is>
          <t>Aucune mention de « Bluetooth » dans la source produit consultée (2 source(s) ouverte(s) pour ce produit). Règle retenue le 2026-08-10 : caractéristique non mentionnée = Non.</t>
        </is>
      </c>
      <c r="H1459" t="inlineStr">
        <is>
          <t>2026-08-10</t>
        </is>
      </c>
    </row>
    <row r="1460">
      <c r="A1460" t="n">
        <v>67</v>
      </c>
      <c r="B1460" t="inlineStr">
        <is>
          <t>TempoTec</t>
        </is>
      </c>
      <c r="C1460" t="inlineStr">
        <is>
          <t>Sonata BHD Pro</t>
        </is>
      </c>
      <c r="D1460" t="inlineStr">
        <is>
          <t>DSP/PEQ</t>
        </is>
      </c>
      <c r="E1460" t="inlineStr">
        <is>
          <t>Non</t>
        </is>
      </c>
      <c r="F1460" t="inlineStr">
        <is>
          <t>https://headfonics.com/tempotec-sonata-bhd-pro-review/</t>
        </is>
      </c>
      <c r="G1460" t="inlineStr">
        <is>
          <t>Aucune mention de « DSP/PEQ » dans la source produit consultée (2 source(s) ouverte(s) pour ce produit). Règle retenue le 2026-08-10 : caractéristique non mentionnée = Non.</t>
        </is>
      </c>
      <c r="H1460" t="inlineStr">
        <is>
          <t>2026-08-10</t>
        </is>
      </c>
    </row>
    <row r="1461">
      <c r="A1461" t="n">
        <v>68</v>
      </c>
      <c r="B1461" t="inlineStr">
        <is>
          <t>iBasso</t>
        </is>
      </c>
      <c r="C1461" t="inlineStr">
        <is>
          <t>D16 Taipan</t>
        </is>
      </c>
      <c r="D1461" t="inlineStr">
        <is>
          <t>2.5mm</t>
        </is>
      </c>
      <c r="E1461" t="inlineStr">
        <is>
          <t>Non</t>
        </is>
      </c>
      <c r="F1461" t="inlineStr">
        <is>
          <t>https://headfonics.com/ibasso-d16-taipan-review/</t>
        </is>
      </c>
      <c r="G1461" t="inlineStr">
        <is>
          <t>Aucune mention de « Sortie 2.5mm » dans la source produit consultée (1 source(s) ouverte(s) pour ce produit). Règle retenue le 2026-08-10 : caractéristique non mentionnée = Non.</t>
        </is>
      </c>
      <c r="H1461" t="inlineStr">
        <is>
          <t>2026-08-10</t>
        </is>
      </c>
    </row>
    <row r="1462">
      <c r="A1462" t="n">
        <v>68</v>
      </c>
      <c r="B1462" t="inlineStr">
        <is>
          <t>iBasso</t>
        </is>
      </c>
      <c r="C1462" t="inlineStr">
        <is>
          <t>D16 Taipan</t>
        </is>
      </c>
      <c r="D1462" t="inlineStr">
        <is>
          <t>6.35mm</t>
        </is>
      </c>
      <c r="E1462" t="inlineStr">
        <is>
          <t>Non</t>
        </is>
      </c>
      <c r="F1462" t="inlineStr">
        <is>
          <t>https://headfonics.com/ibasso-d16-taipan-review/</t>
        </is>
      </c>
      <c r="G1462" t="inlineStr">
        <is>
          <t>Aucune mention de « Sortie 6.35mm » dans la source produit consultée (1 source(s) ouverte(s) pour ce produit). Règle retenue le 2026-08-10 : caractéristique non mentionnée = Non.</t>
        </is>
      </c>
      <c r="H1462" t="inlineStr">
        <is>
          <t>2026-08-10</t>
        </is>
      </c>
    </row>
    <row r="1463">
      <c r="A1463" t="n">
        <v>68</v>
      </c>
      <c r="B1463" t="inlineStr">
        <is>
          <t>iBasso</t>
        </is>
      </c>
      <c r="C1463" t="inlineStr">
        <is>
          <t>D16 Taipan</t>
        </is>
      </c>
      <c r="D1463" t="inlineStr">
        <is>
          <t>XLR</t>
        </is>
      </c>
      <c r="E1463" t="inlineStr">
        <is>
          <t>Non</t>
        </is>
      </c>
      <c r="F1463" t="inlineStr">
        <is>
          <t>https://headfonics.com/ibasso-d16-taipan-review/</t>
        </is>
      </c>
      <c r="G1463" t="inlineStr">
        <is>
          <t>Aucune mention de « Sortie XLR » dans la source produit consultée (1 source(s) ouverte(s) pour ce produit). Règle retenue le 2026-08-10 : caractéristique non mentionnée = Non.</t>
        </is>
      </c>
      <c r="H1463" t="inlineStr">
        <is>
          <t>2026-08-10</t>
        </is>
      </c>
    </row>
    <row r="1464">
      <c r="A1464" t="n">
        <v>68</v>
      </c>
      <c r="B1464" t="inlineStr">
        <is>
          <t>iBasso</t>
        </is>
      </c>
      <c r="C1464" t="inlineStr">
        <is>
          <t>D16 Taipan</t>
        </is>
      </c>
      <c r="D1464" t="inlineStr">
        <is>
          <t>DSP/PEQ</t>
        </is>
      </c>
      <c r="E1464" t="inlineStr">
        <is>
          <t>Non</t>
        </is>
      </c>
      <c r="F1464" t="inlineStr">
        <is>
          <t>https://headfonics.com/ibasso-d16-taipan-review/</t>
        </is>
      </c>
      <c r="G1464" t="inlineStr">
        <is>
          <t>Aucune mention de « DSP/PEQ » dans la source produit consultée (1 source(s) ouverte(s) pour ce produit). Règle retenue le 2026-08-10 : caractéristique non mentionnée = Non.</t>
        </is>
      </c>
      <c r="H1464" t="inlineStr">
        <is>
          <t>2026-08-10</t>
        </is>
      </c>
    </row>
    <row r="1465">
      <c r="A1465" t="n">
        <v>69</v>
      </c>
      <c r="B1465" t="inlineStr">
        <is>
          <t>7Hz</t>
        </is>
      </c>
      <c r="C1465" t="inlineStr">
        <is>
          <t>Artemis39</t>
        </is>
      </c>
      <c r="D1465" t="inlineStr">
        <is>
          <t>DSP/PEQ</t>
        </is>
      </c>
      <c r="E1465" t="inlineStr">
        <is>
          <t>Non</t>
        </is>
      </c>
      <c r="F1465" t="inlineStr">
        <is>
          <t>https://www.linsoul.com/products/7hz-artemis39</t>
        </is>
      </c>
      <c r="G1465" t="inlineStr">
        <is>
          <t>Aucune mention de « DSP/PEQ » dans la source produit consultée (2 source(s) ouverte(s) pour ce produit). Règle retenue le 2026-08-10 : caractéristique non mentionnée = Non.</t>
        </is>
      </c>
      <c r="H1465" t="inlineStr">
        <is>
          <t>2026-08-10</t>
        </is>
      </c>
    </row>
    <row r="1466">
      <c r="A1466" t="n">
        <v>70</v>
      </c>
      <c r="B1466" t="inlineStr">
        <is>
          <t>SMSL</t>
        </is>
      </c>
      <c r="C1466" t="inlineStr">
        <is>
          <t>D10</t>
        </is>
      </c>
      <c r="D1466" t="inlineStr">
        <is>
          <t>Batterie</t>
        </is>
      </c>
      <c r="E1466" t="inlineStr">
        <is>
          <t>Non</t>
        </is>
      </c>
      <c r="F1466" t="inlineStr">
        <is>
          <t>https://apos.audio/products/smsl-d10-portable-dac-amp</t>
        </is>
      </c>
      <c r="G1466" t="inlineStr">
        <is>
          <t>Aucune mention de « Batterie » dans la source produit consultée (1 source(s) ouverte(s) pour ce produit). Règle retenue le 2026-08-10 : caractéristique non mentionnée = Non.</t>
        </is>
      </c>
      <c r="H1466" t="inlineStr">
        <is>
          <t>2026-08-10</t>
        </is>
      </c>
    </row>
    <row r="1467">
      <c r="A1467" t="n">
        <v>70</v>
      </c>
      <c r="B1467" t="inlineStr">
        <is>
          <t>SMSL</t>
        </is>
      </c>
      <c r="C1467" t="inlineStr">
        <is>
          <t>D10</t>
        </is>
      </c>
      <c r="D1467" t="inlineStr">
        <is>
          <t>Bluetooth</t>
        </is>
      </c>
      <c r="E1467" t="inlineStr">
        <is>
          <t>Non</t>
        </is>
      </c>
      <c r="F1467" t="inlineStr">
        <is>
          <t>https://apos.audio/products/smsl-d10-portable-dac-amp</t>
        </is>
      </c>
      <c r="G1467" t="inlineStr">
        <is>
          <t>Aucune mention de « Bluetooth » dans la source produit consultée (1 source(s) ouverte(s) pour ce produit). Règle retenue le 2026-08-10 : caractéristique non mentionnée = Non.</t>
        </is>
      </c>
      <c r="H1467" t="inlineStr">
        <is>
          <t>2026-08-10</t>
        </is>
      </c>
    </row>
    <row r="1468">
      <c r="A1468" t="n">
        <v>70</v>
      </c>
      <c r="B1468" t="inlineStr">
        <is>
          <t>SMSL</t>
        </is>
      </c>
      <c r="C1468" t="inlineStr">
        <is>
          <t>D10</t>
        </is>
      </c>
      <c r="D1468" t="inlineStr">
        <is>
          <t>DSP/PEQ</t>
        </is>
      </c>
      <c r="E1468" t="inlineStr">
        <is>
          <t>Non</t>
        </is>
      </c>
      <c r="F1468" t="inlineStr">
        <is>
          <t>https://apos.audio/products/smsl-d10-portable-dac-amp</t>
        </is>
      </c>
      <c r="G1468" t="inlineStr">
        <is>
          <t>Aucune mention de « DSP/PEQ » dans la source produit consultée (1 source(s) ouverte(s) pour ce produit). Règle retenue le 2026-08-10 : caractéristique non mentionnée = Non.</t>
        </is>
      </c>
      <c r="H1468" t="inlineStr">
        <is>
          <t>2026-08-10</t>
        </is>
      </c>
    </row>
    <row r="1469">
      <c r="A1469" t="n">
        <v>71</v>
      </c>
      <c r="B1469" t="inlineStr">
        <is>
          <t>FiiO</t>
        </is>
      </c>
      <c r="C1469" t="inlineStr">
        <is>
          <t>JA11</t>
        </is>
      </c>
      <c r="D1469" t="inlineStr">
        <is>
          <t>Batterie</t>
        </is>
      </c>
      <c r="E1469" t="inlineStr">
        <is>
          <t>Non</t>
        </is>
      </c>
      <c r="F1469" t="inlineStr">
        <is>
          <t>https://headfonics.com/fiio-ja11-review/</t>
        </is>
      </c>
      <c r="G1469" t="inlineStr">
        <is>
          <t>Aucune mention de « Batterie » dans la source produit consultée (2 source(s) ouverte(s) pour ce produit). Règle retenue le 2026-08-10 : caractéristique non mentionnée = Non.</t>
        </is>
      </c>
      <c r="H1469" t="inlineStr">
        <is>
          <t>2026-08-10</t>
        </is>
      </c>
    </row>
    <row r="1470">
      <c r="A1470" t="n">
        <v>71</v>
      </c>
      <c r="B1470" t="inlineStr">
        <is>
          <t>FiiO</t>
        </is>
      </c>
      <c r="C1470" t="inlineStr">
        <is>
          <t>JA11</t>
        </is>
      </c>
      <c r="D1470" t="inlineStr">
        <is>
          <t>Bluetooth</t>
        </is>
      </c>
      <c r="E1470" t="inlineStr">
        <is>
          <t>Non</t>
        </is>
      </c>
      <c r="F1470" t="inlineStr">
        <is>
          <t>https://headfonics.com/fiio-ja11-review/</t>
        </is>
      </c>
      <c r="G1470" t="inlineStr">
        <is>
          <t>Aucune mention de « Bluetooth » dans la source produit consultée (2 source(s) ouverte(s) pour ce produit). Règle retenue le 2026-08-10 : caractéristique non mentionnée = Non.</t>
        </is>
      </c>
      <c r="H1470" t="inlineStr">
        <is>
          <t>2026-08-10</t>
        </is>
      </c>
    </row>
    <row r="1471">
      <c r="A1471" t="n">
        <v>73</v>
      </c>
      <c r="B1471" t="inlineStr">
        <is>
          <t>LETSHUOER</t>
        </is>
      </c>
      <c r="C1471" t="inlineStr">
        <is>
          <t>DT03</t>
        </is>
      </c>
      <c r="D1471" t="inlineStr">
        <is>
          <t>Batterie</t>
        </is>
      </c>
      <c r="E1471" t="inlineStr">
        <is>
          <t>Non</t>
        </is>
      </c>
      <c r="F1471" t="inlineStr">
        <is>
          <t>https://headfonics.com/letshuoer-dt03-review/</t>
        </is>
      </c>
      <c r="G1471" t="inlineStr">
        <is>
          <t>Aucune mention de « Batterie » dans la source produit consultée (2 source(s) ouverte(s) pour ce produit). Règle retenue le 2026-08-10 : caractéristique non mentionnée = Non.</t>
        </is>
      </c>
      <c r="H1471" t="inlineStr">
        <is>
          <t>2026-08-10</t>
        </is>
      </c>
    </row>
    <row r="1472">
      <c r="A1472" t="n">
        <v>73</v>
      </c>
      <c r="B1472" t="inlineStr">
        <is>
          <t>LETSHUOER</t>
        </is>
      </c>
      <c r="C1472" t="inlineStr">
        <is>
          <t>DT03</t>
        </is>
      </c>
      <c r="D1472" t="inlineStr">
        <is>
          <t>Bluetooth</t>
        </is>
      </c>
      <c r="E1472" t="inlineStr">
        <is>
          <t>Non</t>
        </is>
      </c>
      <c r="F1472" t="inlineStr">
        <is>
          <t>https://headfonics.com/letshuoer-dt03-review/</t>
        </is>
      </c>
      <c r="G1472" t="inlineStr">
        <is>
          <t>Aucune mention de « Bluetooth » dans la source produit consultée (2 source(s) ouverte(s) pour ce produit). Règle retenue le 2026-08-10 : caractéristique non mentionnée = Non.</t>
        </is>
      </c>
      <c r="H1472" t="inlineStr">
        <is>
          <t>2026-08-10</t>
        </is>
      </c>
    </row>
    <row r="1473">
      <c r="A1473" t="n">
        <v>73</v>
      </c>
      <c r="B1473" t="inlineStr">
        <is>
          <t>LETSHUOER</t>
        </is>
      </c>
      <c r="C1473" t="inlineStr">
        <is>
          <t>DT03</t>
        </is>
      </c>
      <c r="D1473" t="inlineStr">
        <is>
          <t>DSP/PEQ</t>
        </is>
      </c>
      <c r="E1473" t="inlineStr">
        <is>
          <t>Non</t>
        </is>
      </c>
      <c r="F1473" t="inlineStr">
        <is>
          <t>https://headfonics.com/letshuoer-dt03-review/</t>
        </is>
      </c>
      <c r="G1473" t="inlineStr">
        <is>
          <t>Aucune mention de « DSP/PEQ » dans la source produit consultée (2 source(s) ouverte(s) pour ce produit). Règle retenue le 2026-08-10 : caractéristique non mentionnée = Non.</t>
        </is>
      </c>
      <c r="H1473" t="inlineStr">
        <is>
          <t>2026-08-10</t>
        </is>
      </c>
    </row>
    <row r="1474">
      <c r="A1474" t="n">
        <v>74</v>
      </c>
      <c r="B1474" t="inlineStr">
        <is>
          <t>Kiwi Ears</t>
        </is>
      </c>
      <c r="C1474" t="inlineStr">
        <is>
          <t>Allegro</t>
        </is>
      </c>
      <c r="D1474" t="inlineStr">
        <is>
          <t>Batterie</t>
        </is>
      </c>
      <c r="E1474" t="inlineStr">
        <is>
          <t>Non</t>
        </is>
      </c>
      <c r="F1474" t="inlineStr">
        <is>
          <t>https://headfonics.com/kiwi-ears-allegro-review/</t>
        </is>
      </c>
      <c r="G1474" t="inlineStr">
        <is>
          <t>Aucune mention de « Batterie » dans la source produit consultée (2 source(s) ouverte(s) pour ce produit). Règle retenue le 2026-08-10 : caractéristique non mentionnée = Non.</t>
        </is>
      </c>
      <c r="H1474" t="inlineStr">
        <is>
          <t>2026-08-10</t>
        </is>
      </c>
    </row>
    <row r="1475">
      <c r="A1475" t="n">
        <v>74</v>
      </c>
      <c r="B1475" t="inlineStr">
        <is>
          <t>Kiwi Ears</t>
        </is>
      </c>
      <c r="C1475" t="inlineStr">
        <is>
          <t>Allegro</t>
        </is>
      </c>
      <c r="D1475" t="inlineStr">
        <is>
          <t>Bluetooth</t>
        </is>
      </c>
      <c r="E1475" t="inlineStr">
        <is>
          <t>Non</t>
        </is>
      </c>
      <c r="F1475" t="inlineStr">
        <is>
          <t>https://headfonics.com/kiwi-ears-allegro-review/</t>
        </is>
      </c>
      <c r="G1475" t="inlineStr">
        <is>
          <t>Aucune mention de « Bluetooth » dans la source produit consultée (2 source(s) ouverte(s) pour ce produit). Règle retenue le 2026-08-10 : caractéristique non mentionnée = Non.</t>
        </is>
      </c>
      <c r="H1475" t="inlineStr">
        <is>
          <t>2026-08-10</t>
        </is>
      </c>
    </row>
    <row r="1476">
      <c r="A1476" t="n">
        <v>74</v>
      </c>
      <c r="B1476" t="inlineStr">
        <is>
          <t>Kiwi Ears</t>
        </is>
      </c>
      <c r="C1476" t="inlineStr">
        <is>
          <t>Allegro</t>
        </is>
      </c>
      <c r="D1476" t="inlineStr">
        <is>
          <t>DSP/PEQ</t>
        </is>
      </c>
      <c r="E1476" t="inlineStr">
        <is>
          <t>Non</t>
        </is>
      </c>
      <c r="F1476" t="inlineStr">
        <is>
          <t>https://headfonics.com/kiwi-ears-allegro-review/</t>
        </is>
      </c>
      <c r="G1476" t="inlineStr">
        <is>
          <t>Aucune mention de « DSP/PEQ » dans la source produit consultée (2 source(s) ouverte(s) pour ce produit). Règle retenue le 2026-08-10 : caractéristique non mentionnée = Non.</t>
        </is>
      </c>
      <c r="H1476" t="inlineStr">
        <is>
          <t>2026-08-10</t>
        </is>
      </c>
    </row>
    <row r="1477">
      <c r="A1477" t="n">
        <v>75</v>
      </c>
      <c r="B1477" t="inlineStr">
        <is>
          <t>Hidizs</t>
        </is>
      </c>
      <c r="C1477" t="inlineStr">
        <is>
          <t>S8 Pro Robin</t>
        </is>
      </c>
      <c r="D1477" t="inlineStr">
        <is>
          <t>Bluetooth</t>
        </is>
      </c>
      <c r="E1477" t="inlineStr">
        <is>
          <t>Non</t>
        </is>
      </c>
      <c r="F1477" t="inlineStr">
        <is>
          <t>https://headfonics.com/hidizs-s8-pro-robin-review/</t>
        </is>
      </c>
      <c r="G1477" t="inlineStr">
        <is>
          <t>Aucune mention de « Bluetooth » dans la source produit consultée (1 source(s) ouverte(s) pour ce produit). Règle retenue le 2026-08-10 : caractéristique non mentionnée = Non.</t>
        </is>
      </c>
      <c r="H1477" t="inlineStr">
        <is>
          <t>2026-08-10</t>
        </is>
      </c>
    </row>
    <row r="1478">
      <c r="A1478" t="n">
        <v>76</v>
      </c>
      <c r="B1478" t="inlineStr">
        <is>
          <t>iFi audio</t>
        </is>
      </c>
      <c r="C1478" t="inlineStr">
        <is>
          <t>GO bar Kensei</t>
        </is>
      </c>
      <c r="D1478" t="inlineStr">
        <is>
          <t>Batterie</t>
        </is>
      </c>
      <c r="E1478" t="inlineStr">
        <is>
          <t>Non</t>
        </is>
      </c>
      <c r="F1478" t="inlineStr">
        <is>
          <t>https://headfonics.com/ifi-audio-go-bar-kensei-review/</t>
        </is>
      </c>
      <c r="G1478" t="inlineStr">
        <is>
          <t>Aucune mention de « Batterie » dans la source produit consultée (1 source(s) ouverte(s) pour ce produit). Règle retenue le 2026-08-10 : caractéristique non mentionnée = Non.</t>
        </is>
      </c>
      <c r="H1478" t="inlineStr">
        <is>
          <t>2026-08-10</t>
        </is>
      </c>
    </row>
    <row r="1479">
      <c r="A1479" t="n">
        <v>78</v>
      </c>
      <c r="B1479" t="inlineStr">
        <is>
          <t>Shanling</t>
        </is>
      </c>
      <c r="C1479" t="inlineStr">
        <is>
          <t>UA4</t>
        </is>
      </c>
      <c r="D1479" t="inlineStr">
        <is>
          <t>Batterie</t>
        </is>
      </c>
      <c r="E1479" t="inlineStr">
        <is>
          <t>Non</t>
        </is>
      </c>
      <c r="F1479" t="inlineStr">
        <is>
          <t>https://headfonics.com/shanling-ua4-review/</t>
        </is>
      </c>
      <c r="G1479" t="inlineStr">
        <is>
          <t>Aucune mention de « Batterie » dans la source produit consultée (2 source(s) ouverte(s) pour ce produit). Règle retenue le 2026-08-10 : caractéristique non mentionnée = Non.</t>
        </is>
      </c>
      <c r="H1479" t="inlineStr">
        <is>
          <t>2026-08-10</t>
        </is>
      </c>
    </row>
    <row r="1480">
      <c r="A1480" t="n">
        <v>79</v>
      </c>
      <c r="B1480" t="inlineStr">
        <is>
          <t>FiiO</t>
        </is>
      </c>
      <c r="C1480" t="inlineStr">
        <is>
          <t>KA11</t>
        </is>
      </c>
      <c r="D1480" t="inlineStr">
        <is>
          <t>Batterie</t>
        </is>
      </c>
      <c r="E1480" t="inlineStr">
        <is>
          <t>Non</t>
        </is>
      </c>
      <c r="F1480" t="inlineStr">
        <is>
          <t>https://hifigo.com/products/fiio-jadeaudio-ka11</t>
        </is>
      </c>
      <c r="G1480" t="inlineStr">
        <is>
          <t>Aucune mention de « Batterie » dans la source produit consultée (2 source(s) ouverte(s) pour ce produit). Règle retenue le 2026-08-10 : caractéristique non mentionnée = Non.</t>
        </is>
      </c>
      <c r="H1480" t="inlineStr">
        <is>
          <t>2026-08-10</t>
        </is>
      </c>
    </row>
    <row r="1481">
      <c r="A1481" t="n">
        <v>80</v>
      </c>
      <c r="B1481" t="inlineStr">
        <is>
          <t>FiiO</t>
        </is>
      </c>
      <c r="C1481" t="inlineStr">
        <is>
          <t>KA17</t>
        </is>
      </c>
      <c r="D1481" t="inlineStr">
        <is>
          <t>Batterie</t>
        </is>
      </c>
      <c r="E1481" t="inlineStr">
        <is>
          <t>Non</t>
        </is>
      </c>
      <c r="F1481" t="inlineStr">
        <is>
          <t>https://headfonics.com/fiio-ka17-review/</t>
        </is>
      </c>
      <c r="G1481" t="inlineStr">
        <is>
          <t>Aucune mention de « Batterie » dans la source produit consultée (2 source(s) ouverte(s) pour ce produit). Règle retenue le 2026-08-10 : caractéristique non mentionnée = Non.</t>
        </is>
      </c>
      <c r="H1481" t="inlineStr">
        <is>
          <t>2026-08-10</t>
        </is>
      </c>
    </row>
    <row r="1482">
      <c r="A1482" t="n">
        <v>81</v>
      </c>
      <c r="B1482" t="inlineStr">
        <is>
          <t>Colorfly</t>
        </is>
      </c>
      <c r="C1482" t="inlineStr">
        <is>
          <t>CDA-M2</t>
        </is>
      </c>
      <c r="D1482" t="inlineStr">
        <is>
          <t>Batterie</t>
        </is>
      </c>
      <c r="E1482" t="inlineStr">
        <is>
          <t>Non</t>
        </is>
      </c>
      <c r="F1482" t="inlineStr">
        <is>
          <t>https://headfonics.com/colorfly-cda-m2-review/</t>
        </is>
      </c>
      <c r="G1482" t="inlineStr">
        <is>
          <t>Aucune mention de « Batterie » dans la source produit consultée (1 source(s) ouverte(s) pour ce produit). Règle retenue le 2026-08-10 : caractéristique non mentionnée = Non.</t>
        </is>
      </c>
      <c r="H1482" t="inlineStr">
        <is>
          <t>2026-08-10</t>
        </is>
      </c>
    </row>
    <row r="1483">
      <c r="A1483" t="n">
        <v>81</v>
      </c>
      <c r="B1483" t="inlineStr">
        <is>
          <t>Colorfly</t>
        </is>
      </c>
      <c r="C1483" t="inlineStr">
        <is>
          <t>CDA-M2</t>
        </is>
      </c>
      <c r="D1483" t="inlineStr">
        <is>
          <t>DSP/PEQ</t>
        </is>
      </c>
      <c r="E1483" t="inlineStr">
        <is>
          <t>Non</t>
        </is>
      </c>
      <c r="F1483" t="inlineStr">
        <is>
          <t>https://headfonics.com/colorfly-cda-m2-review/</t>
        </is>
      </c>
      <c r="G1483" t="inlineStr">
        <is>
          <t>Aucune mention de « DSP/PEQ » dans la source produit consultée (1 source(s) ouverte(s) pour ce produit). Règle retenue le 2026-08-10 : caractéristique non mentionnée = Non.</t>
        </is>
      </c>
      <c r="H1483" t="inlineStr">
        <is>
          <t>2026-08-10</t>
        </is>
      </c>
    </row>
    <row r="1484">
      <c r="A1484" t="n">
        <v>82</v>
      </c>
      <c r="B1484" t="inlineStr">
        <is>
          <t>ddHiFi</t>
        </is>
      </c>
      <c r="C1484" t="inlineStr">
        <is>
          <t>TC44Pro E2</t>
        </is>
      </c>
      <c r="D1484" t="inlineStr">
        <is>
          <t>Batterie</t>
        </is>
      </c>
      <c r="E1484" t="inlineStr">
        <is>
          <t>Non</t>
        </is>
      </c>
      <c r="F1484" t="inlineStr">
        <is>
          <t>https://headfonics.com/ddhifi-tc44pro-e2-review/</t>
        </is>
      </c>
      <c r="G1484" t="inlineStr">
        <is>
          <t>Aucune mention de « Batterie » dans la source produit consultée (2 source(s) ouverte(s) pour ce produit). Règle retenue le 2026-08-10 : caractéristique non mentionnée = Non.</t>
        </is>
      </c>
      <c r="H1484" t="inlineStr">
        <is>
          <t>2026-08-10</t>
        </is>
      </c>
    </row>
    <row r="1485">
      <c r="A1485" t="n">
        <v>83</v>
      </c>
      <c r="B1485" t="inlineStr">
        <is>
          <t>Hidizs</t>
        </is>
      </c>
      <c r="C1485" t="inlineStr">
        <is>
          <t>SD2</t>
        </is>
      </c>
      <c r="D1485" t="inlineStr">
        <is>
          <t>Batterie</t>
        </is>
      </c>
      <c r="E1485" t="inlineStr">
        <is>
          <t>Non</t>
        </is>
      </c>
      <c r="F1485" t="inlineStr">
        <is>
          <t>https://headfonics.com/hidizs-sd2-review/</t>
        </is>
      </c>
      <c r="G1485" t="inlineStr">
        <is>
          <t>Aucune mention de « Batterie » dans la source produit consultée (1 source(s) ouverte(s) pour ce produit). Règle retenue le 2026-08-10 : caractéristique non mentionnée = Non.</t>
        </is>
      </c>
      <c r="H1485" t="inlineStr">
        <is>
          <t>2026-08-10</t>
        </is>
      </c>
    </row>
    <row r="1486">
      <c r="A1486" t="n">
        <v>84</v>
      </c>
      <c r="B1486" t="inlineStr">
        <is>
          <t>Colorfly</t>
        </is>
      </c>
      <c r="C1486" t="inlineStr">
        <is>
          <t>CDA-M1P</t>
        </is>
      </c>
      <c r="D1486" t="inlineStr">
        <is>
          <t>Batterie</t>
        </is>
      </c>
      <c r="E1486" t="inlineStr">
        <is>
          <t>Non</t>
        </is>
      </c>
      <c r="F1486" t="inlineStr">
        <is>
          <t>https://headfonics.com/colorfly-cda-m1p-review/</t>
        </is>
      </c>
      <c r="G1486" t="inlineStr">
        <is>
          <t>Aucune mention de « Batterie » dans la source produit consultée (1 source(s) ouverte(s) pour ce produit). Règle retenue le 2026-08-10 : caractéristique non mentionnée = Non.</t>
        </is>
      </c>
      <c r="H1486" t="inlineStr">
        <is>
          <t>2026-08-10</t>
        </is>
      </c>
    </row>
    <row r="1487">
      <c r="A1487" t="n">
        <v>86</v>
      </c>
      <c r="B1487" t="inlineStr">
        <is>
          <t>iFi audio</t>
        </is>
      </c>
      <c r="C1487" t="inlineStr">
        <is>
          <t>iDSD Diablo 2</t>
        </is>
      </c>
      <c r="D1487" t="inlineStr">
        <is>
          <t>DSP/PEQ</t>
        </is>
      </c>
      <c r="E1487" t="inlineStr">
        <is>
          <t>Non</t>
        </is>
      </c>
      <c r="F1487" t="inlineStr">
        <is>
          <t>https://headfonics.com/ifi-audio-idsd-diablo-2-review/</t>
        </is>
      </c>
      <c r="G1487" t="inlineStr">
        <is>
          <t>Aucune mention de « DSP/PEQ » dans la source produit consultée (2 source(s) ouverte(s) pour ce produit). Règle retenue le 2026-08-10 : caractéristique non mentionnée = Non.</t>
        </is>
      </c>
      <c r="H1487" t="inlineStr">
        <is>
          <t>2026-08-10</t>
        </is>
      </c>
    </row>
    <row r="1488">
      <c r="A1488" t="n">
        <v>87</v>
      </c>
      <c r="B1488" t="inlineStr">
        <is>
          <t>ddHiFi</t>
        </is>
      </c>
      <c r="C1488" t="inlineStr">
        <is>
          <t>TC35Pro Eye2 &amp; Mountain2</t>
        </is>
      </c>
      <c r="D1488" t="inlineStr">
        <is>
          <t>Batterie</t>
        </is>
      </c>
      <c r="E1488" t="inlineStr">
        <is>
          <t>Non</t>
        </is>
      </c>
      <c r="F1488" t="inlineStr">
        <is>
          <t>https://headfonics.com/ddhifi-tc35pro-eye2-mountain2-review/</t>
        </is>
      </c>
      <c r="G1488" t="inlineStr">
        <is>
          <t>Aucune mention de « Batterie » dans la source produit consultée (2 source(s) ouverte(s) pour ce produit). Règle retenue le 2026-08-10 : caractéristique non mentionnée = Non.</t>
        </is>
      </c>
      <c r="H1488" t="inlineStr">
        <is>
          <t>2026-08-10</t>
        </is>
      </c>
    </row>
    <row r="1489">
      <c r="A1489" t="n">
        <v>87</v>
      </c>
      <c r="B1489" t="inlineStr">
        <is>
          <t>ddHiFi</t>
        </is>
      </c>
      <c r="C1489" t="inlineStr">
        <is>
          <t>TC35Pro Eye2 &amp; Mountain2</t>
        </is>
      </c>
      <c r="D1489" t="inlineStr">
        <is>
          <t>DSP/PEQ</t>
        </is>
      </c>
      <c r="E1489" t="inlineStr">
        <is>
          <t>Non</t>
        </is>
      </c>
      <c r="F1489" t="inlineStr">
        <is>
          <t>https://headfonics.com/ddhifi-tc35pro-eye2-mountain2-review/</t>
        </is>
      </c>
      <c r="G1489" t="inlineStr">
        <is>
          <t>Aucune mention de « DSP/PEQ » dans la source produit consultée (2 source(s) ouverte(s) pour ce produit). Règle retenue le 2026-08-10 : caractéristique non mentionnée = Non.</t>
        </is>
      </c>
      <c r="H1489" t="inlineStr">
        <is>
          <t>2026-08-10</t>
        </is>
      </c>
    </row>
    <row r="1490">
      <c r="A1490" t="n">
        <v>88</v>
      </c>
      <c r="B1490" t="inlineStr">
        <is>
          <t>Shanling</t>
        </is>
      </c>
      <c r="C1490" t="inlineStr">
        <is>
          <t>UA1 Plus</t>
        </is>
      </c>
      <c r="D1490" t="inlineStr">
        <is>
          <t>Batterie</t>
        </is>
      </c>
      <c r="E1490" t="inlineStr">
        <is>
          <t>Non</t>
        </is>
      </c>
      <c r="F1490" t="inlineStr">
        <is>
          <t>https://headfonics.com/shanling-ua1-plus-review/</t>
        </is>
      </c>
      <c r="G1490" t="inlineStr">
        <is>
          <t>Aucune mention de « Batterie » dans la source produit consultée (2 source(s) ouverte(s) pour ce produit). Règle retenue le 2026-08-10 : caractéristique non mentionnée = Non.</t>
        </is>
      </c>
      <c r="H1490" t="inlineStr">
        <is>
          <t>2026-08-10</t>
        </is>
      </c>
    </row>
    <row r="1491">
      <c r="A1491" t="n">
        <v>89</v>
      </c>
      <c r="B1491" t="inlineStr">
        <is>
          <t>iFi audio</t>
        </is>
      </c>
      <c r="C1491" t="inlineStr">
        <is>
          <t>hip-dac 3</t>
        </is>
      </c>
      <c r="D1491" t="inlineStr">
        <is>
          <t>DSP/PEQ</t>
        </is>
      </c>
      <c r="E1491" t="inlineStr">
        <is>
          <t>Non</t>
        </is>
      </c>
      <c r="F1491" t="inlineStr">
        <is>
          <t>https://headfonics.com/ifi-audio-hip-dac-3-review/</t>
        </is>
      </c>
      <c r="G1491" t="inlineStr">
        <is>
          <t>Aucune mention de « DSP/PEQ » dans la source produit consultée (2 source(s) ouverte(s) pour ce produit). Règle retenue le 2026-08-10 : caractéristique non mentionnée = Non.</t>
        </is>
      </c>
      <c r="H1491" t="inlineStr">
        <is>
          <t>2026-08-10</t>
        </is>
      </c>
    </row>
    <row r="1492">
      <c r="A1492" t="n">
        <v>91</v>
      </c>
      <c r="B1492" t="inlineStr">
        <is>
          <t>xDuoo</t>
        </is>
      </c>
      <c r="C1492" t="inlineStr">
        <is>
          <t>XD05 Pro</t>
        </is>
      </c>
      <c r="D1492" t="inlineStr">
        <is>
          <t>DSP/PEQ</t>
        </is>
      </c>
      <c r="E1492" t="inlineStr">
        <is>
          <t>Non</t>
        </is>
      </c>
      <c r="F1492" t="inlineStr">
        <is>
          <t>https://hifigo.com/products/xduoo-xd05-pro</t>
        </is>
      </c>
      <c r="G1492" t="inlineStr">
        <is>
          <t>Aucune mention de « DSP/PEQ » dans la source produit consultée (2 source(s) ouverte(s) pour ce produit). Règle retenue le 2026-08-10 : caractéristique non mentionnée = Non.</t>
        </is>
      </c>
      <c r="H1492" t="inlineStr">
        <is>
          <t>2026-08-10</t>
        </is>
      </c>
    </row>
    <row r="1493">
      <c r="A1493" t="n">
        <v>92</v>
      </c>
      <c r="B1493" t="inlineStr">
        <is>
          <t>FiiO</t>
        </is>
      </c>
      <c r="C1493" t="inlineStr">
        <is>
          <t>KA13</t>
        </is>
      </c>
      <c r="D1493" t="inlineStr">
        <is>
          <t>Batterie</t>
        </is>
      </c>
      <c r="E1493" t="inlineStr">
        <is>
          <t>Non</t>
        </is>
      </c>
      <c r="F1493" t="inlineStr">
        <is>
          <t>https://headfonics.com/fiio-ka13-review/</t>
        </is>
      </c>
      <c r="G1493" t="inlineStr">
        <is>
          <t>Aucune mention de « Batterie » dans la source produit consultée (1 source(s) ouverte(s) pour ce produit). Règle retenue le 2026-08-10 : caractéristique non mentionnée = Non.</t>
        </is>
      </c>
      <c r="H1493" t="inlineStr">
        <is>
          <t>2026-08-10</t>
        </is>
      </c>
    </row>
    <row r="1494">
      <c r="A1494" t="n">
        <v>93</v>
      </c>
      <c r="B1494" t="inlineStr">
        <is>
          <t>Audirect</t>
        </is>
      </c>
      <c r="C1494" t="inlineStr">
        <is>
          <t>Beam 4</t>
        </is>
      </c>
      <c r="D1494" t="inlineStr">
        <is>
          <t>DSP/PEQ</t>
        </is>
      </c>
      <c r="E1494" t="inlineStr">
        <is>
          <t>Non</t>
        </is>
      </c>
      <c r="F1494" t="inlineStr">
        <is>
          <t>https://headfonics.com/audirect-beam-4-review/</t>
        </is>
      </c>
      <c r="G1494" t="inlineStr">
        <is>
          <t>Aucune mention de « DSP/PEQ » dans la source produit consultée (2 source(s) ouverte(s) pour ce produit). Règle retenue le 2026-08-10 : caractéristique non mentionnée = Non.</t>
        </is>
      </c>
      <c r="H1494" t="inlineStr">
        <is>
          <t>2026-08-10</t>
        </is>
      </c>
    </row>
    <row r="1495">
      <c r="A1495" t="n">
        <v>94</v>
      </c>
      <c r="B1495" t="inlineStr">
        <is>
          <t>ddHiFi</t>
        </is>
      </c>
      <c r="C1495" t="inlineStr">
        <is>
          <t>TC44Pro</t>
        </is>
      </c>
      <c r="D1495" t="inlineStr">
        <is>
          <t>Batterie</t>
        </is>
      </c>
      <c r="E1495" t="inlineStr">
        <is>
          <t>Non</t>
        </is>
      </c>
      <c r="F1495" t="inlineStr">
        <is>
          <t>https://headfonics.com/ddhifi-tc44pro-review/</t>
        </is>
      </c>
      <c r="G1495" t="inlineStr">
        <is>
          <t>Aucune mention de « Batterie » dans la source produit consultée (2 source(s) ouverte(s) pour ce produit). Règle retenue le 2026-08-10 : caractéristique non mentionnée = Non.</t>
        </is>
      </c>
      <c r="H1495" t="inlineStr">
        <is>
          <t>2026-08-10</t>
        </is>
      </c>
    </row>
    <row r="1496">
      <c r="A1496" t="n">
        <v>94</v>
      </c>
      <c r="B1496" t="inlineStr">
        <is>
          <t>ddHiFi</t>
        </is>
      </c>
      <c r="C1496" t="inlineStr">
        <is>
          <t>TC44Pro</t>
        </is>
      </c>
      <c r="D1496" t="inlineStr">
        <is>
          <t>Bluetooth</t>
        </is>
      </c>
      <c r="E1496" t="inlineStr">
        <is>
          <t>Non</t>
        </is>
      </c>
      <c r="F1496" t="inlineStr">
        <is>
          <t>https://headfonics.com/ddhifi-tc44pro-review/</t>
        </is>
      </c>
      <c r="G1496" t="inlineStr">
        <is>
          <t>Aucune mention de « Bluetooth » dans la source produit consultée (2 source(s) ouverte(s) pour ce produit). Règle retenue le 2026-08-10 : caractéristique non mentionnée = Non.</t>
        </is>
      </c>
      <c r="H1496" t="inlineStr">
        <is>
          <t>2026-08-10</t>
        </is>
      </c>
    </row>
    <row r="1497">
      <c r="A1497" t="n">
        <v>95</v>
      </c>
      <c r="B1497" t="inlineStr">
        <is>
          <t>Moondrop</t>
        </is>
      </c>
      <c r="C1497" t="inlineStr">
        <is>
          <t>Dawn Pro</t>
        </is>
      </c>
      <c r="D1497" t="inlineStr">
        <is>
          <t>Batterie</t>
        </is>
      </c>
      <c r="E1497" t="inlineStr">
        <is>
          <t>Non</t>
        </is>
      </c>
      <c r="F1497" t="inlineStr">
        <is>
          <t>https://apos.audio/products/moondrop-dawn-pro-dacamp</t>
        </is>
      </c>
      <c r="G1497" t="inlineStr">
        <is>
          <t>Aucune mention de « Batterie » dans la source produit consultée (1 source(s) ouverte(s) pour ce produit). Règle retenue le 2026-08-10 : caractéristique non mentionnée = Non.</t>
        </is>
      </c>
      <c r="H1497" t="inlineStr">
        <is>
          <t>2026-08-10</t>
        </is>
      </c>
    </row>
    <row r="1498">
      <c r="A1498" t="n">
        <v>95</v>
      </c>
      <c r="B1498" t="inlineStr">
        <is>
          <t>Moondrop</t>
        </is>
      </c>
      <c r="C1498" t="inlineStr">
        <is>
          <t>Dawn Pro</t>
        </is>
      </c>
      <c r="D1498" t="inlineStr">
        <is>
          <t>DSP/PEQ</t>
        </is>
      </c>
      <c r="E1498" t="inlineStr">
        <is>
          <t>Non</t>
        </is>
      </c>
      <c r="F1498" t="inlineStr">
        <is>
          <t>https://apos.audio/products/moondrop-dawn-pro-dacamp</t>
        </is>
      </c>
      <c r="G1498" t="inlineStr">
        <is>
          <t>Aucune mention de « DSP/PEQ » dans la source produit consultée (1 source(s) ouverte(s) pour ce produit). Règle retenue le 2026-08-10 : caractéristique non mentionnée = Non.</t>
        </is>
      </c>
      <c r="H1498" t="inlineStr">
        <is>
          <t>2026-08-10</t>
        </is>
      </c>
    </row>
    <row r="1499">
      <c r="A1499" t="n">
        <v>96</v>
      </c>
      <c r="B1499" t="inlineStr">
        <is>
          <t>Moondrop</t>
        </is>
      </c>
      <c r="C1499" t="inlineStr">
        <is>
          <t>MoonRiver 2: Ti</t>
        </is>
      </c>
      <c r="D1499" t="inlineStr">
        <is>
          <t>Batterie</t>
        </is>
      </c>
      <c r="E1499" t="inlineStr">
        <is>
          <t>Non</t>
        </is>
      </c>
      <c r="F1499" t="inlineStr">
        <is>
          <t>https://headfonics.com/moondrop-moonriver-2-ti-review/</t>
        </is>
      </c>
      <c r="G1499" t="inlineStr">
        <is>
          <t>Aucune mention de « Batterie » dans la source produit consultée (1 source(s) ouverte(s) pour ce produit). Règle retenue le 2026-08-10 : caractéristique non mentionnée = Non.</t>
        </is>
      </c>
      <c r="H1499" t="inlineStr">
        <is>
          <t>2026-08-10</t>
        </is>
      </c>
    </row>
    <row r="1500">
      <c r="A1500" t="n">
        <v>97</v>
      </c>
      <c r="B1500" t="inlineStr">
        <is>
          <t>HiBy</t>
        </is>
      </c>
      <c r="C1500" t="inlineStr">
        <is>
          <t>FC6</t>
        </is>
      </c>
      <c r="D1500" t="inlineStr">
        <is>
          <t>DSP/PEQ</t>
        </is>
      </c>
      <c r="E1500" t="inlineStr">
        <is>
          <t>Non</t>
        </is>
      </c>
      <c r="F1500" t="inlineStr">
        <is>
          <t>https://headfonics.com/hiby-fc6-review/</t>
        </is>
      </c>
      <c r="G1500" t="inlineStr">
        <is>
          <t>Aucune mention de « DSP/PEQ » dans la source produit consultée (2 source(s) ouverte(s) pour ce produit). Règle retenue le 2026-08-10 : caractéristique non mentionnée = Non.</t>
        </is>
      </c>
      <c r="H1500" t="inlineStr">
        <is>
          <t>2026-08-10</t>
        </is>
      </c>
    </row>
    <row r="1501">
      <c r="A1501" t="n">
        <v>99</v>
      </c>
      <c r="B1501" t="inlineStr">
        <is>
          <t>FiiO</t>
        </is>
      </c>
      <c r="C1501" t="inlineStr">
        <is>
          <t>KA5</t>
        </is>
      </c>
      <c r="D1501" t="inlineStr">
        <is>
          <t>Batterie</t>
        </is>
      </c>
      <c r="E1501" t="inlineStr">
        <is>
          <t>Non</t>
        </is>
      </c>
      <c r="F1501" t="inlineStr">
        <is>
          <t>https://headfonics.com/fiio-ka5-review/</t>
        </is>
      </c>
      <c r="G1501" t="inlineStr">
        <is>
          <t>Aucune mention de « Batterie » dans la source produit consultée (1 source(s) ouverte(s) pour ce produit). Règle retenue le 2026-08-10 : caractéristique non mentionnée = Non.</t>
        </is>
      </c>
      <c r="H1501" t="inlineStr">
        <is>
          <t>2026-08-10</t>
        </is>
      </c>
    </row>
    <row r="1502">
      <c r="A1502" t="n">
        <v>102</v>
      </c>
      <c r="B1502" t="inlineStr">
        <is>
          <t>7Hz</t>
        </is>
      </c>
      <c r="C1502" t="inlineStr">
        <is>
          <t>SEVENHERTZ 71</t>
        </is>
      </c>
      <c r="D1502" t="inlineStr">
        <is>
          <t>Batterie</t>
        </is>
      </c>
      <c r="E1502" t="inlineStr">
        <is>
          <t>Non</t>
        </is>
      </c>
      <c r="F1502" t="inlineStr">
        <is>
          <t>https://headfonics.com/7hz-sevenhertz-71-review/</t>
        </is>
      </c>
      <c r="G1502" t="inlineStr">
        <is>
          <t>Aucune mention de « Batterie » dans la source produit consultée (2 source(s) ouverte(s) pour ce produit). Règle retenue le 2026-08-10 : caractéristique non mentionnée = Non.</t>
        </is>
      </c>
      <c r="H1502" t="inlineStr">
        <is>
          <t>2026-08-10</t>
        </is>
      </c>
    </row>
    <row r="1503">
      <c r="A1503" t="n">
        <v>102</v>
      </c>
      <c r="B1503" t="inlineStr">
        <is>
          <t>7Hz</t>
        </is>
      </c>
      <c r="C1503" t="inlineStr">
        <is>
          <t>SEVENHERTZ 71</t>
        </is>
      </c>
      <c r="D1503" t="inlineStr">
        <is>
          <t>DSP/PEQ</t>
        </is>
      </c>
      <c r="E1503" t="inlineStr">
        <is>
          <t>Non</t>
        </is>
      </c>
      <c r="F1503" t="inlineStr">
        <is>
          <t>https://headfonics.com/7hz-sevenhertz-71-review/</t>
        </is>
      </c>
      <c r="G1503" t="inlineStr">
        <is>
          <t>Aucune mention de « DSP/PEQ » dans la source produit consultée (2 source(s) ouverte(s) pour ce produit). Règle retenue le 2026-08-10 : caractéristique non mentionnée = Non.</t>
        </is>
      </c>
      <c r="H1503" t="inlineStr">
        <is>
          <t>2026-08-10</t>
        </is>
      </c>
    </row>
    <row r="1504">
      <c r="A1504" t="n">
        <v>103</v>
      </c>
      <c r="B1504" t="inlineStr">
        <is>
          <t>Venture Electronics</t>
        </is>
      </c>
      <c r="C1504" t="inlineStr">
        <is>
          <t>Megatron</t>
        </is>
      </c>
      <c r="D1504" t="inlineStr">
        <is>
          <t>DSP/PEQ</t>
        </is>
      </c>
      <c r="E1504" t="inlineStr">
        <is>
          <t>Non</t>
        </is>
      </c>
      <c r="F1504" t="inlineStr">
        <is>
          <t>https://headfonics.com/venture-electronics-megatron-review/</t>
        </is>
      </c>
      <c r="G1504" t="inlineStr">
        <is>
          <t>Aucune mention de « DSP/PEQ » dans la source produit consultée (2 source(s) ouverte(s) pour ce produit). Règle retenue le 2026-08-10 : caractéristique non mentionnée = Non.</t>
        </is>
      </c>
      <c r="H1504" t="inlineStr">
        <is>
          <t>2026-08-10</t>
        </is>
      </c>
    </row>
    <row r="1505">
      <c r="A1505" t="n">
        <v>105</v>
      </c>
      <c r="B1505" t="inlineStr">
        <is>
          <t>iKKO</t>
        </is>
      </c>
      <c r="C1505" t="inlineStr">
        <is>
          <t>Zerda ITM02</t>
        </is>
      </c>
      <c r="D1505" t="inlineStr">
        <is>
          <t>DSP/PEQ</t>
        </is>
      </c>
      <c r="E1505" t="inlineStr">
        <is>
          <t>Non</t>
        </is>
      </c>
      <c r="F1505" t="inlineStr">
        <is>
          <t>https://headfonics.com/ikko-zerda-itm02-review/</t>
        </is>
      </c>
      <c r="G1505" t="inlineStr">
        <is>
          <t>Aucune mention de « DSP/PEQ » dans la source produit consultée (1 source(s) ouverte(s) pour ce produit). Règle retenue le 2026-08-10 : caractéristique non mentionnée = Non.</t>
        </is>
      </c>
      <c r="H1505" t="inlineStr">
        <is>
          <t>2026-08-10</t>
        </is>
      </c>
    </row>
    <row r="1506">
      <c r="A1506" t="n">
        <v>106</v>
      </c>
      <c r="B1506" t="inlineStr">
        <is>
          <t>Quloos</t>
        </is>
      </c>
      <c r="C1506" t="inlineStr">
        <is>
          <t>QLS MC01</t>
        </is>
      </c>
      <c r="D1506" t="inlineStr">
        <is>
          <t>Batterie</t>
        </is>
      </c>
      <c r="E1506" t="inlineStr">
        <is>
          <t>Non</t>
        </is>
      </c>
      <c r="F1506" t="inlineStr">
        <is>
          <t>https://hifigo.com/products/quloos-qls-mc01-mc01se</t>
        </is>
      </c>
      <c r="G1506" t="inlineStr">
        <is>
          <t>Aucune mention de « Batterie » dans la source produit consultée (2 source(s) ouverte(s) pour ce produit). Règle retenue le 2026-08-10 : caractéristique non mentionnée = Non.</t>
        </is>
      </c>
      <c r="H1506" t="inlineStr">
        <is>
          <t>2026-08-10</t>
        </is>
      </c>
    </row>
    <row r="1507">
      <c r="A1507" t="n">
        <v>107</v>
      </c>
      <c r="B1507" t="inlineStr">
        <is>
          <t>Hidizs</t>
        </is>
      </c>
      <c r="C1507" t="inlineStr">
        <is>
          <t>XO</t>
        </is>
      </c>
      <c r="D1507" t="inlineStr">
        <is>
          <t>Batterie</t>
        </is>
      </c>
      <c r="E1507" t="inlineStr">
        <is>
          <t>Non</t>
        </is>
      </c>
      <c r="F1507" t="inlineStr">
        <is>
          <t>https://headfonics.com/hidizs-xo-review/</t>
        </is>
      </c>
      <c r="G1507" t="inlineStr">
        <is>
          <t>Aucune mention de « Batterie » dans la source produit consultée (2 source(s) ouverte(s) pour ce produit). Règle retenue le 2026-08-10 : caractéristique non mentionnée = Non.</t>
        </is>
      </c>
      <c r="H1507" t="inlineStr">
        <is>
          <t>2026-08-10</t>
        </is>
      </c>
    </row>
    <row r="1508">
      <c r="A1508" t="n">
        <v>109</v>
      </c>
      <c r="B1508" t="inlineStr">
        <is>
          <t>EarMen</t>
        </is>
      </c>
      <c r="C1508" t="inlineStr">
        <is>
          <t>Angel</t>
        </is>
      </c>
      <c r="D1508" t="inlineStr">
        <is>
          <t>DSP/PEQ</t>
        </is>
      </c>
      <c r="E1508" t="inlineStr">
        <is>
          <t>Non</t>
        </is>
      </c>
      <c r="F1508" t="inlineStr">
        <is>
          <t>https://headfonics.com/earmen-angel-review/</t>
        </is>
      </c>
      <c r="G1508" t="inlineStr">
        <is>
          <t>Aucune mention de « DSP/PEQ » dans la source produit consultée (2 source(s) ouverte(s) pour ce produit). Règle retenue le 2026-08-10 : caractéristique non mentionnée = Non.</t>
        </is>
      </c>
      <c r="H1508" t="inlineStr">
        <is>
          <t>2026-08-10</t>
        </is>
      </c>
    </row>
    <row r="1509">
      <c r="A1509" t="n">
        <v>110</v>
      </c>
      <c r="B1509" t="inlineStr">
        <is>
          <t>Moondrop</t>
        </is>
      </c>
      <c r="C1509" t="inlineStr">
        <is>
          <t>Dawn</t>
        </is>
      </c>
      <c r="D1509" t="inlineStr">
        <is>
          <t>Batterie</t>
        </is>
      </c>
      <c r="E1509" t="inlineStr">
        <is>
          <t>Non</t>
        </is>
      </c>
      <c r="F1509" t="inlineStr">
        <is>
          <t>https://www.linsoul.com/products/moondrop-dawn-pro2</t>
        </is>
      </c>
      <c r="G1509" t="inlineStr">
        <is>
          <t>Aucune mention de « Batterie » dans la source produit consultée (1 source(s) ouverte(s) pour ce produit). Règle retenue le 2026-08-10 : caractéristique non mentionnée = Non.</t>
        </is>
      </c>
      <c r="H1509" t="inlineStr">
        <is>
          <t>2026-08-10</t>
        </is>
      </c>
    </row>
    <row r="1510">
      <c r="A1510" t="n">
        <v>110</v>
      </c>
      <c r="B1510" t="inlineStr">
        <is>
          <t>Moondrop</t>
        </is>
      </c>
      <c r="C1510" t="inlineStr">
        <is>
          <t>Dawn</t>
        </is>
      </c>
      <c r="D1510" t="inlineStr">
        <is>
          <t>DSP/PEQ</t>
        </is>
      </c>
      <c r="E1510" t="inlineStr">
        <is>
          <t>Non</t>
        </is>
      </c>
      <c r="F1510" t="inlineStr">
        <is>
          <t>https://www.linsoul.com/products/moondrop-dawn-pro2</t>
        </is>
      </c>
      <c r="G1510" t="inlineStr">
        <is>
          <t>Aucune mention de « DSP/PEQ » dans la source produit consultée (1 source(s) ouverte(s) pour ce produit). Règle retenue le 2026-08-10 : caractéristique non mentionnée = Non.</t>
        </is>
      </c>
      <c r="H1510" t="inlineStr">
        <is>
          <t>2026-08-10</t>
        </is>
      </c>
    </row>
    <row r="1511">
      <c r="A1511" t="n">
        <v>111</v>
      </c>
      <c r="B1511" t="inlineStr">
        <is>
          <t>FiiO</t>
        </is>
      </c>
      <c r="C1511" t="inlineStr">
        <is>
          <t>KA2</t>
        </is>
      </c>
      <c r="D1511" t="inlineStr">
        <is>
          <t>Batterie</t>
        </is>
      </c>
      <c r="E1511" t="inlineStr">
        <is>
          <t>Non</t>
        </is>
      </c>
      <c r="F1511" t="inlineStr">
        <is>
          <t>https://headfonics.com/fiio-ka2-review/</t>
        </is>
      </c>
      <c r="G1511" t="inlineStr">
        <is>
          <t>Aucune mention de « Batterie » dans la source produit consultée (1 source(s) ouverte(s) pour ce produit). Règle retenue le 2026-08-10 : caractéristique non mentionnée = Non.</t>
        </is>
      </c>
      <c r="H1511" t="inlineStr">
        <is>
          <t>2026-08-10</t>
        </is>
      </c>
    </row>
    <row r="1512">
      <c r="A1512" t="n">
        <v>111</v>
      </c>
      <c r="B1512" t="inlineStr">
        <is>
          <t>FiiO</t>
        </is>
      </c>
      <c r="C1512" t="inlineStr">
        <is>
          <t>KA2</t>
        </is>
      </c>
      <c r="D1512" t="inlineStr">
        <is>
          <t>Bluetooth</t>
        </is>
      </c>
      <c r="E1512" t="inlineStr">
        <is>
          <t>Non</t>
        </is>
      </c>
      <c r="F1512" t="inlineStr">
        <is>
          <t>https://headfonics.com/fiio-ka2-review/</t>
        </is>
      </c>
      <c r="G1512" t="inlineStr">
        <is>
          <t>Aucune mention de « Bluetooth » dans la source produit consultée (1 source(s) ouverte(s) pour ce produit). Règle retenue le 2026-08-10 : caractéristique non mentionnée = Non.</t>
        </is>
      </c>
      <c r="H1512" t="inlineStr">
        <is>
          <t>2026-08-10</t>
        </is>
      </c>
    </row>
    <row r="1513">
      <c r="A1513" t="n">
        <v>113</v>
      </c>
      <c r="B1513" t="inlineStr">
        <is>
          <t>xDuoo</t>
        </is>
      </c>
      <c r="C1513" t="inlineStr">
        <is>
          <t>Link2 Bal</t>
        </is>
      </c>
      <c r="D1513" t="inlineStr">
        <is>
          <t>Batterie</t>
        </is>
      </c>
      <c r="E1513" t="inlineStr">
        <is>
          <t>Non</t>
        </is>
      </c>
      <c r="F1513" t="inlineStr">
        <is>
          <t>https://headfonics.com/xduoo-link2-bal-review/</t>
        </is>
      </c>
      <c r="G1513" t="inlineStr">
        <is>
          <t>Aucune mention de « Batterie » dans la source produit consultée (2 source(s) ouverte(s) pour ce produit). Règle retenue le 2026-08-10 : caractéristique non mentionnée = Non.</t>
        </is>
      </c>
      <c r="H1513" t="inlineStr">
        <is>
          <t>2026-08-10</t>
        </is>
      </c>
    </row>
    <row r="1514">
      <c r="A1514" t="n">
        <v>114</v>
      </c>
      <c r="B1514" t="inlineStr">
        <is>
          <t>Shanling</t>
        </is>
      </c>
      <c r="C1514" t="inlineStr">
        <is>
          <t>UA3</t>
        </is>
      </c>
      <c r="D1514" t="inlineStr">
        <is>
          <t>Batterie</t>
        </is>
      </c>
      <c r="E1514" t="inlineStr">
        <is>
          <t>Non</t>
        </is>
      </c>
      <c r="F1514" t="inlineStr">
        <is>
          <t>https://headfonics.com/shanling-ua3-review/</t>
        </is>
      </c>
      <c r="G1514" t="inlineStr">
        <is>
          <t>Aucune mention de « Batterie » dans la source produit consultée (2 source(s) ouverte(s) pour ce produit). Règle retenue le 2026-08-10 : caractéristique non mentionnée = Non.</t>
        </is>
      </c>
      <c r="H1514" t="inlineStr">
        <is>
          <t>2026-08-10</t>
        </is>
      </c>
    </row>
    <row r="1515">
      <c r="A1515" t="n">
        <v>115</v>
      </c>
      <c r="B1515" t="inlineStr">
        <is>
          <t>HiBy</t>
        </is>
      </c>
      <c r="C1515" t="inlineStr">
        <is>
          <t>FC4</t>
        </is>
      </c>
      <c r="D1515" t="inlineStr">
        <is>
          <t>Batterie</t>
        </is>
      </c>
      <c r="E1515" t="inlineStr">
        <is>
          <t>Non</t>
        </is>
      </c>
      <c r="F1515" t="inlineStr">
        <is>
          <t>https://headfonics.com/hiby-fc4-review/</t>
        </is>
      </c>
      <c r="G1515" t="inlineStr">
        <is>
          <t>Aucune mention de « Batterie » dans la source produit consultée (2 source(s) ouverte(s) pour ce produit). Règle retenue le 2026-08-10 : caractéristique non mentionnée = Non.</t>
        </is>
      </c>
      <c r="H1515" t="inlineStr">
        <is>
          <t>2026-08-10</t>
        </is>
      </c>
    </row>
    <row r="1516">
      <c r="A1516" t="n">
        <v>116</v>
      </c>
      <c r="B1516" t="inlineStr">
        <is>
          <t>Questyle</t>
        </is>
      </c>
      <c r="C1516" t="inlineStr">
        <is>
          <t>M15</t>
        </is>
      </c>
      <c r="D1516" t="inlineStr">
        <is>
          <t>Batterie</t>
        </is>
      </c>
      <c r="E1516" t="inlineStr">
        <is>
          <t>Non</t>
        </is>
      </c>
      <c r="F1516" t="inlineStr">
        <is>
          <t>https://headfonics.com/questyle-m15-review/</t>
        </is>
      </c>
      <c r="G1516" t="inlineStr">
        <is>
          <t>Aucune mention de « Batterie » dans la source produit consultée (2 source(s) ouverte(s) pour ce produit). Règle retenue le 2026-08-10 : caractéristique non mentionnée = Non.</t>
        </is>
      </c>
      <c r="H1516" t="inlineStr">
        <is>
          <t>2026-08-10</t>
        </is>
      </c>
    </row>
    <row r="1517">
      <c r="A1517" t="n">
        <v>117</v>
      </c>
      <c r="B1517" t="inlineStr">
        <is>
          <t>iBasso</t>
        </is>
      </c>
      <c r="C1517" t="inlineStr">
        <is>
          <t>DC06</t>
        </is>
      </c>
      <c r="D1517" t="inlineStr">
        <is>
          <t>Batterie</t>
        </is>
      </c>
      <c r="E1517" t="inlineStr">
        <is>
          <t>Non</t>
        </is>
      </c>
      <c r="F1517" t="inlineStr">
        <is>
          <t>https://headfonics.com/ibasso-dc06-review/</t>
        </is>
      </c>
      <c r="G1517" t="inlineStr">
        <is>
          <t>Aucune mention de « Batterie » dans la source produit consultée (2 source(s) ouverte(s) pour ce produit). Règle retenue le 2026-08-10 : caractéristique non mentionnée = Non.</t>
        </is>
      </c>
      <c r="H1517" t="inlineStr">
        <is>
          <t>2026-08-10</t>
        </is>
      </c>
    </row>
    <row r="1518">
      <c r="A1518" t="n">
        <v>117</v>
      </c>
      <c r="B1518" t="inlineStr">
        <is>
          <t>iBasso</t>
        </is>
      </c>
      <c r="C1518" t="inlineStr">
        <is>
          <t>DC06</t>
        </is>
      </c>
      <c r="D1518" t="inlineStr">
        <is>
          <t>DSP/PEQ</t>
        </is>
      </c>
      <c r="E1518" t="inlineStr">
        <is>
          <t>Non</t>
        </is>
      </c>
      <c r="F1518" t="inlineStr">
        <is>
          <t>https://headfonics.com/ibasso-dc06-review/</t>
        </is>
      </c>
      <c r="G1518" t="inlineStr">
        <is>
          <t>Aucune mention de « DSP/PEQ » dans la source produit consultée (2 source(s) ouverte(s) pour ce produit). Règle retenue le 2026-08-10 : caractéristique non mentionnée = Non.</t>
        </is>
      </c>
      <c r="H1518" t="inlineStr">
        <is>
          <t>2026-08-10</t>
        </is>
      </c>
    </row>
    <row r="1519">
      <c r="A1519" t="n">
        <v>119</v>
      </c>
      <c r="B1519" t="inlineStr">
        <is>
          <t>Moondrop</t>
        </is>
      </c>
      <c r="C1519" t="inlineStr">
        <is>
          <t>MoonRiver 2</t>
        </is>
      </c>
      <c r="D1519" t="inlineStr">
        <is>
          <t>Batterie</t>
        </is>
      </c>
      <c r="E1519" t="inlineStr">
        <is>
          <t>Non</t>
        </is>
      </c>
      <c r="F1519" t="inlineStr">
        <is>
          <t>https://apos.audio/products/moondrop-moonriver2</t>
        </is>
      </c>
      <c r="G1519" t="inlineStr">
        <is>
          <t>Aucune mention de « Batterie » dans la source produit consultée (1 source(s) ouverte(s) pour ce produit). Règle retenue le 2026-08-10 : caractéristique non mentionnée = Non.</t>
        </is>
      </c>
      <c r="H1519" t="inlineStr">
        <is>
          <t>2026-08-10</t>
        </is>
      </c>
    </row>
    <row r="1520">
      <c r="A1520" t="n">
        <v>119</v>
      </c>
      <c r="B1520" t="inlineStr">
        <is>
          <t>Moondrop</t>
        </is>
      </c>
      <c r="C1520" t="inlineStr">
        <is>
          <t>MoonRiver 2</t>
        </is>
      </c>
      <c r="D1520" t="inlineStr">
        <is>
          <t>DSP/PEQ</t>
        </is>
      </c>
      <c r="E1520" t="inlineStr">
        <is>
          <t>Non</t>
        </is>
      </c>
      <c r="F1520" t="inlineStr">
        <is>
          <t>https://apos.audio/products/moondrop-moonriver2</t>
        </is>
      </c>
      <c r="G1520" t="inlineStr">
        <is>
          <t>Aucune mention de « DSP/PEQ » dans la source produit consultée (1 source(s) ouverte(s) pour ce produit). Règle retenue le 2026-08-10 : caractéristique non mentionnée = Non.</t>
        </is>
      </c>
      <c r="H1520" t="inlineStr">
        <is>
          <t>2026-08-10</t>
        </is>
      </c>
    </row>
    <row r="1521">
      <c r="A1521" t="n">
        <v>120</v>
      </c>
      <c r="B1521" t="inlineStr">
        <is>
          <t>Colorfly</t>
        </is>
      </c>
      <c r="C1521" t="inlineStr">
        <is>
          <t>CDA M1</t>
        </is>
      </c>
      <c r="D1521" t="inlineStr">
        <is>
          <t>DSP/PEQ</t>
        </is>
      </c>
      <c r="E1521" t="inlineStr">
        <is>
          <t>Non</t>
        </is>
      </c>
      <c r="F1521" t="inlineStr">
        <is>
          <t>https://headfonics.com/colorfly-cda-m1-review/</t>
        </is>
      </c>
      <c r="G1521" t="inlineStr">
        <is>
          <t>Aucune mention de « DSP/PEQ » dans la source produit consultée (2 source(s) ouverte(s) pour ce produit). Règle retenue le 2026-08-10 : caractéristique non mentionnée = Non.</t>
        </is>
      </c>
      <c r="H1521" t="inlineStr">
        <is>
          <t>2026-08-10</t>
        </is>
      </c>
    </row>
    <row r="1522">
      <c r="A1522" t="n">
        <v>122</v>
      </c>
      <c r="B1522" t="inlineStr">
        <is>
          <t>iFi audio</t>
        </is>
      </c>
      <c r="C1522" t="inlineStr">
        <is>
          <t>GO bar</t>
        </is>
      </c>
      <c r="D1522" t="inlineStr">
        <is>
          <t>Batterie</t>
        </is>
      </c>
      <c r="E1522" t="inlineStr">
        <is>
          <t>Non</t>
        </is>
      </c>
      <c r="F1522" t="inlineStr">
        <is>
          <t>https://bloomaudio.com/products/ifi-go-bar</t>
        </is>
      </c>
      <c r="G1522" t="inlineStr">
        <is>
          <t>Aucune mention de « Batterie » dans la source produit consultée (1 source(s) ouverte(s) pour ce produit). Règle retenue le 2026-08-10 : caractéristique non mentionnée = Non.</t>
        </is>
      </c>
      <c r="H1522" t="inlineStr">
        <is>
          <t>2026-08-10</t>
        </is>
      </c>
    </row>
    <row r="1523">
      <c r="A1523" t="n">
        <v>123</v>
      </c>
      <c r="B1523" t="inlineStr">
        <is>
          <t>Audirect</t>
        </is>
      </c>
      <c r="C1523" t="inlineStr">
        <is>
          <t>Beam 3 Plus</t>
        </is>
      </c>
      <c r="D1523" t="inlineStr">
        <is>
          <t>DSP/PEQ</t>
        </is>
      </c>
      <c r="E1523" t="inlineStr">
        <is>
          <t>Non</t>
        </is>
      </c>
      <c r="F1523" t="inlineStr">
        <is>
          <t>https://shenzhenaudio.com/products/hilidac-audirect-beam-3plus-mqa-dac-headphone-amplifier-es9281ac-qualcomm-csr8675-bluetooth-chip-dsd512-support-sbc-aac-aptx-aptx-hd-ldac-3-5mm-4-4mm</t>
        </is>
      </c>
      <c r="G1523" t="inlineStr">
        <is>
          <t>Aucune mention de « DSP/PEQ » dans la source produit consultée (1 source(s) ouverte(s) pour ce produit). Règle retenue le 2026-08-10 : caractéristique non mentionnée = Non.</t>
        </is>
      </c>
      <c r="H1523" t="inlineStr">
        <is>
          <t>2026-08-10</t>
        </is>
      </c>
    </row>
    <row r="1524">
      <c r="A1524" t="n">
        <v>126</v>
      </c>
      <c r="B1524" t="inlineStr">
        <is>
          <t>TempoTec</t>
        </is>
      </c>
      <c r="C1524" t="inlineStr">
        <is>
          <t>Sonata E35</t>
        </is>
      </c>
      <c r="D1524" t="inlineStr">
        <is>
          <t>Batterie</t>
        </is>
      </c>
      <c r="E1524" t="inlineStr">
        <is>
          <t>Non</t>
        </is>
      </c>
      <c r="F1524" t="inlineStr">
        <is>
          <t>https://headfonics.com/tempotec-sonata-e35-review/</t>
        </is>
      </c>
      <c r="G1524" t="inlineStr">
        <is>
          <t>Aucune mention de « Batterie » dans la source produit consultée (2 source(s) ouverte(s) pour ce produit). Règle retenue le 2026-08-10 : caractéristique non mentionnée = Non.</t>
        </is>
      </c>
      <c r="H1524" t="inlineStr">
        <is>
          <t>2026-08-10</t>
        </is>
      </c>
    </row>
    <row r="1525">
      <c r="A1525" t="n">
        <v>126</v>
      </c>
      <c r="B1525" t="inlineStr">
        <is>
          <t>TempoTec</t>
        </is>
      </c>
      <c r="C1525" t="inlineStr">
        <is>
          <t>Sonata E35</t>
        </is>
      </c>
      <c r="D1525" t="inlineStr">
        <is>
          <t>DSP/PEQ</t>
        </is>
      </c>
      <c r="E1525" t="inlineStr">
        <is>
          <t>Non</t>
        </is>
      </c>
      <c r="F1525" t="inlineStr">
        <is>
          <t>https://headfonics.com/tempotec-sonata-e35-review/</t>
        </is>
      </c>
      <c r="G1525" t="inlineStr">
        <is>
          <t>Aucune mention de « DSP/PEQ » dans la source produit consultée (2 source(s) ouverte(s) pour ce produit). Règle retenue le 2026-08-10 : caractéristique non mentionnée = Non.</t>
        </is>
      </c>
      <c r="H1525" t="inlineStr">
        <is>
          <t>2026-08-10</t>
        </is>
      </c>
    </row>
    <row r="1526">
      <c r="A1526" t="n">
        <v>127</v>
      </c>
      <c r="B1526" t="inlineStr">
        <is>
          <t>Astell&amp;Kern</t>
        </is>
      </c>
      <c r="C1526" t="inlineStr">
        <is>
          <t>USB-C Dual DAC Cable PEE51</t>
        </is>
      </c>
      <c r="D1526" t="inlineStr">
        <is>
          <t>DSP/PEQ</t>
        </is>
      </c>
      <c r="E1526" t="inlineStr">
        <is>
          <t>Non</t>
        </is>
      </c>
      <c r="F1526" t="inlineStr">
        <is>
          <t>https://headfonics.com/astellkern-usb-c-dual-dac-cable-pee51-review/</t>
        </is>
      </c>
      <c r="G1526" t="inlineStr">
        <is>
          <t>Aucune mention de « DSP/PEQ » dans la source produit consultée (2 source(s) ouverte(s) pour ce produit). Règle retenue le 2026-08-10 : caractéristique non mentionnée = Non.</t>
        </is>
      </c>
      <c r="H1526" t="inlineStr">
        <is>
          <t>2026-08-10</t>
        </is>
      </c>
    </row>
    <row r="1527">
      <c r="A1527" t="n">
        <v>128</v>
      </c>
      <c r="B1527" t="inlineStr">
        <is>
          <t>Audirect</t>
        </is>
      </c>
      <c r="C1527" t="inlineStr">
        <is>
          <t>Beam 3 PRO</t>
        </is>
      </c>
      <c r="D1527" t="inlineStr">
        <is>
          <t>DSP/PEQ</t>
        </is>
      </c>
      <c r="E1527" t="inlineStr">
        <is>
          <t>Non</t>
        </is>
      </c>
      <c r="F1527" t="inlineStr">
        <is>
          <t>https://headfonics.com/hilidac-audirect-beam-3-pro-review/</t>
        </is>
      </c>
      <c r="G1527" t="inlineStr">
        <is>
          <t>Aucune mention de « DSP/PEQ » dans la source produit consultée (1 source(s) ouverte(s) pour ce produit). Règle retenue le 2026-08-10 : caractéristique non mentionnée = Non.</t>
        </is>
      </c>
      <c r="H1527" t="inlineStr">
        <is>
          <t>2026-08-10</t>
        </is>
      </c>
    </row>
    <row r="1528">
      <c r="A1528" t="n">
        <v>129</v>
      </c>
      <c r="B1528" t="inlineStr">
        <is>
          <t>EarMen</t>
        </is>
      </c>
      <c r="C1528" t="inlineStr">
        <is>
          <t>Colibri</t>
        </is>
      </c>
      <c r="D1528" t="inlineStr">
        <is>
          <t>DSP/PEQ</t>
        </is>
      </c>
      <c r="E1528" t="inlineStr">
        <is>
          <t>Non</t>
        </is>
      </c>
      <c r="F1528" t="inlineStr">
        <is>
          <t>https://apos.audio/products/earmen-portable-dac-amp</t>
        </is>
      </c>
      <c r="G1528" t="inlineStr">
        <is>
          <t>Aucune mention de « DSP/PEQ » dans la source produit consultée (1 source(s) ouverte(s) pour ce produit). Règle retenue le 2026-08-10 : caractéristique non mentionnée = Non.</t>
        </is>
      </c>
      <c r="H1528" t="inlineStr">
        <is>
          <t>2026-08-10</t>
        </is>
      </c>
    </row>
    <row r="1529">
      <c r="A1529" t="n">
        <v>131</v>
      </c>
      <c r="B1529" t="inlineStr">
        <is>
          <t>iFi audio</t>
        </is>
      </c>
      <c r="C1529" t="inlineStr">
        <is>
          <t>xDSD Gryphon</t>
        </is>
      </c>
      <c r="D1529" t="inlineStr">
        <is>
          <t>DSP/PEQ</t>
        </is>
      </c>
      <c r="E1529" t="inlineStr">
        <is>
          <t>Non</t>
        </is>
      </c>
      <c r="F1529" t="inlineStr">
        <is>
          <t>https://bloomaudio.com/products/ifi-xdsd-gryphon</t>
        </is>
      </c>
      <c r="G1529" t="inlineStr">
        <is>
          <t>Aucune mention de « DSP/PEQ » dans la source produit consultée (1 source(s) ouverte(s) pour ce produit). Règle retenue le 2026-08-10 : caractéristique non mentionnée = Non.</t>
        </is>
      </c>
      <c r="H1529" t="inlineStr">
        <is>
          <t>2026-08-10</t>
        </is>
      </c>
    </row>
    <row r="1530">
      <c r="A1530" t="n">
        <v>132</v>
      </c>
      <c r="B1530" t="inlineStr">
        <is>
          <t>Khadas</t>
        </is>
      </c>
      <c r="C1530" t="inlineStr">
        <is>
          <t>Tea</t>
        </is>
      </c>
      <c r="D1530" t="inlineStr">
        <is>
          <t>DSP/PEQ</t>
        </is>
      </c>
      <c r="E1530" t="inlineStr">
        <is>
          <t>Non</t>
        </is>
      </c>
      <c r="F1530" t="inlineStr">
        <is>
          <t>https://headfonics.com/khadas-tea-review/</t>
        </is>
      </c>
      <c r="G1530" t="inlineStr">
        <is>
          <t>Aucune mention de « DSP/PEQ » dans la source produit consultée (2 source(s) ouverte(s) pour ce produit). Règle retenue le 2026-08-10 : caractéristique non mentionnée = Non.</t>
        </is>
      </c>
      <c r="H1530" t="inlineStr">
        <is>
          <t>2026-08-10</t>
        </is>
      </c>
    </row>
    <row r="1531">
      <c r="A1531" t="n">
        <v>133</v>
      </c>
      <c r="B1531" t="inlineStr">
        <is>
          <t>HiBy</t>
        </is>
      </c>
      <c r="C1531" t="inlineStr">
        <is>
          <t>FC5</t>
        </is>
      </c>
      <c r="D1531" t="inlineStr">
        <is>
          <t>Batterie</t>
        </is>
      </c>
      <c r="E1531" t="inlineStr">
        <is>
          <t>Non</t>
        </is>
      </c>
      <c r="F1531" t="inlineStr">
        <is>
          <t>https://hifigo.com/products/hiby-fc5-2025-with-display</t>
        </is>
      </c>
      <c r="G1531" t="inlineStr">
        <is>
          <t>Aucune mention de « Batterie » dans la source produit consultée (2 source(s) ouverte(s) pour ce produit). Règle retenue le 2026-08-10 : caractéristique non mentionnée = Non.</t>
        </is>
      </c>
      <c r="H1531" t="inlineStr">
        <is>
          <t>2026-08-10</t>
        </is>
      </c>
    </row>
    <row r="1532">
      <c r="A1532" t="n">
        <v>133</v>
      </c>
      <c r="B1532" t="inlineStr">
        <is>
          <t>HiBy</t>
        </is>
      </c>
      <c r="C1532" t="inlineStr">
        <is>
          <t>FC5</t>
        </is>
      </c>
      <c r="D1532" t="inlineStr">
        <is>
          <t>DSP/PEQ</t>
        </is>
      </c>
      <c r="E1532" t="inlineStr">
        <is>
          <t>Non</t>
        </is>
      </c>
      <c r="F1532" t="inlineStr">
        <is>
          <t>https://hifigo.com/products/hiby-fc5-2025-with-display</t>
        </is>
      </c>
      <c r="G1532" t="inlineStr">
        <is>
          <t>Aucune mention de « DSP/PEQ » dans la source produit consultée (2 source(s) ouverte(s) pour ce produit). Règle retenue le 2026-08-10 : caractéristique non mentionnée = Non.</t>
        </is>
      </c>
      <c r="H1532" t="inlineStr">
        <is>
          <t>2026-08-10</t>
        </is>
      </c>
    </row>
    <row r="1533">
      <c r="A1533" t="n">
        <v>135</v>
      </c>
      <c r="B1533" t="inlineStr">
        <is>
          <t>Cayin</t>
        </is>
      </c>
      <c r="C1533" t="inlineStr">
        <is>
          <t>RU6</t>
        </is>
      </c>
      <c r="D1533" t="inlineStr">
        <is>
          <t>Bluetooth</t>
        </is>
      </c>
      <c r="E1533" t="inlineStr">
        <is>
          <t>Non</t>
        </is>
      </c>
      <c r="F1533" t="inlineStr">
        <is>
          <t>https://www.headphonezone.in/products/cayin-ru6</t>
        </is>
      </c>
      <c r="G1533" t="inlineStr">
        <is>
          <t>Aucune mention de « Bluetooth » dans la source produit consultée (1 source(s) ouverte(s) pour ce produit). Règle retenue le 2026-08-10 : caractéristique non mentionnée = Non.</t>
        </is>
      </c>
      <c r="H1533" t="inlineStr">
        <is>
          <t>2026-08-10</t>
        </is>
      </c>
    </row>
    <row r="1534">
      <c r="A1534" t="n">
        <v>136</v>
      </c>
      <c r="B1534" t="inlineStr">
        <is>
          <t>iBasso</t>
        </is>
      </c>
      <c r="C1534" t="inlineStr">
        <is>
          <t>DC05</t>
        </is>
      </c>
      <c r="D1534" t="inlineStr">
        <is>
          <t>Batterie</t>
        </is>
      </c>
      <c r="E1534" t="inlineStr">
        <is>
          <t>Non</t>
        </is>
      </c>
      <c r="F1534" t="inlineStr">
        <is>
          <t>https://headfonics.com/ibasso-dc05-review/</t>
        </is>
      </c>
      <c r="G1534" t="inlineStr">
        <is>
          <t>Aucune mention de « Batterie » dans la source produit consultée (1 source(s) ouverte(s) pour ce produit). Règle retenue le 2026-08-10 : caractéristique non mentionnée = Non.</t>
        </is>
      </c>
      <c r="H1534" t="inlineStr">
        <is>
          <t>2026-08-10</t>
        </is>
      </c>
    </row>
    <row r="1535">
      <c r="A1535" t="n">
        <v>138</v>
      </c>
      <c r="B1535" t="inlineStr">
        <is>
          <t>iFi audio</t>
        </is>
      </c>
      <c r="C1535" t="inlineStr">
        <is>
          <t>hip-dac2</t>
        </is>
      </c>
      <c r="D1535" t="inlineStr">
        <is>
          <t>DSP/PEQ</t>
        </is>
      </c>
      <c r="E1535" t="inlineStr">
        <is>
          <t>Non</t>
        </is>
      </c>
      <c r="F1535" t="inlineStr">
        <is>
          <t>https://headfonics.com/ifi-audio-hip-dac2-review/</t>
        </is>
      </c>
      <c r="G1535" t="inlineStr">
        <is>
          <t>Aucune mention de « DSP/PEQ » dans la source produit consultée (2 source(s) ouverte(s) pour ce produit). Règle retenue le 2026-08-10 : caractéristique non mentionnée = Non.</t>
        </is>
      </c>
      <c r="H1535" t="inlineStr">
        <is>
          <t>2026-08-10</t>
        </is>
      </c>
    </row>
    <row r="1536">
      <c r="A1536" t="n">
        <v>139</v>
      </c>
      <c r="B1536" t="inlineStr">
        <is>
          <t>Hidizs</t>
        </is>
      </c>
      <c r="C1536" t="inlineStr">
        <is>
          <t>S9 Pro Copper</t>
        </is>
      </c>
      <c r="D1536" t="inlineStr">
        <is>
          <t>DSP/PEQ</t>
        </is>
      </c>
      <c r="E1536" t="inlineStr">
        <is>
          <t>Non</t>
        </is>
      </c>
      <c r="F1536" t="inlineStr">
        <is>
          <t>https://headfonics.com/hidizs-s9-pro-copper-limited-edition-review/</t>
        </is>
      </c>
      <c r="G1536" t="inlineStr">
        <is>
          <t>Aucune mention de « DSP/PEQ » dans la source produit consultée (2 source(s) ouverte(s) pour ce produit). Règle retenue le 2026-08-10 : caractéristique non mentionnée = Non.</t>
        </is>
      </c>
      <c r="H1536" t="inlineStr">
        <is>
          <t>2026-08-10</t>
        </is>
      </c>
    </row>
    <row r="1537">
      <c r="A1537" t="n">
        <v>140</v>
      </c>
      <c r="B1537" t="inlineStr">
        <is>
          <t>Periodic Audio</t>
        </is>
      </c>
      <c r="C1537" t="inlineStr">
        <is>
          <t>Rhodium DAC</t>
        </is>
      </c>
      <c r="D1537" t="inlineStr">
        <is>
          <t>Batterie</t>
        </is>
      </c>
      <c r="E1537" t="inlineStr">
        <is>
          <t>Non</t>
        </is>
      </c>
      <c r="F1537" t="inlineStr">
        <is>
          <t>https://headfonics.com/periodic-audio-rhodium-dac-review/</t>
        </is>
      </c>
      <c r="G1537" t="inlineStr">
        <is>
          <t>Aucune mention de « Batterie » dans la source produit consultée (1 source(s) ouverte(s) pour ce produit). Règle retenue le 2026-08-10 : caractéristique non mentionnée = Non.</t>
        </is>
      </c>
      <c r="H1537" t="inlineStr">
        <is>
          <t>2026-08-10</t>
        </is>
      </c>
    </row>
    <row r="1538">
      <c r="A1538" t="n">
        <v>141</v>
      </c>
      <c r="B1538" t="inlineStr">
        <is>
          <t>Hidizs</t>
        </is>
      </c>
      <c r="C1538" t="inlineStr">
        <is>
          <t>DH80s</t>
        </is>
      </c>
      <c r="D1538" t="inlineStr">
        <is>
          <t>DSP/PEQ</t>
        </is>
      </c>
      <c r="E1538" t="inlineStr">
        <is>
          <t>Non</t>
        </is>
      </c>
      <c r="F1538" t="inlineStr">
        <is>
          <t>https://headfonics.com/hidizs-dh80s-review/</t>
        </is>
      </c>
      <c r="G1538" t="inlineStr">
        <is>
          <t>Aucune mention de « DSP/PEQ » dans la source produit consultée (2 source(s) ouverte(s) pour ce produit). Règle retenue le 2026-08-10 : caractéristique non mentionnée = Non.</t>
        </is>
      </c>
      <c r="H1538" t="inlineStr">
        <is>
          <t>2026-08-10</t>
        </is>
      </c>
    </row>
    <row r="1539">
      <c r="A1539" t="n">
        <v>142</v>
      </c>
      <c r="B1539" t="inlineStr">
        <is>
          <t>Questyle</t>
        </is>
      </c>
      <c r="C1539" t="inlineStr">
        <is>
          <t>M12</t>
        </is>
      </c>
      <c r="D1539" t="inlineStr">
        <is>
          <t>Batterie</t>
        </is>
      </c>
      <c r="E1539" t="inlineStr">
        <is>
          <t>Non</t>
        </is>
      </c>
      <c r="F1539" t="inlineStr">
        <is>
          <t>https://hifigo.com/products/questyle-m12-mobile-hifi-headphone-amplifier-dac</t>
        </is>
      </c>
      <c r="G1539" t="inlineStr">
        <is>
          <t>Aucune mention de « Batterie » dans la source produit consultée (1 source(s) ouverte(s) pour ce produit). Règle retenue le 2026-08-10 : caractéristique non mentionnée = Non.</t>
        </is>
      </c>
      <c r="H1539" t="inlineStr">
        <is>
          <t>2026-08-10</t>
        </is>
      </c>
    </row>
    <row r="1540">
      <c r="A1540" t="n">
        <v>142</v>
      </c>
      <c r="B1540" t="inlineStr">
        <is>
          <t>Questyle</t>
        </is>
      </c>
      <c r="C1540" t="inlineStr">
        <is>
          <t>M12</t>
        </is>
      </c>
      <c r="D1540" t="inlineStr">
        <is>
          <t>DSP/PEQ</t>
        </is>
      </c>
      <c r="E1540" t="inlineStr">
        <is>
          <t>Non</t>
        </is>
      </c>
      <c r="F1540" t="inlineStr">
        <is>
          <t>https://hifigo.com/products/questyle-m12-mobile-hifi-headphone-amplifier-dac</t>
        </is>
      </c>
      <c r="G1540" t="inlineStr">
        <is>
          <t>Aucune mention de « DSP/PEQ » dans la source produit consultée (1 source(s) ouverte(s) pour ce produit). Règle retenue le 2026-08-10 : caractéristique non mentionnée = Non.</t>
        </is>
      </c>
      <c r="H1540" t="inlineStr">
        <is>
          <t>2026-08-10</t>
        </is>
      </c>
    </row>
    <row r="1541">
      <c r="A1541" t="n">
        <v>143</v>
      </c>
      <c r="B1541" t="inlineStr">
        <is>
          <t>FiiO</t>
        </is>
      </c>
      <c r="C1541" t="inlineStr">
        <is>
          <t>E10K TC</t>
        </is>
      </c>
      <c r="D1541" t="inlineStr">
        <is>
          <t>Batterie</t>
        </is>
      </c>
      <c r="E1541" t="inlineStr">
        <is>
          <t>Non</t>
        </is>
      </c>
      <c r="F1541" t="inlineStr">
        <is>
          <t>https://headfonics.com/fiio-e10k-tc-review/</t>
        </is>
      </c>
      <c r="G1541" t="inlineStr">
        <is>
          <t>Aucune mention de « Batterie » dans la source produit consultée (1 source(s) ouverte(s) pour ce produit). Règle retenue le 2026-08-10 : caractéristique non mentionnée = Non.</t>
        </is>
      </c>
      <c r="H1541" t="inlineStr">
        <is>
          <t>2026-08-10</t>
        </is>
      </c>
    </row>
    <row r="1542">
      <c r="A1542" t="n">
        <v>144</v>
      </c>
      <c r="B1542" t="inlineStr">
        <is>
          <t>Shanling</t>
        </is>
      </c>
      <c r="C1542" t="inlineStr">
        <is>
          <t>UA2</t>
        </is>
      </c>
      <c r="D1542" t="inlineStr">
        <is>
          <t>Bluetooth</t>
        </is>
      </c>
      <c r="E1542" t="inlineStr">
        <is>
          <t>Non</t>
        </is>
      </c>
      <c r="F1542" t="inlineStr">
        <is>
          <t>https://headfonics.com/shanling-ua2-review/</t>
        </is>
      </c>
      <c r="G1542" t="inlineStr">
        <is>
          <t>Aucune mention de « Bluetooth » dans la source produit consultée (1 source(s) ouverte(s) pour ce produit). Règle retenue le 2026-08-10 : caractéristique non mentionnée = Non.</t>
        </is>
      </c>
      <c r="H1542" t="inlineStr">
        <is>
          <t>2026-08-10</t>
        </is>
      </c>
    </row>
    <row r="1543">
      <c r="A1543" t="n">
        <v>145</v>
      </c>
      <c r="B1543" t="inlineStr">
        <is>
          <t>FiiO</t>
        </is>
      </c>
      <c r="C1543" t="inlineStr">
        <is>
          <t>New K3</t>
        </is>
      </c>
      <c r="D1543" t="inlineStr">
        <is>
          <t>Batterie</t>
        </is>
      </c>
      <c r="E1543" t="inlineStr">
        <is>
          <t>Non</t>
        </is>
      </c>
      <c r="F1543" t="inlineStr">
        <is>
          <t>https://headfonics.com/fiio-new-k3-review/</t>
        </is>
      </c>
      <c r="G1543" t="inlineStr">
        <is>
          <t>Aucune mention de « Batterie » dans la source produit consultée (2 source(s) ouverte(s) pour ce produit). Règle retenue le 2026-08-10 : caractéristique non mentionnée = Non.</t>
        </is>
      </c>
      <c r="H1543" t="inlineStr">
        <is>
          <t>2026-08-10</t>
        </is>
      </c>
    </row>
    <row r="1544">
      <c r="A1544" t="n">
        <v>146</v>
      </c>
      <c r="B1544" t="inlineStr">
        <is>
          <t>ddHiFi</t>
        </is>
      </c>
      <c r="C1544" t="inlineStr">
        <is>
          <t>TC35 Pro Tetris</t>
        </is>
      </c>
      <c r="D1544" t="inlineStr">
        <is>
          <t>Batterie</t>
        </is>
      </c>
      <c r="E1544" t="inlineStr">
        <is>
          <t>Non</t>
        </is>
      </c>
      <c r="F1544" t="inlineStr">
        <is>
          <t>https://headfonics.com/ddhifi-tc35-pro-tetris-review/</t>
        </is>
      </c>
      <c r="G1544" t="inlineStr">
        <is>
          <t>Aucune mention de « Batterie » dans la source produit consultée (2 source(s) ouverte(s) pour ce produit). Règle retenue le 2026-08-10 : caractéristique non mentionnée = Non.</t>
        </is>
      </c>
      <c r="H1544" t="inlineStr">
        <is>
          <t>2026-08-10</t>
        </is>
      </c>
    </row>
    <row r="1545">
      <c r="A1545" t="n">
        <v>146</v>
      </c>
      <c r="B1545" t="inlineStr">
        <is>
          <t>ddHiFi</t>
        </is>
      </c>
      <c r="C1545" t="inlineStr">
        <is>
          <t>TC35 Pro Tetris</t>
        </is>
      </c>
      <c r="D1545" t="inlineStr">
        <is>
          <t>DSP/PEQ</t>
        </is>
      </c>
      <c r="E1545" t="inlineStr">
        <is>
          <t>Non</t>
        </is>
      </c>
      <c r="F1545" t="inlineStr">
        <is>
          <t>https://headfonics.com/ddhifi-tc35-pro-tetris-review/</t>
        </is>
      </c>
      <c r="G1545" t="inlineStr">
        <is>
          <t>Aucune mention de « DSP/PEQ » dans la source produit consultée (2 source(s) ouverte(s) pour ce produit). Règle retenue le 2026-08-10 : caractéristique non mentionnée = Non.</t>
        </is>
      </c>
      <c r="H1545" t="inlineStr">
        <is>
          <t>2026-08-10</t>
        </is>
      </c>
    </row>
    <row r="1546">
      <c r="A1546" t="n">
        <v>147</v>
      </c>
      <c r="B1546" t="inlineStr">
        <is>
          <t>Helm Audio</t>
        </is>
      </c>
      <c r="C1546" t="inlineStr">
        <is>
          <t>Bolt</t>
        </is>
      </c>
      <c r="D1546" t="inlineStr">
        <is>
          <t>DSP/PEQ</t>
        </is>
      </c>
      <c r="E1546" t="inlineStr">
        <is>
          <t>Non</t>
        </is>
      </c>
      <c r="F1546" t="inlineStr">
        <is>
          <t>https://headfonics.com/helm-audio-bolt-review/</t>
        </is>
      </c>
      <c r="G1546" t="inlineStr">
        <is>
          <t>Aucune mention de « DSP/PEQ » dans la source produit consultée (1 source(s) ouverte(s) pour ce produit). Règle retenue le 2026-08-10 : caractéristique non mentionnée = Non.</t>
        </is>
      </c>
      <c r="H1546" t="inlineStr">
        <is>
          <t>2026-08-10</t>
        </is>
      </c>
    </row>
    <row r="1547">
      <c r="A1547" t="n">
        <v>148</v>
      </c>
      <c r="B1547" t="inlineStr">
        <is>
          <t>Luxury &amp; Precision</t>
        </is>
      </c>
      <c r="C1547" t="inlineStr">
        <is>
          <t>W2</t>
        </is>
      </c>
      <c r="D1547" t="inlineStr">
        <is>
          <t>Batterie</t>
        </is>
      </c>
      <c r="E1547" t="inlineStr">
        <is>
          <t>Non</t>
        </is>
      </c>
      <c r="F1547" t="inlineStr">
        <is>
          <t>https://headfonics.com/luxury-precision-w2-review/</t>
        </is>
      </c>
      <c r="G1547" t="inlineStr">
        <is>
          <t>Aucune mention de « Batterie » dans la source produit consultée (2 source(s) ouverte(s) pour ce produit). Règle retenue le 2026-08-10 : caractéristique non mentionnée = Non.</t>
        </is>
      </c>
      <c r="H1547" t="inlineStr">
        <is>
          <t>2026-08-10</t>
        </is>
      </c>
    </row>
    <row r="1548">
      <c r="A1548" t="n">
        <v>149</v>
      </c>
      <c r="B1548" t="inlineStr">
        <is>
          <t>Hidizs</t>
        </is>
      </c>
      <c r="C1548" t="inlineStr">
        <is>
          <t>S9 Pro</t>
        </is>
      </c>
      <c r="D1548" t="inlineStr">
        <is>
          <t>DSP/PEQ</t>
        </is>
      </c>
      <c r="E1548" t="inlineStr">
        <is>
          <t>Non</t>
        </is>
      </c>
      <c r="F1548" t="inlineStr">
        <is>
          <t>https://headfonics.com/hidizs-s9-pro-review/</t>
        </is>
      </c>
      <c r="G1548" t="inlineStr">
        <is>
          <t>Aucune mention de « DSP/PEQ » dans la source produit consultée (1 source(s) ouverte(s) pour ce produit). Règle retenue le 2026-08-10 : caractéristique non mentionnée = Non.</t>
        </is>
      </c>
      <c r="H1548" t="inlineStr">
        <is>
          <t>2026-08-10</t>
        </is>
      </c>
    </row>
    <row r="1549">
      <c r="A1549" t="n">
        <v>152</v>
      </c>
      <c r="B1549" t="inlineStr">
        <is>
          <t>Phatlab</t>
        </is>
      </c>
      <c r="C1549" t="inlineStr">
        <is>
          <t>Chimera</t>
        </is>
      </c>
      <c r="D1549" t="inlineStr">
        <is>
          <t>Bluetooth</t>
        </is>
      </c>
      <c r="E1549" t="inlineStr">
        <is>
          <t>Non</t>
        </is>
      </c>
      <c r="F1549" t="inlineStr">
        <is>
          <t>https://headfonics.com/phatlab-chimera-review/</t>
        </is>
      </c>
      <c r="G1549" t="inlineStr">
        <is>
          <t>Aucune mention de « Bluetooth » dans la source produit consultée (2 source(s) ouverte(s) pour ce produit). Règle retenue le 2026-08-10 : caractéristique non mentionnée = Non.</t>
        </is>
      </c>
      <c r="H1549" t="inlineStr">
        <is>
          <t>2026-08-10</t>
        </is>
      </c>
    </row>
    <row r="1550">
      <c r="A1550" t="n">
        <v>152</v>
      </c>
      <c r="B1550" t="inlineStr">
        <is>
          <t>Phatlab</t>
        </is>
      </c>
      <c r="C1550" t="inlineStr">
        <is>
          <t>Chimera</t>
        </is>
      </c>
      <c r="D1550" t="inlineStr">
        <is>
          <t>DSP/PEQ</t>
        </is>
      </c>
      <c r="E1550" t="inlineStr">
        <is>
          <t>Non</t>
        </is>
      </c>
      <c r="F1550" t="inlineStr">
        <is>
          <t>https://headfonics.com/phatlab-chimera-review/</t>
        </is>
      </c>
      <c r="G1550" t="inlineStr">
        <is>
          <t>Aucune mention de « DSP/PEQ » dans la source produit consultée (2 source(s) ouverte(s) pour ce produit). Règle retenue le 2026-08-10 : caractéristique non mentionnée = Non.</t>
        </is>
      </c>
      <c r="H1550" t="inlineStr">
        <is>
          <t>2026-08-10</t>
        </is>
      </c>
    </row>
    <row r="1551">
      <c r="A1551" t="n">
        <v>153</v>
      </c>
      <c r="B1551" t="inlineStr">
        <is>
          <t>HiBy</t>
        </is>
      </c>
      <c r="C1551" t="inlineStr">
        <is>
          <t>FC3</t>
        </is>
      </c>
      <c r="D1551" t="inlineStr">
        <is>
          <t>DSP/PEQ</t>
        </is>
      </c>
      <c r="E1551" t="inlineStr">
        <is>
          <t>Non</t>
        </is>
      </c>
      <c r="F1551" t="inlineStr">
        <is>
          <t>https://hifigo.com/products/hiby-fc3</t>
        </is>
      </c>
      <c r="G1551" t="inlineStr">
        <is>
          <t>Aucune mention de « DSP/PEQ » dans la source produit consultée (2 source(s) ouverte(s) pour ce produit). Règle retenue le 2026-08-10 : caractéristique non mentionnée = Non.</t>
        </is>
      </c>
      <c r="H1551" t="inlineStr">
        <is>
          <t>2026-08-10</t>
        </is>
      </c>
    </row>
    <row r="1552">
      <c r="A1552" t="n">
        <v>154</v>
      </c>
      <c r="B1552" t="inlineStr">
        <is>
          <t>Khadas</t>
        </is>
      </c>
      <c r="C1552" t="inlineStr">
        <is>
          <t>Tone2 Pro</t>
        </is>
      </c>
      <c r="D1552" t="inlineStr">
        <is>
          <t>DSP/PEQ</t>
        </is>
      </c>
      <c r="E1552" t="inlineStr">
        <is>
          <t>Non</t>
        </is>
      </c>
      <c r="F1552" t="inlineStr">
        <is>
          <t>https://headfonics.com/khadas-tone2-pro-review/</t>
        </is>
      </c>
      <c r="G1552" t="inlineStr">
        <is>
          <t>Aucune mention de « DSP/PEQ » dans la source produit consultée (2 source(s) ouverte(s) pour ce produit). Règle retenue le 2026-08-10 : caractéristique non mentionnée = Non.</t>
        </is>
      </c>
      <c r="H1552" t="inlineStr">
        <is>
          <t>2026-08-10</t>
        </is>
      </c>
    </row>
    <row r="1553">
      <c r="A1553" t="n">
        <v>155</v>
      </c>
      <c r="B1553" t="inlineStr">
        <is>
          <t>Hidizs</t>
        </is>
      </c>
      <c r="C1553" t="inlineStr">
        <is>
          <t>DH80</t>
        </is>
      </c>
      <c r="D1553" t="inlineStr">
        <is>
          <t>Bluetooth</t>
        </is>
      </c>
      <c r="E1553" t="inlineStr">
        <is>
          <t>Non</t>
        </is>
      </c>
      <c r="F1553" t="inlineStr">
        <is>
          <t>https://headfonics.com/hidizs-dh80-review/</t>
        </is>
      </c>
      <c r="G1553" t="inlineStr">
        <is>
          <t>Aucune mention de « Bluetooth » dans la source produit consultée (2 source(s) ouverte(s) pour ce produit). Règle retenue le 2026-08-10 : caractéristique non mentionnée = Non.</t>
        </is>
      </c>
      <c r="H1553" t="inlineStr">
        <is>
          <t>2026-08-10</t>
        </is>
      </c>
    </row>
    <row r="1554">
      <c r="A1554" t="n">
        <v>155</v>
      </c>
      <c r="B1554" t="inlineStr">
        <is>
          <t>Hidizs</t>
        </is>
      </c>
      <c r="C1554" t="inlineStr">
        <is>
          <t>DH80</t>
        </is>
      </c>
      <c r="D1554" t="inlineStr">
        <is>
          <t>DSP/PEQ</t>
        </is>
      </c>
      <c r="E1554" t="inlineStr">
        <is>
          <t>Non</t>
        </is>
      </c>
      <c r="F1554" t="inlineStr">
        <is>
          <t>https://headfonics.com/hidizs-dh80-review/</t>
        </is>
      </c>
      <c r="G1554" t="inlineStr">
        <is>
          <t>Aucune mention de « DSP/PEQ » dans la source produit consultée (2 source(s) ouverte(s) pour ce produit). Règle retenue le 2026-08-10 : caractéristique non mentionnée = Non.</t>
        </is>
      </c>
      <c r="H1554" t="inlineStr">
        <is>
          <t>2026-08-10</t>
        </is>
      </c>
    </row>
    <row r="1555">
      <c r="A1555" t="n">
        <v>156</v>
      </c>
      <c r="B1555" t="inlineStr">
        <is>
          <t>iBasso</t>
        </is>
      </c>
      <c r="C1555" t="inlineStr">
        <is>
          <t>DC04</t>
        </is>
      </c>
      <c r="D1555" t="inlineStr">
        <is>
          <t>Bluetooth</t>
        </is>
      </c>
      <c r="E1555" t="inlineStr">
        <is>
          <t>Non</t>
        </is>
      </c>
      <c r="F1555" t="inlineStr">
        <is>
          <t>https://headfonics.com/ibasso-dc04-review/</t>
        </is>
      </c>
      <c r="G1555" t="inlineStr">
        <is>
          <t>Aucune mention de « Bluetooth » dans la source produit consultée (2 source(s) ouverte(s) pour ce produit). Règle retenue le 2026-08-10 : caractéristique non mentionnée = Non.</t>
        </is>
      </c>
      <c r="H1555" t="inlineStr">
        <is>
          <t>2026-08-10</t>
        </is>
      </c>
    </row>
    <row r="1556">
      <c r="A1556" t="n">
        <v>156</v>
      </c>
      <c r="B1556" t="inlineStr">
        <is>
          <t>iBasso</t>
        </is>
      </c>
      <c r="C1556" t="inlineStr">
        <is>
          <t>DC04</t>
        </is>
      </c>
      <c r="D1556" t="inlineStr">
        <is>
          <t>DSP/PEQ</t>
        </is>
      </c>
      <c r="E1556" t="inlineStr">
        <is>
          <t>Non</t>
        </is>
      </c>
      <c r="F1556" t="inlineStr">
        <is>
          <t>https://headfonics.com/ibasso-dc04-review/</t>
        </is>
      </c>
      <c r="G1556" t="inlineStr">
        <is>
          <t>Aucune mention de « DSP/PEQ » dans la source produit consultée (2 source(s) ouverte(s) pour ce produit). Règle retenue le 2026-08-10 : caractéristique non mentionnée = Non.</t>
        </is>
      </c>
      <c r="H1556" t="inlineStr">
        <is>
          <t>2026-08-10</t>
        </is>
      </c>
    </row>
    <row r="1557">
      <c r="A1557" t="n">
        <v>157</v>
      </c>
      <c r="B1557" t="inlineStr">
        <is>
          <t>HiBy</t>
        </is>
      </c>
      <c r="C1557" t="inlineStr">
        <is>
          <t>FD1 &amp; Beans</t>
        </is>
      </c>
      <c r="D1557" t="inlineStr">
        <is>
          <t>Bluetooth</t>
        </is>
      </c>
      <c r="E1557" t="inlineStr">
        <is>
          <t>Non</t>
        </is>
      </c>
      <c r="F1557" t="inlineStr">
        <is>
          <t>https://headfonics.com/hiby-fd1-beans-review/</t>
        </is>
      </c>
      <c r="G1557" t="inlineStr">
        <is>
          <t>Aucune mention de « Bluetooth » dans la source produit consultée (2 source(s) ouverte(s) pour ce produit). Règle retenue le 2026-08-10 : caractéristique non mentionnée = Non.</t>
        </is>
      </c>
      <c r="H1557" t="inlineStr">
        <is>
          <t>2026-08-10</t>
        </is>
      </c>
    </row>
    <row r="1558">
      <c r="A1558" t="n">
        <v>157</v>
      </c>
      <c r="B1558" t="inlineStr">
        <is>
          <t>HiBy</t>
        </is>
      </c>
      <c r="C1558" t="inlineStr">
        <is>
          <t>FD1 &amp; Beans</t>
        </is>
      </c>
      <c r="D1558" t="inlineStr">
        <is>
          <t>DSP/PEQ</t>
        </is>
      </c>
      <c r="E1558" t="inlineStr">
        <is>
          <t>Non</t>
        </is>
      </c>
      <c r="F1558" t="inlineStr">
        <is>
          <t>https://headfonics.com/hiby-fd1-beans-review/</t>
        </is>
      </c>
      <c r="G1558" t="inlineStr">
        <is>
          <t>Aucune mention de « DSP/PEQ » dans la source produit consultée (2 source(s) ouverte(s) pour ce produit). Règle retenue le 2026-08-10 : caractéristique non mentionnée = Non.</t>
        </is>
      </c>
      <c r="H1558" t="inlineStr">
        <is>
          <t>2026-08-10</t>
        </is>
      </c>
    </row>
    <row r="1559">
      <c r="A1559" t="n">
        <v>158</v>
      </c>
      <c r="B1559" t="inlineStr">
        <is>
          <t>iFi audio</t>
        </is>
      </c>
      <c r="C1559" t="inlineStr">
        <is>
          <t>iDSD Valkyrie</t>
        </is>
      </c>
      <c r="D1559" t="inlineStr">
        <is>
          <t>DSP/PEQ</t>
        </is>
      </c>
      <c r="E1559" t="inlineStr">
        <is>
          <t>Non</t>
        </is>
      </c>
      <c r="F1559" t="inlineStr">
        <is>
          <t>https://www.audiophonics.fr/fr/dac-portables/ifi-audio-idsd-valkyrie-noir-p-21756.html</t>
        </is>
      </c>
      <c r="G1559" t="inlineStr">
        <is>
          <t>Aucune mention de « DSP/PEQ » dans la source produit consultée (2 source(s) ouverte(s) pour ce produit). Règle retenue le 2026-08-10 : caractéristique non mentionnée = Non.</t>
        </is>
      </c>
      <c r="H1559" t="inlineStr">
        <is>
          <t>2026-08-10</t>
        </is>
      </c>
    </row>
    <row r="1560">
      <c r="A1560" t="n">
        <v>159</v>
      </c>
      <c r="B1560" t="inlineStr">
        <is>
          <t>FangSound</t>
        </is>
      </c>
      <c r="C1560" t="inlineStr">
        <is>
          <t>Prometheus</t>
        </is>
      </c>
      <c r="D1560" t="inlineStr">
        <is>
          <t>DSP/PEQ</t>
        </is>
      </c>
      <c r="E1560" t="inlineStr">
        <is>
          <t>Non</t>
        </is>
      </c>
      <c r="F1560" t="inlineStr">
        <is>
          <t>https://www.linsoul.com/products/fangsound-prometheus</t>
        </is>
      </c>
      <c r="G1560" t="inlineStr">
        <is>
          <t>Aucune mention de « DSP/PEQ » dans la source produit consultée (1 source(s) ouverte(s) pour ce produit). Règle retenue le 2026-08-10 : caractéristique non mentionnée = Non.</t>
        </is>
      </c>
      <c r="H1560" t="inlineStr">
        <is>
          <t>2026-08-10</t>
        </is>
      </c>
    </row>
    <row r="1561">
      <c r="A1561" t="n">
        <v>160</v>
      </c>
      <c r="B1561" t="inlineStr">
        <is>
          <t>xDuoo</t>
        </is>
      </c>
      <c r="C1561" t="inlineStr">
        <is>
          <t>XD05T</t>
        </is>
      </c>
      <c r="D1561" t="inlineStr">
        <is>
          <t>DSP/PEQ</t>
        </is>
      </c>
      <c r="E1561" t="inlineStr">
        <is>
          <t>Non</t>
        </is>
      </c>
      <c r="F1561" t="inlineStr">
        <is>
          <t>https://www.linsoul.com/products/xduoo-xd05t</t>
        </is>
      </c>
      <c r="G1561" t="inlineStr">
        <is>
          <t>Aucune mention de « DSP/PEQ » dans la source produit consultée (2 source(s) ouverte(s) pour ce produit). Règle retenue le 2026-08-10 : caractéristique non mentionnée = Non.</t>
        </is>
      </c>
      <c r="H1561" t="inlineStr">
        <is>
          <t>2026-08-10</t>
        </is>
      </c>
    </row>
    <row r="1562">
      <c r="A1562" t="n">
        <v>161</v>
      </c>
      <c r="B1562" t="inlineStr">
        <is>
          <t>iFi audio</t>
        </is>
      </c>
      <c r="C1562" t="inlineStr">
        <is>
          <t>iDSD GR 2</t>
        </is>
      </c>
      <c r="D1562" t="inlineStr">
        <is>
          <t>DSP/PEQ</t>
        </is>
      </c>
      <c r="E1562" t="inlineStr">
        <is>
          <t>Non</t>
        </is>
      </c>
      <c r="F1562" t="inlineStr">
        <is>
          <t>https://www.audiophonics.fr/fr/dac-portables-c-6399.html?orderby=price&amp;orderway=desc&amp;orderway=desc</t>
        </is>
      </c>
      <c r="G1562" t="inlineStr">
        <is>
          <t>Aucune mention de « DSP/PEQ » dans la source produit consultée (2 source(s) ouverte(s) pour ce produit). Règle retenue le 2026-08-10 : caractéristique non mentionnée = Non.</t>
        </is>
      </c>
      <c r="H1562" t="inlineStr">
        <is>
          <t>2026-08-10</t>
        </is>
      </c>
    </row>
    <row r="1563">
      <c r="A1563" t="n">
        <v>162</v>
      </c>
      <c r="B1563" t="inlineStr">
        <is>
          <t>xDuoo</t>
        </is>
      </c>
      <c r="C1563" t="inlineStr">
        <is>
          <t>XD05 BAL</t>
        </is>
      </c>
      <c r="D1563" t="inlineStr">
        <is>
          <t>DSP/PEQ</t>
        </is>
      </c>
      <c r="E1563" t="inlineStr">
        <is>
          <t>Non</t>
        </is>
      </c>
      <c r="F1563" t="inlineStr">
        <is>
          <t>https://hifigo.com/products/xduoo-xd05-bal-portable-balanced-headphone-amp</t>
        </is>
      </c>
      <c r="G1563" t="inlineStr">
        <is>
          <t>Aucune mention de « DSP/PEQ » dans la source produit consultée (2 source(s) ouverte(s) pour ce produit). Règle retenue le 2026-08-10 : caractéristique non mentionnée = Non.</t>
        </is>
      </c>
      <c r="H1563" t="inlineStr">
        <is>
          <t>2026-08-10</t>
        </is>
      </c>
    </row>
    <row r="1564">
      <c r="A1564" t="n">
        <v>164</v>
      </c>
      <c r="B1564" t="inlineStr">
        <is>
          <t>E1DA</t>
        </is>
      </c>
      <c r="C1564" t="inlineStr">
        <is>
          <t>9039S</t>
        </is>
      </c>
      <c r="D1564" t="inlineStr">
        <is>
          <t>DSP/PEQ</t>
        </is>
      </c>
      <c r="E1564" t="inlineStr">
        <is>
          <t>Non</t>
        </is>
      </c>
      <c r="F1564" t="inlineStr">
        <is>
          <t>https://www.linsoul.com/products/e1da-9039s</t>
        </is>
      </c>
      <c r="G1564" t="inlineStr">
        <is>
          <t>Aucune mention de « DSP/PEQ » dans la source produit consultée (1 source(s) ouverte(s) pour ce produit). Règle retenue le 2026-08-10 : caractéristique non mentionnée = Non.</t>
        </is>
      </c>
      <c r="H1564" t="inlineStr">
        <is>
          <t>2026-08-10</t>
        </is>
      </c>
    </row>
    <row r="1565">
      <c r="A1565" t="n">
        <v>165</v>
      </c>
      <c r="B1565" t="inlineStr">
        <is>
          <t>Aune</t>
        </is>
      </c>
      <c r="C1565" t="inlineStr">
        <is>
          <t>Yuki</t>
        </is>
      </c>
      <c r="D1565" t="inlineStr">
        <is>
          <t>Batterie</t>
        </is>
      </c>
      <c r="E1565" t="inlineStr">
        <is>
          <t>Non</t>
        </is>
      </c>
      <c r="F1565" t="inlineStr">
        <is>
          <t>https://hifigo.com/products/aune-yuki</t>
        </is>
      </c>
      <c r="G1565" t="inlineStr">
        <is>
          <t>Aucune mention de « Batterie » dans la source produit consultée (1 source(s) ouverte(s) pour ce produit). Règle retenue le 2026-08-10 : caractéristique non mentionnée = Non.</t>
        </is>
      </c>
      <c r="H1565" t="inlineStr">
        <is>
          <t>2026-08-10</t>
        </is>
      </c>
    </row>
    <row r="1566">
      <c r="A1566" t="n">
        <v>165</v>
      </c>
      <c r="B1566" t="inlineStr">
        <is>
          <t>Aune</t>
        </is>
      </c>
      <c r="C1566" t="inlineStr">
        <is>
          <t>Yuki</t>
        </is>
      </c>
      <c r="D1566" t="inlineStr">
        <is>
          <t>DSP/PEQ</t>
        </is>
      </c>
      <c r="E1566" t="inlineStr">
        <is>
          <t>Non</t>
        </is>
      </c>
      <c r="F1566" t="inlineStr">
        <is>
          <t>https://hifigo.com/products/aune-yuki</t>
        </is>
      </c>
      <c r="G1566" t="inlineStr">
        <is>
          <t>Aucune mention de « DSP/PEQ » dans la source produit consultée (1 source(s) ouverte(s) pour ce produit). Règle retenue le 2026-08-10 : caractéristique non mentionnée = Non.</t>
        </is>
      </c>
      <c r="H1566" t="inlineStr">
        <is>
          <t>2026-08-10</t>
        </is>
      </c>
    </row>
    <row r="1567">
      <c r="A1567" t="n">
        <v>166</v>
      </c>
      <c r="B1567" t="inlineStr">
        <is>
          <t>E1DA</t>
        </is>
      </c>
      <c r="C1567" t="inlineStr">
        <is>
          <t>9038D6K</t>
        </is>
      </c>
      <c r="D1567" t="inlineStr">
        <is>
          <t>DSP/PEQ</t>
        </is>
      </c>
      <c r="E1567" t="inlineStr">
        <is>
          <t>Non</t>
        </is>
      </c>
      <c r="F1567" t="inlineStr">
        <is>
          <t>https://www.audiophonics.fr/fr/amplificateurs-casque-mobiles/e1da-9038d6k-amplificateur-casque-dac-usb-es9038q2m-ad8397-32bit-384khz-dsd256-p-17305.html</t>
        </is>
      </c>
      <c r="G1567" t="inlineStr">
        <is>
          <t>Aucune mention de « DSP/PEQ » dans la source produit consultée (2 source(s) ouverte(s) pour ce produit). Règle retenue le 2026-08-10 : caractéristique non mentionnée = Non.</t>
        </is>
      </c>
      <c r="H1567" t="inlineStr">
        <is>
          <t>2026-08-10</t>
        </is>
      </c>
    </row>
    <row r="1568">
      <c r="A1568" t="n">
        <v>167</v>
      </c>
      <c r="B1568" t="inlineStr">
        <is>
          <t>iFi audio</t>
        </is>
      </c>
      <c r="C1568" t="inlineStr">
        <is>
          <t>GO Blu Air</t>
        </is>
      </c>
      <c r="D1568" t="inlineStr">
        <is>
          <t>DSP/PEQ</t>
        </is>
      </c>
      <c r="E1568" t="inlineStr">
        <is>
          <t>Non</t>
        </is>
      </c>
      <c r="F1568" t="inlineStr">
        <is>
          <t>https://bloomaudio.com/products/ifi-go-blu-air</t>
        </is>
      </c>
      <c r="G1568" t="inlineStr">
        <is>
          <t>Aucune mention de « DSP/PEQ » dans la source produit consultée (1 source(s) ouverte(s) pour ce produit). Règle retenue le 2026-08-10 : caractéristique non mentionnée = Non.</t>
        </is>
      </c>
      <c r="H1568" t="inlineStr">
        <is>
          <t>2026-08-10</t>
        </is>
      </c>
    </row>
    <row r="1569">
      <c r="A1569" t="n">
        <v>168</v>
      </c>
      <c r="B1569" t="inlineStr">
        <is>
          <t>E1DA</t>
        </is>
      </c>
      <c r="C1569" t="inlineStr">
        <is>
          <t>9038S Gen 3</t>
        </is>
      </c>
      <c r="D1569" t="inlineStr">
        <is>
          <t>DSP/PEQ</t>
        </is>
      </c>
      <c r="E1569" t="inlineStr">
        <is>
          <t>Non</t>
        </is>
      </c>
      <c r="F1569" t="inlineStr">
        <is>
          <t>https://www.audiophonics.fr/fr/amplificateurs-casque-mobiles/e1da-9038s-gen-3-amplificateur-casque-symetrique-dac-usb-es9038q2m-ad8397-32bit-384khz-dsd256-p-14638.html</t>
        </is>
      </c>
      <c r="G1569" t="inlineStr">
        <is>
          <t>Aucune mention de « DSP/PEQ » dans la source produit consultée (2 source(s) ouverte(s) pour ce produit). Règle retenue le 2026-08-10 : caractéristique non mentionnée = Non.</t>
        </is>
      </c>
      <c r="H1569" t="inlineStr">
        <is>
          <t>2026-08-10</t>
        </is>
      </c>
    </row>
    <row r="1570">
      <c r="A1570" t="n">
        <v>169</v>
      </c>
      <c r="B1570" t="inlineStr">
        <is>
          <t>iBasso</t>
        </is>
      </c>
      <c r="C1570" t="inlineStr">
        <is>
          <t>DC04U Ultra</t>
        </is>
      </c>
      <c r="D1570" t="inlineStr">
        <is>
          <t>Batterie</t>
        </is>
      </c>
      <c r="E1570" t="inlineStr">
        <is>
          <t>Non</t>
        </is>
      </c>
      <c r="F1570" t="inlineStr">
        <is>
          <t>https://www.audiophonics.fr/en/portable-dac-and-mobile/ibasso-dc04u-p-21828.html</t>
        </is>
      </c>
      <c r="G1570" t="inlineStr">
        <is>
          <t>Aucune mention de « Batterie » dans la source produit consultée (1 source(s) ouverte(s) pour ce produit). Règle retenue le 2026-08-10 : caractéristique non mentionnée = Non.</t>
        </is>
      </c>
      <c r="H1570" t="inlineStr">
        <is>
          <t>2026-08-10</t>
        </is>
      </c>
    </row>
    <row r="1571">
      <c r="A1571" t="n">
        <v>170</v>
      </c>
      <c r="B1571" t="inlineStr">
        <is>
          <t>Aiyima</t>
        </is>
      </c>
      <c r="C1571" t="inlineStr">
        <is>
          <t>H4</t>
        </is>
      </c>
      <c r="D1571" t="inlineStr">
        <is>
          <t>Batterie</t>
        </is>
      </c>
      <c r="E1571" t="inlineStr">
        <is>
          <t>Non</t>
        </is>
      </c>
      <c r="F1571" t="inlineStr">
        <is>
          <t>https://www.audiophonics.fr/fr/dac-portables/aiyima-h4-p-21905.html</t>
        </is>
      </c>
      <c r="G1571" t="inlineStr">
        <is>
          <t>Aucune mention de « Batterie » dans la source produit consultée (2 source(s) ouverte(s) pour ce produit). Règle retenue le 2026-08-10 : caractéristique non mentionnée = Non.</t>
        </is>
      </c>
      <c r="H1571" t="inlineStr">
        <is>
          <t>2026-08-10</t>
        </is>
      </c>
    </row>
    <row r="1572">
      <c r="A1572" t="n">
        <v>170</v>
      </c>
      <c r="B1572" t="inlineStr">
        <is>
          <t>Aiyima</t>
        </is>
      </c>
      <c r="C1572" t="inlineStr">
        <is>
          <t>H4</t>
        </is>
      </c>
      <c r="D1572" t="inlineStr">
        <is>
          <t>DSP/PEQ</t>
        </is>
      </c>
      <c r="E1572" t="inlineStr">
        <is>
          <t>Non</t>
        </is>
      </c>
      <c r="F1572" t="inlineStr">
        <is>
          <t>https://www.audiophonics.fr/fr/dac-portables/aiyima-h4-p-21905.html</t>
        </is>
      </c>
      <c r="G1572" t="inlineStr">
        <is>
          <t>Aucune mention de « DSP/PEQ » dans la source produit consultée (2 source(s) ouverte(s) pour ce produit). Règle retenue le 2026-08-10 : caractéristique non mentionnée = Non.</t>
        </is>
      </c>
      <c r="H1572" t="inlineStr">
        <is>
          <t>2026-08-10</t>
        </is>
      </c>
    </row>
    <row r="1573">
      <c r="A1573" t="n">
        <v>171</v>
      </c>
      <c r="B1573" t="inlineStr">
        <is>
          <t>Aune</t>
        </is>
      </c>
      <c r="C1573" t="inlineStr">
        <is>
          <t>Yuki SE</t>
        </is>
      </c>
      <c r="D1573" t="inlineStr">
        <is>
          <t>Batterie</t>
        </is>
      </c>
      <c r="E1573" t="inlineStr">
        <is>
          <t>Non</t>
        </is>
      </c>
      <c r="F1573" t="inlineStr">
        <is>
          <t>https://www.audiophonics.fr/fr/dac-portables/aune-yuki-se-p-19868.html</t>
        </is>
      </c>
      <c r="G1573" t="inlineStr">
        <is>
          <t>Aucune mention de « Batterie » dans la source produit consultée (2 source(s) ouverte(s) pour ce produit). Règle retenue le 2026-08-10 : caractéristique non mentionnée = Non.</t>
        </is>
      </c>
      <c r="H1573" t="inlineStr">
        <is>
          <t>2026-08-10</t>
        </is>
      </c>
    </row>
    <row r="1574">
      <c r="A1574" t="n">
        <v>171</v>
      </c>
      <c r="B1574" t="inlineStr">
        <is>
          <t>Aune</t>
        </is>
      </c>
      <c r="C1574" t="inlineStr">
        <is>
          <t>Yuki SE</t>
        </is>
      </c>
      <c r="D1574" t="inlineStr">
        <is>
          <t>DSP/PEQ</t>
        </is>
      </c>
      <c r="E1574" t="inlineStr">
        <is>
          <t>Non</t>
        </is>
      </c>
      <c r="F1574" t="inlineStr">
        <is>
          <t>https://www.audiophonics.fr/fr/dac-portables/aune-yuki-se-p-19868.html</t>
        </is>
      </c>
      <c r="G1574" t="inlineStr">
        <is>
          <t>Aucune mention de « DSP/PEQ » dans la source produit consultée (2 source(s) ouverte(s) pour ce produit). Règle retenue le 2026-08-10 : caractéristique non mentionnée = Non.</t>
        </is>
      </c>
      <c r="H1574" t="inlineStr">
        <is>
          <t>2026-08-10</t>
        </is>
      </c>
    </row>
    <row r="1575">
      <c r="A1575" t="n">
        <v>172</v>
      </c>
      <c r="B1575" t="inlineStr">
        <is>
          <t>Tanchjim</t>
        </is>
      </c>
      <c r="C1575" t="inlineStr">
        <is>
          <t>Space Pro</t>
        </is>
      </c>
      <c r="D1575" t="inlineStr">
        <is>
          <t>Batterie</t>
        </is>
      </c>
      <c r="E1575" t="inlineStr">
        <is>
          <t>Non</t>
        </is>
      </c>
      <c r="F1575" t="inlineStr">
        <is>
          <t>https://hifigo.com/products/tanchjim-space-pro</t>
        </is>
      </c>
      <c r="G1575" t="inlineStr">
        <is>
          <t>Aucune mention de « Batterie » dans la source produit consultée (2 source(s) ouverte(s) pour ce produit). Règle retenue le 2026-08-10 : caractéristique non mentionnée = Non.</t>
        </is>
      </c>
      <c r="H1575" t="inlineStr">
        <is>
          <t>2026-08-10</t>
        </is>
      </c>
    </row>
    <row r="1576">
      <c r="A1576" t="n">
        <v>174</v>
      </c>
      <c r="B1576" t="inlineStr">
        <is>
          <t>Fosi Audio</t>
        </is>
      </c>
      <c r="C1576" t="inlineStr">
        <is>
          <t>SK02</t>
        </is>
      </c>
      <c r="D1576" t="inlineStr">
        <is>
          <t>DSP/PEQ</t>
        </is>
      </c>
      <c r="E1576" t="inlineStr">
        <is>
          <t>Non</t>
        </is>
      </c>
      <c r="F1576" t="inlineStr">
        <is>
          <t>https://hifigo.com/products/fosi-audio-sk02</t>
        </is>
      </c>
      <c r="G1576" t="inlineStr">
        <is>
          <t>Aucune mention de « DSP/PEQ » dans la source produit consultée (1 source(s) ouverte(s) pour ce produit). Règle retenue le 2026-08-10 : caractéristique non mentionnée = Non.</t>
        </is>
      </c>
      <c r="H1576" t="inlineStr">
        <is>
          <t>2026-08-10</t>
        </is>
      </c>
    </row>
    <row r="1577">
      <c r="A1577" t="n">
        <v>175</v>
      </c>
      <c r="B1577" t="inlineStr">
        <is>
          <t>CrinEar</t>
        </is>
      </c>
      <c r="C1577" t="inlineStr">
        <is>
          <t>Protocol Max</t>
        </is>
      </c>
      <c r="D1577" t="inlineStr">
        <is>
          <t>Batterie</t>
        </is>
      </c>
      <c r="E1577" t="inlineStr">
        <is>
          <t>Non</t>
        </is>
      </c>
      <c r="F1577" t="inlineStr">
        <is>
          <t>https://www.linsoul.com/products/crinear-protocol-max</t>
        </is>
      </c>
      <c r="G1577" t="inlineStr">
        <is>
          <t>Aucune mention de « Batterie » dans la source produit consultée (2 source(s) ouverte(s) pour ce produit). Règle retenue le 2026-08-10 : caractéristique non mentionnée = Non.</t>
        </is>
      </c>
      <c r="H1577" t="inlineStr">
        <is>
          <t>2026-08-10</t>
        </is>
      </c>
    </row>
    <row r="1578">
      <c r="A1578" t="n">
        <v>176</v>
      </c>
      <c r="B1578" t="inlineStr">
        <is>
          <t>ROSESELSA</t>
        </is>
      </c>
      <c r="C1578" t="inlineStr">
        <is>
          <t>RS9029</t>
        </is>
      </c>
      <c r="D1578" t="inlineStr">
        <is>
          <t>Batterie</t>
        </is>
      </c>
      <c r="E1578" t="inlineStr">
        <is>
          <t>Non</t>
        </is>
      </c>
      <c r="F1578" t="inlineStr">
        <is>
          <t>https://www.audiophonics.fr/en/portable-dac-and-mobile/roseselsa-rs9039-p-20739.html</t>
        </is>
      </c>
      <c r="G1578" t="inlineStr">
        <is>
          <t>Aucune mention de « Batterie » dans la source produit consultée (2 source(s) ouverte(s) pour ce produit). Règle retenue le 2026-08-10 : caractéristique non mentionnée = Non.</t>
        </is>
      </c>
      <c r="H1578" t="inlineStr">
        <is>
          <t>2026-08-10</t>
        </is>
      </c>
    </row>
    <row r="1579">
      <c r="A1579" t="n">
        <v>176</v>
      </c>
      <c r="B1579" t="inlineStr">
        <is>
          <t>ROSESELSA</t>
        </is>
      </c>
      <c r="C1579" t="inlineStr">
        <is>
          <t>RS9029</t>
        </is>
      </c>
      <c r="D1579" t="inlineStr">
        <is>
          <t>DSP/PEQ</t>
        </is>
      </c>
      <c r="E1579" t="inlineStr">
        <is>
          <t>Non</t>
        </is>
      </c>
      <c r="F1579" t="inlineStr">
        <is>
          <t>https://www.audiophonics.fr/en/portable-dac-and-mobile/roseselsa-rs9039-p-20739.html</t>
        </is>
      </c>
      <c r="G1579" t="inlineStr">
        <is>
          <t>Aucune mention de « DSP/PEQ » dans la source produit consultée (2 source(s) ouverte(s) pour ce produit). Règle retenue le 2026-08-10 : caractéristique non mentionnée = Non.</t>
        </is>
      </c>
      <c r="H1579" t="inlineStr">
        <is>
          <t>2026-08-10</t>
        </is>
      </c>
    </row>
    <row r="1580">
      <c r="A1580" t="n">
        <v>177</v>
      </c>
      <c r="B1580" t="inlineStr">
        <is>
          <t>iFi audio</t>
        </is>
      </c>
      <c r="C1580" t="inlineStr">
        <is>
          <t>GO Link 2 Max</t>
        </is>
      </c>
      <c r="D1580" t="inlineStr">
        <is>
          <t>Batterie</t>
        </is>
      </c>
      <c r="E1580" t="inlineStr">
        <is>
          <t>Non</t>
        </is>
      </c>
      <c r="F1580" t="inlineStr">
        <is>
          <t>https://ifi-audio.com/products/go-link-2-max</t>
        </is>
      </c>
      <c r="G1580" t="inlineStr">
        <is>
          <t>Aucune mention de « Batterie » dans la source produit consultée (2 source(s) ouverte(s) pour ce produit). Règle retenue le 2026-08-10 : caractéristique non mentionnée = Non.</t>
        </is>
      </c>
      <c r="H1580" t="inlineStr">
        <is>
          <t>2026-08-10</t>
        </is>
      </c>
    </row>
    <row r="1581">
      <c r="A1581" t="n">
        <v>177</v>
      </c>
      <c r="B1581" t="inlineStr">
        <is>
          <t>iFi audio</t>
        </is>
      </c>
      <c r="C1581" t="inlineStr">
        <is>
          <t>GO Link 2 Max</t>
        </is>
      </c>
      <c r="D1581" t="inlineStr">
        <is>
          <t>DSP/PEQ</t>
        </is>
      </c>
      <c r="E1581" t="inlineStr">
        <is>
          <t>Non</t>
        </is>
      </c>
      <c r="F1581" t="inlineStr">
        <is>
          <t>https://ifi-audio.com/products/go-link-2-max</t>
        </is>
      </c>
      <c r="G1581" t="inlineStr">
        <is>
          <t>Aucune mention de « DSP/PEQ » dans la source produit consultée (2 source(s) ouverte(s) pour ce produit). Règle retenue le 2026-08-10 : caractéristique non mentionnée = Non.</t>
        </is>
      </c>
      <c r="H1581" t="inlineStr">
        <is>
          <t>2026-08-10</t>
        </is>
      </c>
    </row>
    <row r="1582">
      <c r="A1582" t="n">
        <v>178</v>
      </c>
      <c r="B1582" t="inlineStr">
        <is>
          <t>Fosi Audio</t>
        </is>
      </c>
      <c r="C1582" t="inlineStr">
        <is>
          <t>DS1</t>
        </is>
      </c>
      <c r="D1582" t="inlineStr">
        <is>
          <t>Batterie</t>
        </is>
      </c>
      <c r="E1582" t="inlineStr">
        <is>
          <t>Non</t>
        </is>
      </c>
      <c r="F1582" t="inlineStr">
        <is>
          <t>https://www.audiophonics.fr/fr/amplificateurs-casque-mobiles/fosi-audio-ds1-amplificateur-casque-dac-portable-2x-es9038q2m-symetrique-32bit-768khz-dsd512-p-16996.html</t>
        </is>
      </c>
      <c r="G1582" t="inlineStr">
        <is>
          <t>Aucune mention de « Batterie » dans la source produit consultée (2 source(s) ouverte(s) pour ce produit). Règle retenue le 2026-08-10 : caractéristique non mentionnée = Non.</t>
        </is>
      </c>
      <c r="H1582" t="inlineStr">
        <is>
          <t>2026-08-10</t>
        </is>
      </c>
    </row>
    <row r="1583">
      <c r="A1583" t="n">
        <v>178</v>
      </c>
      <c r="B1583" t="inlineStr">
        <is>
          <t>Fosi Audio</t>
        </is>
      </c>
      <c r="C1583" t="inlineStr">
        <is>
          <t>DS1</t>
        </is>
      </c>
      <c r="D1583" t="inlineStr">
        <is>
          <t>DSP/PEQ</t>
        </is>
      </c>
      <c r="E1583" t="inlineStr">
        <is>
          <t>Non</t>
        </is>
      </c>
      <c r="F1583" t="inlineStr">
        <is>
          <t>https://www.audiophonics.fr/fr/amplificateurs-casque-mobiles/fosi-audio-ds1-amplificateur-casque-dac-portable-2x-es9038q2m-symetrique-32bit-768khz-dsd512-p-16996.html</t>
        </is>
      </c>
      <c r="G1583" t="inlineStr">
        <is>
          <t>Aucune mention de « DSP/PEQ » dans la source produit consultée (2 source(s) ouverte(s) pour ce produit). Règle retenue le 2026-08-10 : caractéristique non mentionnée = Non.</t>
        </is>
      </c>
      <c r="H1583" t="inlineStr">
        <is>
          <t>2026-08-10</t>
        </is>
      </c>
    </row>
    <row r="1584">
      <c r="A1584" t="n">
        <v>179</v>
      </c>
      <c r="B1584" t="inlineStr">
        <is>
          <t>Tanchjim</t>
        </is>
      </c>
      <c r="C1584" t="inlineStr">
        <is>
          <t>Space</t>
        </is>
      </c>
      <c r="D1584" t="inlineStr">
        <is>
          <t>Batterie</t>
        </is>
      </c>
      <c r="E1584" t="inlineStr">
        <is>
          <t>Non</t>
        </is>
      </c>
      <c r="F1584" t="inlineStr">
        <is>
          <t>https://hifigo.com/products/tanchjim-space</t>
        </is>
      </c>
      <c r="G1584" t="inlineStr">
        <is>
          <t>Aucune mention de « Batterie » dans la source produit consultée (2 source(s) ouverte(s) pour ce produit). Règle retenue le 2026-08-10 : caractéristique non mentionnée = Non.</t>
        </is>
      </c>
      <c r="H1584" t="inlineStr">
        <is>
          <t>2026-08-10</t>
        </is>
      </c>
    </row>
    <row r="1585">
      <c r="A1585" t="n">
        <v>179</v>
      </c>
      <c r="B1585" t="inlineStr">
        <is>
          <t>Tanchjim</t>
        </is>
      </c>
      <c r="C1585" t="inlineStr">
        <is>
          <t>Space</t>
        </is>
      </c>
      <c r="D1585" t="inlineStr">
        <is>
          <t>DSP/PEQ</t>
        </is>
      </c>
      <c r="E1585" t="inlineStr">
        <is>
          <t>Non</t>
        </is>
      </c>
      <c r="F1585" t="inlineStr">
        <is>
          <t>https://hifigo.com/products/tanchjim-space</t>
        </is>
      </c>
      <c r="G1585" t="inlineStr">
        <is>
          <t>Aucune mention de « DSP/PEQ » dans la source produit consultée (2 source(s) ouverte(s) pour ce produit). Règle retenue le 2026-08-10 : caractéristique non mentionnée = Non.</t>
        </is>
      </c>
      <c r="H1585" t="inlineStr">
        <is>
          <t>2026-08-10</t>
        </is>
      </c>
    </row>
    <row r="1586">
      <c r="A1586" t="n">
        <v>115</v>
      </c>
      <c r="B1586" t="inlineStr">
        <is>
          <t>HiBy</t>
        </is>
      </c>
      <c r="C1586" t="inlineStr">
        <is>
          <t>FC4</t>
        </is>
      </c>
      <c r="D1586" t="inlineStr">
        <is>
          <t>DSP/PEQ</t>
        </is>
      </c>
      <c r="E1586" t="inlineStr">
        <is>
          <t>Oui</t>
        </is>
      </c>
      <c r="F1586" t="inlineStr">
        <is>
          <t>https://headfonics.com/hiby-fc4-review/</t>
        </is>
      </c>
      <c r="G1586" t="inlineStr">
        <is>
          <t>Of course, the player has a 10-band equalizer, player skins, a file manager, Tidal login, a lossless USB structure, and all that but the MSEB changes the tonality of the dongle and/or the output of the dongle by means of sliders.</t>
        </is>
      </c>
      <c r="H1586" t="inlineStr">
        <is>
          <t>2026-08-10</t>
        </is>
      </c>
    </row>
    <row r="1587">
      <c r="A1587" t="n">
        <v>128</v>
      </c>
      <c r="B1587" t="inlineStr">
        <is>
          <t>Audirect</t>
        </is>
      </c>
      <c r="C1587" t="inlineStr">
        <is>
          <t>Beam 3 PRO</t>
        </is>
      </c>
      <c r="D1587" t="inlineStr">
        <is>
          <t>Batterie</t>
        </is>
      </c>
      <c r="E1587" t="inlineStr">
        <is>
          <t>Non</t>
        </is>
      </c>
      <c r="F1587" t="inlineStr">
        <is>
          <t>https://headfonics.com/hilidac-audirect-beam-3-pro-review/</t>
        </is>
      </c>
      <c r="G1587" t="inlineStr">
        <is>
          <t>Aucune mention de « Batterie » propre à ce produit dans la source consultée (la seule occurrence trouvée porte sur un autre appareil ou nie la fonction : « While the Tea still has a standard USB input, the Tea also has an option to be used as a Bluetooth DAC, since it has an internal battery. »). Règle : non mentionné = Non.</t>
        </is>
      </c>
      <c r="H1587" t="inlineStr">
        <is>
          <t>2026-08-10</t>
        </is>
      </c>
    </row>
    <row r="1588">
      <c r="A1588" t="n">
        <v>143</v>
      </c>
      <c r="B1588" t="inlineStr">
        <is>
          <t>FiiO</t>
        </is>
      </c>
      <c r="C1588" t="inlineStr">
        <is>
          <t>E10K TC</t>
        </is>
      </c>
      <c r="D1588" t="inlineStr">
        <is>
          <t>Bluetooth</t>
        </is>
      </c>
      <c r="E1588" t="inlineStr">
        <is>
          <t>Non</t>
        </is>
      </c>
      <c r="F1588" t="inlineStr">
        <is>
          <t>https://headfonics.com/fiio-e10k-tc-review/</t>
        </is>
      </c>
      <c r="G1588" t="inlineStr">
        <is>
          <t>Aucune mention de « Bluetooth » propre à ce produit dans la source consultée (la seule occurrence trouvée porte sur un autre appareil ou nie la fonction : « That is a better comparison to a USB-powered DAC/Amp with no LCD screen, software, wireless transmission, or storage capability. »). Règle : non mentionné = Non.</t>
        </is>
      </c>
      <c r="H1588" t="inlineStr">
        <is>
          <t>2026-08-10</t>
        </is>
      </c>
    </row>
    <row r="1589">
      <c r="A1589" t="n">
        <v>147</v>
      </c>
      <c r="B1589" t="inlineStr">
        <is>
          <t>Helm Audio</t>
        </is>
      </c>
      <c r="C1589" t="inlineStr">
        <is>
          <t>Bolt</t>
        </is>
      </c>
      <c r="D1589" t="inlineStr">
        <is>
          <t>Batterie</t>
        </is>
      </c>
      <c r="E1589" t="inlineStr">
        <is>
          <t>Non</t>
        </is>
      </c>
      <c r="F1589" t="inlineStr">
        <is>
          <t>https://headfonics.com/helm-audio-bolt-review/</t>
        </is>
      </c>
      <c r="G1589" t="inlineStr">
        <is>
          <t>Aucune mention de « Batterie » propre à ce produit dans la source consultée (la seule occurrence trouvée porte sur un autre appareil ou nie la fonction : « The rechargeable battery-powered line-driven amplifier had some THX tech in it and plenty of power for on the go scenarios but I stated that it needed a DAC. »). Règle : non mentionné = Non.</t>
        </is>
      </c>
      <c r="H1589" t="inlineStr">
        <is>
          <t>2026-08-10</t>
        </is>
      </c>
    </row>
    <row r="1590">
      <c r="A1590" t="n">
        <v>148</v>
      </c>
      <c r="B1590" t="inlineStr">
        <is>
          <t>Luxury &amp; Precision</t>
        </is>
      </c>
      <c r="C1590" t="inlineStr">
        <is>
          <t>W2</t>
        </is>
      </c>
      <c r="D1590" t="inlineStr">
        <is>
          <t>Bluetooth</t>
        </is>
      </c>
      <c r="E1590" t="inlineStr">
        <is>
          <t>Non</t>
        </is>
      </c>
      <c r="F1590" t="inlineStr">
        <is>
          <t>https://headfonics.com/luxury-precision-w2-review/</t>
        </is>
      </c>
      <c r="G1590" t="inlineStr">
        <is>
          <t>Aucune mention de « Bluetooth » propre à ce produit dans la source consultée (la seule occurrence trouvée porte sur un autre appareil ou nie la fonction : « So it is good to know that w2 is close to a more expensive dap even though a dap consists of other features(battery,andriod,bluetooth etc) for it being more expensive. »). Règle : non mentionné = Non.</t>
        </is>
      </c>
      <c r="H1590" t="inlineStr">
        <is>
          <t>2026-08-10</t>
        </is>
      </c>
    </row>
    <row r="1591">
      <c r="A1591" t="n">
        <v>180</v>
      </c>
      <c r="B1591" t="inlineStr">
        <is>
          <t>Qudelix</t>
        </is>
      </c>
      <c r="C1591" t="inlineStr">
        <is>
          <t>5K</t>
        </is>
      </c>
      <c r="D1591" t="inlineStr">
        <is>
          <t>Batterie</t>
        </is>
      </c>
      <c r="E1591" t="inlineStr">
        <is>
          <t>Oui</t>
        </is>
      </c>
      <c r="F1591" t="inlineStr">
        <is>
          <t>https://www.headphonesty.com/2023/03/review-qudelix-5k/</t>
        </is>
      </c>
      <c r="G1591" t="inlineStr">
        <is>
          <t>Caractéristique Batterie renseignée depuis la source produit consultée.</t>
        </is>
      </c>
      <c r="H1591" t="inlineStr">
        <is>
          <t>2026-08-10</t>
        </is>
      </c>
    </row>
    <row r="1592">
      <c r="A1592" t="n">
        <v>180</v>
      </c>
      <c r="B1592" t="inlineStr">
        <is>
          <t>Qudelix</t>
        </is>
      </c>
      <c r="C1592" t="inlineStr">
        <is>
          <t>5K</t>
        </is>
      </c>
      <c r="D1592" t="inlineStr">
        <is>
          <t>Bluetooth</t>
        </is>
      </c>
      <c r="E1592" t="inlineStr">
        <is>
          <t>Oui</t>
        </is>
      </c>
      <c r="F1592" t="inlineStr">
        <is>
          <t>https://www.headphonesty.com/2023/03/review-qudelix-5k/</t>
        </is>
      </c>
      <c r="G1592" t="inlineStr">
        <is>
          <t>Caractéristique Bluetooth renseignée depuis la source produit consultée.</t>
        </is>
      </c>
      <c r="H1592" t="inlineStr">
        <is>
          <t>2026-08-10</t>
        </is>
      </c>
    </row>
    <row r="1593">
      <c r="A1593" t="n">
        <v>180</v>
      </c>
      <c r="B1593" t="inlineStr">
        <is>
          <t>Qudelix</t>
        </is>
      </c>
      <c r="C1593" t="inlineStr">
        <is>
          <t>5K</t>
        </is>
      </c>
      <c r="D1593" t="inlineStr">
        <is>
          <t>3.5mm</t>
        </is>
      </c>
      <c r="E1593" t="inlineStr">
        <is>
          <t>Oui</t>
        </is>
      </c>
      <c r="F1593" t="inlineStr">
        <is>
          <t>https://www.headphonesty.com/2023/03/review-qudelix-5k/</t>
        </is>
      </c>
      <c r="G1593" t="inlineStr">
        <is>
          <t>Caractéristique 3.5mm renseignée depuis la source produit consultée.</t>
        </is>
      </c>
      <c r="H1593" t="inlineStr">
        <is>
          <t>2026-08-10</t>
        </is>
      </c>
    </row>
    <row r="1594">
      <c r="A1594" t="n">
        <v>180</v>
      </c>
      <c r="B1594" t="inlineStr">
        <is>
          <t>Qudelix</t>
        </is>
      </c>
      <c r="C1594" t="inlineStr">
        <is>
          <t>5K</t>
        </is>
      </c>
      <c r="D1594" t="inlineStr">
        <is>
          <t>4.4mm</t>
        </is>
      </c>
      <c r="E1594" t="inlineStr">
        <is>
          <t>Non</t>
        </is>
      </c>
      <c r="F1594" t="inlineStr">
        <is>
          <t>https://www.headphonesty.com/2023/03/review-qudelix-5k/</t>
        </is>
      </c>
      <c r="G1594" t="inlineStr">
        <is>
          <t>Caractéristique 4.4mm renseignée depuis la source produit consultée.</t>
        </is>
      </c>
      <c r="H1594" t="inlineStr">
        <is>
          <t>2026-08-10</t>
        </is>
      </c>
    </row>
    <row r="1595">
      <c r="A1595" t="n">
        <v>180</v>
      </c>
      <c r="B1595" t="inlineStr">
        <is>
          <t>Qudelix</t>
        </is>
      </c>
      <c r="C1595" t="inlineStr">
        <is>
          <t>5K</t>
        </is>
      </c>
      <c r="D1595" t="inlineStr">
        <is>
          <t>2.5mm</t>
        </is>
      </c>
      <c r="E1595" t="inlineStr">
        <is>
          <t>Oui</t>
        </is>
      </c>
      <c r="F1595" t="inlineStr">
        <is>
          <t>https://www.headphonesty.com/2023/03/review-qudelix-5k/</t>
        </is>
      </c>
      <c r="G1595" t="inlineStr">
        <is>
          <t>Caractéristique 2.5mm renseignée depuis la source produit consultée.</t>
        </is>
      </c>
      <c r="H1595" t="inlineStr">
        <is>
          <t>2026-08-10</t>
        </is>
      </c>
    </row>
    <row r="1596">
      <c r="A1596" t="n">
        <v>180</v>
      </c>
      <c r="B1596" t="inlineStr">
        <is>
          <t>Qudelix</t>
        </is>
      </c>
      <c r="C1596" t="inlineStr">
        <is>
          <t>5K</t>
        </is>
      </c>
      <c r="D1596" t="inlineStr">
        <is>
          <t>6.35mm</t>
        </is>
      </c>
      <c r="E1596" t="inlineStr">
        <is>
          <t>Non</t>
        </is>
      </c>
      <c r="F1596" t="inlineStr">
        <is>
          <t>https://www.headphonesty.com/2023/03/review-qudelix-5k/</t>
        </is>
      </c>
      <c r="G1596" t="inlineStr">
        <is>
          <t>Caractéristique 6.35mm renseignée depuis la source produit consultée.</t>
        </is>
      </c>
      <c r="H1596" t="inlineStr">
        <is>
          <t>2026-08-10</t>
        </is>
      </c>
    </row>
    <row r="1597">
      <c r="A1597" t="n">
        <v>180</v>
      </c>
      <c r="B1597" t="inlineStr">
        <is>
          <t>Qudelix</t>
        </is>
      </c>
      <c r="C1597" t="inlineStr">
        <is>
          <t>5K</t>
        </is>
      </c>
      <c r="D1597" t="inlineStr">
        <is>
          <t>XLR</t>
        </is>
      </c>
      <c r="E1597" t="inlineStr">
        <is>
          <t>Non</t>
        </is>
      </c>
      <c r="F1597" t="inlineStr">
        <is>
          <t>https://www.headphonesty.com/2023/03/review-qudelix-5k/</t>
        </is>
      </c>
      <c r="G1597" t="inlineStr">
        <is>
          <t>Caractéristique XLR renseignée depuis la source produit consultée.</t>
        </is>
      </c>
      <c r="H1597" t="inlineStr">
        <is>
          <t>2026-08-10</t>
        </is>
      </c>
    </row>
    <row r="1598">
      <c r="A1598" t="n">
        <v>180</v>
      </c>
      <c r="B1598" t="inlineStr">
        <is>
          <t>Qudelix</t>
        </is>
      </c>
      <c r="C1598" t="inlineStr">
        <is>
          <t>5K</t>
        </is>
      </c>
      <c r="D1598" t="inlineStr">
        <is>
          <t>DSP/PEQ</t>
        </is>
      </c>
      <c r="E1598" t="inlineStr">
        <is>
          <t>Oui</t>
        </is>
      </c>
      <c r="F1598" t="inlineStr">
        <is>
          <t>https://www.headphonesty.com/2023/03/review-qudelix-5k/</t>
        </is>
      </c>
      <c r="G1598" t="inlineStr">
        <is>
          <t>Caractéristique DSP/PEQ renseignée depuis la source produit consultée.</t>
        </is>
      </c>
      <c r="H1598" t="inlineStr">
        <is>
          <t>2026-08-10</t>
        </is>
      </c>
    </row>
    <row r="1599">
      <c r="A1599" t="n">
        <v>181</v>
      </c>
      <c r="B1599" t="inlineStr">
        <is>
          <t>AudioQuest</t>
        </is>
      </c>
      <c r="C1599" t="inlineStr">
        <is>
          <t>DragonFly Cobalt</t>
        </is>
      </c>
      <c r="D1599" t="inlineStr">
        <is>
          <t>Batterie</t>
        </is>
      </c>
      <c r="E1599" t="inlineStr">
        <is>
          <t>Non</t>
        </is>
      </c>
      <c r="F1599" t="inlineStr">
        <is>
          <t>https://www.headfonia.com/audioquest-dragonfly-cobalt-review/</t>
        </is>
      </c>
      <c r="G1599" t="inlineStr">
        <is>
          <t>Caractéristique Batterie renseignée depuis la source produit consultée.</t>
        </is>
      </c>
      <c r="H1599" t="inlineStr">
        <is>
          <t>2026-08-10</t>
        </is>
      </c>
    </row>
    <row r="1600">
      <c r="A1600" t="n">
        <v>181</v>
      </c>
      <c r="B1600" t="inlineStr">
        <is>
          <t>AudioQuest</t>
        </is>
      </c>
      <c r="C1600" t="inlineStr">
        <is>
          <t>DragonFly Cobalt</t>
        </is>
      </c>
      <c r="D1600" t="inlineStr">
        <is>
          <t>Bluetooth</t>
        </is>
      </c>
      <c r="E1600" t="inlineStr">
        <is>
          <t>Non</t>
        </is>
      </c>
      <c r="F1600" t="inlineStr">
        <is>
          <t>https://www.headfonia.com/audioquest-dragonfly-cobalt-review/</t>
        </is>
      </c>
      <c r="G1600" t="inlineStr">
        <is>
          <t>Caractéristique Bluetooth renseignée depuis la source produit consultée.</t>
        </is>
      </c>
      <c r="H1600" t="inlineStr">
        <is>
          <t>2026-08-10</t>
        </is>
      </c>
    </row>
    <row r="1601">
      <c r="A1601" t="n">
        <v>181</v>
      </c>
      <c r="B1601" t="inlineStr">
        <is>
          <t>AudioQuest</t>
        </is>
      </c>
      <c r="C1601" t="inlineStr">
        <is>
          <t>DragonFly Cobalt</t>
        </is>
      </c>
      <c r="D1601" t="inlineStr">
        <is>
          <t>3.5mm</t>
        </is>
      </c>
      <c r="E1601" t="inlineStr">
        <is>
          <t>Oui</t>
        </is>
      </c>
      <c r="F1601" t="inlineStr">
        <is>
          <t>https://www.headfonia.com/audioquest-dragonfly-cobalt-review/</t>
        </is>
      </c>
      <c r="G1601" t="inlineStr">
        <is>
          <t>Caractéristique 3.5mm renseignée depuis la source produit consultée.</t>
        </is>
      </c>
      <c r="H1601" t="inlineStr">
        <is>
          <t>2026-08-10</t>
        </is>
      </c>
    </row>
    <row r="1602">
      <c r="A1602" t="n">
        <v>181</v>
      </c>
      <c r="B1602" t="inlineStr">
        <is>
          <t>AudioQuest</t>
        </is>
      </c>
      <c r="C1602" t="inlineStr">
        <is>
          <t>DragonFly Cobalt</t>
        </is>
      </c>
      <c r="D1602" t="inlineStr">
        <is>
          <t>4.4mm</t>
        </is>
      </c>
      <c r="E1602" t="inlineStr">
        <is>
          <t>Non</t>
        </is>
      </c>
      <c r="F1602" t="inlineStr">
        <is>
          <t>https://www.headfonia.com/audioquest-dragonfly-cobalt-review/</t>
        </is>
      </c>
      <c r="G1602" t="inlineStr">
        <is>
          <t>Caractéristique 4.4mm renseignée depuis la source produit consultée.</t>
        </is>
      </c>
      <c r="H1602" t="inlineStr">
        <is>
          <t>2026-08-10</t>
        </is>
      </c>
    </row>
    <row r="1603">
      <c r="A1603" t="n">
        <v>181</v>
      </c>
      <c r="B1603" t="inlineStr">
        <is>
          <t>AudioQuest</t>
        </is>
      </c>
      <c r="C1603" t="inlineStr">
        <is>
          <t>DragonFly Cobalt</t>
        </is>
      </c>
      <c r="D1603" t="inlineStr">
        <is>
          <t>2.5mm</t>
        </is>
      </c>
      <c r="E1603" t="inlineStr">
        <is>
          <t>Non</t>
        </is>
      </c>
      <c r="F1603" t="inlineStr">
        <is>
          <t>https://www.headfonia.com/audioquest-dragonfly-cobalt-review/</t>
        </is>
      </c>
      <c r="G1603" t="inlineStr">
        <is>
          <t>Caractéristique 2.5mm renseignée depuis la source produit consultée.</t>
        </is>
      </c>
      <c r="H1603" t="inlineStr">
        <is>
          <t>2026-08-10</t>
        </is>
      </c>
    </row>
    <row r="1604">
      <c r="A1604" t="n">
        <v>181</v>
      </c>
      <c r="B1604" t="inlineStr">
        <is>
          <t>AudioQuest</t>
        </is>
      </c>
      <c r="C1604" t="inlineStr">
        <is>
          <t>DragonFly Cobalt</t>
        </is>
      </c>
      <c r="D1604" t="inlineStr">
        <is>
          <t>6.35mm</t>
        </is>
      </c>
      <c r="E1604" t="inlineStr">
        <is>
          <t>Non</t>
        </is>
      </c>
      <c r="F1604" t="inlineStr">
        <is>
          <t>https://www.headfonia.com/audioquest-dragonfly-cobalt-review/</t>
        </is>
      </c>
      <c r="G1604" t="inlineStr">
        <is>
          <t>Caractéristique 6.35mm renseignée depuis la source produit consultée.</t>
        </is>
      </c>
      <c r="H1604" t="inlineStr">
        <is>
          <t>2026-08-10</t>
        </is>
      </c>
    </row>
    <row r="1605">
      <c r="A1605" t="n">
        <v>181</v>
      </c>
      <c r="B1605" t="inlineStr">
        <is>
          <t>AudioQuest</t>
        </is>
      </c>
      <c r="C1605" t="inlineStr">
        <is>
          <t>DragonFly Cobalt</t>
        </is>
      </c>
      <c r="D1605" t="inlineStr">
        <is>
          <t>XLR</t>
        </is>
      </c>
      <c r="E1605" t="inlineStr">
        <is>
          <t>Non</t>
        </is>
      </c>
      <c r="F1605" t="inlineStr">
        <is>
          <t>https://www.headfonia.com/audioquest-dragonfly-cobalt-review/</t>
        </is>
      </c>
      <c r="G1605" t="inlineStr">
        <is>
          <t>Caractéristique XLR renseignée depuis la source produit consultée.</t>
        </is>
      </c>
      <c r="H1605" t="inlineStr">
        <is>
          <t>2026-08-10</t>
        </is>
      </c>
    </row>
    <row r="1606">
      <c r="A1606" t="n">
        <v>181</v>
      </c>
      <c r="B1606" t="inlineStr">
        <is>
          <t>AudioQuest</t>
        </is>
      </c>
      <c r="C1606" t="inlineStr">
        <is>
          <t>DragonFly Cobalt</t>
        </is>
      </c>
      <c r="D1606" t="inlineStr">
        <is>
          <t>DSP/PEQ</t>
        </is>
      </c>
      <c r="E1606" t="inlineStr">
        <is>
          <t>Non</t>
        </is>
      </c>
      <c r="F1606" t="inlineStr">
        <is>
          <t>https://www.headfonia.com/audioquest-dragonfly-cobalt-review/</t>
        </is>
      </c>
      <c r="G1606" t="inlineStr">
        <is>
          <t>Caractéristique DSP/PEQ renseignée depuis la source produit consultée.</t>
        </is>
      </c>
      <c r="H1606" t="inlineStr">
        <is>
          <t>2026-08-10</t>
        </is>
      </c>
    </row>
    <row r="1607">
      <c r="A1607" t="n">
        <v>182</v>
      </c>
      <c r="B1607" t="inlineStr">
        <is>
          <t>AudioQuest</t>
        </is>
      </c>
      <c r="C1607" t="inlineStr">
        <is>
          <t>DragonFly Red</t>
        </is>
      </c>
      <c r="D1607" t="inlineStr">
        <is>
          <t>Batterie</t>
        </is>
      </c>
      <c r="E1607" t="inlineStr">
        <is>
          <t>Non</t>
        </is>
      </c>
      <c r="F1607" t="inlineStr">
        <is>
          <t>https://www.headfonia.com/review-audioquest-dragonfly-red-black/</t>
        </is>
      </c>
      <c r="G1607" t="inlineStr">
        <is>
          <t>Caractéristique Batterie renseignée depuis la source produit consultée.</t>
        </is>
      </c>
      <c r="H1607" t="inlineStr">
        <is>
          <t>2026-08-10</t>
        </is>
      </c>
    </row>
    <row r="1608">
      <c r="A1608" t="n">
        <v>182</v>
      </c>
      <c r="B1608" t="inlineStr">
        <is>
          <t>AudioQuest</t>
        </is>
      </c>
      <c r="C1608" t="inlineStr">
        <is>
          <t>DragonFly Red</t>
        </is>
      </c>
      <c r="D1608" t="inlineStr">
        <is>
          <t>Bluetooth</t>
        </is>
      </c>
      <c r="E1608" t="inlineStr">
        <is>
          <t>Non</t>
        </is>
      </c>
      <c r="F1608" t="inlineStr">
        <is>
          <t>https://www.headfonia.com/review-audioquest-dragonfly-red-black/</t>
        </is>
      </c>
      <c r="G1608" t="inlineStr">
        <is>
          <t>Caractéristique Bluetooth renseignée depuis la source produit consultée.</t>
        </is>
      </c>
      <c r="H1608" t="inlineStr">
        <is>
          <t>2026-08-10</t>
        </is>
      </c>
    </row>
    <row r="1609">
      <c r="A1609" t="n">
        <v>182</v>
      </c>
      <c r="B1609" t="inlineStr">
        <is>
          <t>AudioQuest</t>
        </is>
      </c>
      <c r="C1609" t="inlineStr">
        <is>
          <t>DragonFly Red</t>
        </is>
      </c>
      <c r="D1609" t="inlineStr">
        <is>
          <t>3.5mm</t>
        </is>
      </c>
      <c r="E1609" t="inlineStr">
        <is>
          <t>Oui</t>
        </is>
      </c>
      <c r="F1609" t="inlineStr">
        <is>
          <t>https://www.headfonia.com/review-audioquest-dragonfly-red-black/</t>
        </is>
      </c>
      <c r="G1609" t="inlineStr">
        <is>
          <t>Caractéristique 3.5mm renseignée depuis la source produit consultée.</t>
        </is>
      </c>
      <c r="H1609" t="inlineStr">
        <is>
          <t>2026-08-10</t>
        </is>
      </c>
    </row>
    <row r="1610">
      <c r="A1610" t="n">
        <v>182</v>
      </c>
      <c r="B1610" t="inlineStr">
        <is>
          <t>AudioQuest</t>
        </is>
      </c>
      <c r="C1610" t="inlineStr">
        <is>
          <t>DragonFly Red</t>
        </is>
      </c>
      <c r="D1610" t="inlineStr">
        <is>
          <t>4.4mm</t>
        </is>
      </c>
      <c r="E1610" t="inlineStr">
        <is>
          <t>Non</t>
        </is>
      </c>
      <c r="F1610" t="inlineStr">
        <is>
          <t>https://www.headfonia.com/review-audioquest-dragonfly-red-black/</t>
        </is>
      </c>
      <c r="G1610" t="inlineStr">
        <is>
          <t>Caractéristique 4.4mm renseignée depuis la source produit consultée.</t>
        </is>
      </c>
      <c r="H1610" t="inlineStr">
        <is>
          <t>2026-08-10</t>
        </is>
      </c>
    </row>
    <row r="1611">
      <c r="A1611" t="n">
        <v>182</v>
      </c>
      <c r="B1611" t="inlineStr">
        <is>
          <t>AudioQuest</t>
        </is>
      </c>
      <c r="C1611" t="inlineStr">
        <is>
          <t>DragonFly Red</t>
        </is>
      </c>
      <c r="D1611" t="inlineStr">
        <is>
          <t>2.5mm</t>
        </is>
      </c>
      <c r="E1611" t="inlineStr">
        <is>
          <t>Non</t>
        </is>
      </c>
      <c r="F1611" t="inlineStr">
        <is>
          <t>https://www.headfonia.com/review-audioquest-dragonfly-red-black/</t>
        </is>
      </c>
      <c r="G1611" t="inlineStr">
        <is>
          <t>Caractéristique 2.5mm renseignée depuis la source produit consultée.</t>
        </is>
      </c>
      <c r="H1611" t="inlineStr">
        <is>
          <t>2026-08-10</t>
        </is>
      </c>
    </row>
    <row r="1612">
      <c r="A1612" t="n">
        <v>182</v>
      </c>
      <c r="B1612" t="inlineStr">
        <is>
          <t>AudioQuest</t>
        </is>
      </c>
      <c r="C1612" t="inlineStr">
        <is>
          <t>DragonFly Red</t>
        </is>
      </c>
      <c r="D1612" t="inlineStr">
        <is>
          <t>6.35mm</t>
        </is>
      </c>
      <c r="E1612" t="inlineStr">
        <is>
          <t>Non</t>
        </is>
      </c>
      <c r="F1612" t="inlineStr">
        <is>
          <t>https://www.headfonia.com/review-audioquest-dragonfly-red-black/</t>
        </is>
      </c>
      <c r="G1612" t="inlineStr">
        <is>
          <t>Caractéristique 6.35mm renseignée depuis la source produit consultée.</t>
        </is>
      </c>
      <c r="H1612" t="inlineStr">
        <is>
          <t>2026-08-10</t>
        </is>
      </c>
    </row>
    <row r="1613">
      <c r="A1613" t="n">
        <v>182</v>
      </c>
      <c r="B1613" t="inlineStr">
        <is>
          <t>AudioQuest</t>
        </is>
      </c>
      <c r="C1613" t="inlineStr">
        <is>
          <t>DragonFly Red</t>
        </is>
      </c>
      <c r="D1613" t="inlineStr">
        <is>
          <t>XLR</t>
        </is>
      </c>
      <c r="E1613" t="inlineStr">
        <is>
          <t>Non</t>
        </is>
      </c>
      <c r="F1613" t="inlineStr">
        <is>
          <t>https://www.headfonia.com/review-audioquest-dragonfly-red-black/</t>
        </is>
      </c>
      <c r="G1613" t="inlineStr">
        <is>
          <t>Caractéristique XLR renseignée depuis la source produit consultée.</t>
        </is>
      </c>
      <c r="H1613" t="inlineStr">
        <is>
          <t>2026-08-10</t>
        </is>
      </c>
    </row>
    <row r="1614">
      <c r="A1614" t="n">
        <v>182</v>
      </c>
      <c r="B1614" t="inlineStr">
        <is>
          <t>AudioQuest</t>
        </is>
      </c>
      <c r="C1614" t="inlineStr">
        <is>
          <t>DragonFly Red</t>
        </is>
      </c>
      <c r="D1614" t="inlineStr">
        <is>
          <t>DSP/PEQ</t>
        </is>
      </c>
      <c r="E1614" t="inlineStr">
        <is>
          <t>Non</t>
        </is>
      </c>
      <c r="F1614" t="inlineStr">
        <is>
          <t>https://www.headfonia.com/review-audioquest-dragonfly-red-black/</t>
        </is>
      </c>
      <c r="G1614" t="inlineStr">
        <is>
          <t>Caractéristique DSP/PEQ renseignée depuis la source produit consultée.</t>
        </is>
      </c>
      <c r="H1614" t="inlineStr">
        <is>
          <t>2026-08-10</t>
        </is>
      </c>
    </row>
    <row r="1615">
      <c r="A1615" t="n">
        <v>183</v>
      </c>
      <c r="B1615" t="inlineStr">
        <is>
          <t>Truthear</t>
        </is>
      </c>
      <c r="C1615" t="inlineStr">
        <is>
          <t>SHIO</t>
        </is>
      </c>
      <c r="D1615" t="inlineStr">
        <is>
          <t>Batterie</t>
        </is>
      </c>
      <c r="E1615" t="inlineStr">
        <is>
          <t>Non</t>
        </is>
      </c>
      <c r="F1615" t="inlineStr">
        <is>
          <t>https://www.headphonesty.com/2023/02/review-truthear-shio/</t>
        </is>
      </c>
      <c r="G1615" t="inlineStr">
        <is>
          <t>Caractéristique Batterie renseignée depuis la source produit consultée.</t>
        </is>
      </c>
      <c r="H1615" t="inlineStr">
        <is>
          <t>2026-08-10</t>
        </is>
      </c>
    </row>
    <row r="1616">
      <c r="A1616" t="n">
        <v>183</v>
      </c>
      <c r="B1616" t="inlineStr">
        <is>
          <t>Truthear</t>
        </is>
      </c>
      <c r="C1616" t="inlineStr">
        <is>
          <t>SHIO</t>
        </is>
      </c>
      <c r="D1616" t="inlineStr">
        <is>
          <t>Bluetooth</t>
        </is>
      </c>
      <c r="E1616" t="inlineStr">
        <is>
          <t>Non</t>
        </is>
      </c>
      <c r="F1616" t="inlineStr">
        <is>
          <t>https://www.headphonesty.com/2023/02/review-truthear-shio/</t>
        </is>
      </c>
      <c r="G1616" t="inlineStr">
        <is>
          <t>Caractéristique Bluetooth renseignée depuis la source produit consultée.</t>
        </is>
      </c>
      <c r="H1616" t="inlineStr">
        <is>
          <t>2026-08-10</t>
        </is>
      </c>
    </row>
    <row r="1617">
      <c r="A1617" t="n">
        <v>183</v>
      </c>
      <c r="B1617" t="inlineStr">
        <is>
          <t>Truthear</t>
        </is>
      </c>
      <c r="C1617" t="inlineStr">
        <is>
          <t>SHIO</t>
        </is>
      </c>
      <c r="D1617" t="inlineStr">
        <is>
          <t>3.5mm</t>
        </is>
      </c>
      <c r="E1617" t="inlineStr">
        <is>
          <t>Oui</t>
        </is>
      </c>
      <c r="F1617" t="inlineStr">
        <is>
          <t>https://www.headphonesty.com/2023/02/review-truthear-shio/</t>
        </is>
      </c>
      <c r="G1617" t="inlineStr">
        <is>
          <t>Caractéristique 3.5mm renseignée depuis la source produit consultée.</t>
        </is>
      </c>
      <c r="H1617" t="inlineStr">
        <is>
          <t>2026-08-10</t>
        </is>
      </c>
    </row>
    <row r="1618">
      <c r="A1618" t="n">
        <v>183</v>
      </c>
      <c r="B1618" t="inlineStr">
        <is>
          <t>Truthear</t>
        </is>
      </c>
      <c r="C1618" t="inlineStr">
        <is>
          <t>SHIO</t>
        </is>
      </c>
      <c r="D1618" t="inlineStr">
        <is>
          <t>4.4mm</t>
        </is>
      </c>
      <c r="E1618" t="inlineStr">
        <is>
          <t>Oui</t>
        </is>
      </c>
      <c r="F1618" t="inlineStr">
        <is>
          <t>https://www.headphonesty.com/2023/02/review-truthear-shio/</t>
        </is>
      </c>
      <c r="G1618" t="inlineStr">
        <is>
          <t>Caractéristique 4.4mm renseignée depuis la source produit consultée.</t>
        </is>
      </c>
      <c r="H1618" t="inlineStr">
        <is>
          <t>2026-08-10</t>
        </is>
      </c>
    </row>
    <row r="1619">
      <c r="A1619" t="n">
        <v>183</v>
      </c>
      <c r="B1619" t="inlineStr">
        <is>
          <t>Truthear</t>
        </is>
      </c>
      <c r="C1619" t="inlineStr">
        <is>
          <t>SHIO</t>
        </is>
      </c>
      <c r="D1619" t="inlineStr">
        <is>
          <t>2.5mm</t>
        </is>
      </c>
      <c r="E1619" t="inlineStr">
        <is>
          <t>Non</t>
        </is>
      </c>
      <c r="F1619" t="inlineStr">
        <is>
          <t>https://www.headphonesty.com/2023/02/review-truthear-shio/</t>
        </is>
      </c>
      <c r="G1619" t="inlineStr">
        <is>
          <t>Caractéristique 2.5mm renseignée depuis la source produit consultée.</t>
        </is>
      </c>
      <c r="H1619" t="inlineStr">
        <is>
          <t>2026-08-10</t>
        </is>
      </c>
    </row>
    <row r="1620">
      <c r="A1620" t="n">
        <v>183</v>
      </c>
      <c r="B1620" t="inlineStr">
        <is>
          <t>Truthear</t>
        </is>
      </c>
      <c r="C1620" t="inlineStr">
        <is>
          <t>SHIO</t>
        </is>
      </c>
      <c r="D1620" t="inlineStr">
        <is>
          <t>6.35mm</t>
        </is>
      </c>
      <c r="E1620" t="inlineStr">
        <is>
          <t>Non</t>
        </is>
      </c>
      <c r="F1620" t="inlineStr">
        <is>
          <t>https://www.headphonesty.com/2023/02/review-truthear-shio/</t>
        </is>
      </c>
      <c r="G1620" t="inlineStr">
        <is>
          <t>Caractéristique 6.35mm renseignée depuis la source produit consultée.</t>
        </is>
      </c>
      <c r="H1620" t="inlineStr">
        <is>
          <t>2026-08-10</t>
        </is>
      </c>
    </row>
    <row r="1621">
      <c r="A1621" t="n">
        <v>183</v>
      </c>
      <c r="B1621" t="inlineStr">
        <is>
          <t>Truthear</t>
        </is>
      </c>
      <c r="C1621" t="inlineStr">
        <is>
          <t>SHIO</t>
        </is>
      </c>
      <c r="D1621" t="inlineStr">
        <is>
          <t>XLR</t>
        </is>
      </c>
      <c r="E1621" t="inlineStr">
        <is>
          <t>Non</t>
        </is>
      </c>
      <c r="F1621" t="inlineStr">
        <is>
          <t>https://www.headphonesty.com/2023/02/review-truthear-shio/</t>
        </is>
      </c>
      <c r="G1621" t="inlineStr">
        <is>
          <t>Caractéristique XLR renseignée depuis la source produit consultée.</t>
        </is>
      </c>
      <c r="H1621" t="inlineStr">
        <is>
          <t>2026-08-10</t>
        </is>
      </c>
    </row>
    <row r="1622">
      <c r="A1622" t="n">
        <v>183</v>
      </c>
      <c r="B1622" t="inlineStr">
        <is>
          <t>Truthear</t>
        </is>
      </c>
      <c r="C1622" t="inlineStr">
        <is>
          <t>SHIO</t>
        </is>
      </c>
      <c r="D1622" t="inlineStr">
        <is>
          <t>DSP/PEQ</t>
        </is>
      </c>
      <c r="E1622" t="inlineStr">
        <is>
          <t>Non</t>
        </is>
      </c>
      <c r="F1622" t="inlineStr">
        <is>
          <t>https://www.headphonesty.com/2023/02/review-truthear-shio/</t>
        </is>
      </c>
      <c r="G1622" t="inlineStr">
        <is>
          <t>Caractéristique DSP/PEQ renseignée depuis la source produit consultée.</t>
        </is>
      </c>
      <c r="H1622" t="inlineStr">
        <is>
          <t>2026-08-10</t>
        </is>
      </c>
    </row>
    <row r="1623">
      <c r="A1623" t="n">
        <v>184</v>
      </c>
      <c r="B1623" t="inlineStr">
        <is>
          <t>Simgot</t>
        </is>
      </c>
      <c r="C1623" t="inlineStr">
        <is>
          <t>Dew4x</t>
        </is>
      </c>
      <c r="D1623" t="inlineStr">
        <is>
          <t>Batterie</t>
        </is>
      </c>
      <c r="E1623" t="inlineStr">
        <is>
          <t>Non</t>
        </is>
      </c>
      <c r="F1623" t="inlineStr">
        <is>
          <t>https://mobileaudiophile.com/dacs/simgot-dew4x-review/</t>
        </is>
      </c>
      <c r="G1623" t="inlineStr">
        <is>
          <t>Caractéristique Batterie renseignée depuis la source produit consultée.</t>
        </is>
      </c>
      <c r="H1623" t="inlineStr">
        <is>
          <t>2026-08-10</t>
        </is>
      </c>
    </row>
    <row r="1624">
      <c r="A1624" t="n">
        <v>184</v>
      </c>
      <c r="B1624" t="inlineStr">
        <is>
          <t>Simgot</t>
        </is>
      </c>
      <c r="C1624" t="inlineStr">
        <is>
          <t>Dew4x</t>
        </is>
      </c>
      <c r="D1624" t="inlineStr">
        <is>
          <t>Bluetooth</t>
        </is>
      </c>
      <c r="E1624" t="inlineStr">
        <is>
          <t>Non</t>
        </is>
      </c>
      <c r="F1624" t="inlineStr">
        <is>
          <t>https://mobileaudiophile.com/dacs/simgot-dew4x-review/</t>
        </is>
      </c>
      <c r="G1624" t="inlineStr">
        <is>
          <t>Caractéristique Bluetooth renseignée depuis la source produit consultée.</t>
        </is>
      </c>
      <c r="H1624" t="inlineStr">
        <is>
          <t>2026-08-10</t>
        </is>
      </c>
    </row>
    <row r="1625">
      <c r="A1625" t="n">
        <v>184</v>
      </c>
      <c r="B1625" t="inlineStr">
        <is>
          <t>Simgot</t>
        </is>
      </c>
      <c r="C1625" t="inlineStr">
        <is>
          <t>Dew4x</t>
        </is>
      </c>
      <c r="D1625" t="inlineStr">
        <is>
          <t>3.5mm</t>
        </is>
      </c>
      <c r="E1625" t="inlineStr">
        <is>
          <t>Oui</t>
        </is>
      </c>
      <c r="F1625" t="inlineStr">
        <is>
          <t>https://mobileaudiophile.com/dacs/simgot-dew4x-review/</t>
        </is>
      </c>
      <c r="G1625" t="inlineStr">
        <is>
          <t>Caractéristique 3.5mm renseignée depuis la source produit consultée.</t>
        </is>
      </c>
      <c r="H1625" t="inlineStr">
        <is>
          <t>2026-08-10</t>
        </is>
      </c>
    </row>
    <row r="1626">
      <c r="A1626" t="n">
        <v>184</v>
      </c>
      <c r="B1626" t="inlineStr">
        <is>
          <t>Simgot</t>
        </is>
      </c>
      <c r="C1626" t="inlineStr">
        <is>
          <t>Dew4x</t>
        </is>
      </c>
      <c r="D1626" t="inlineStr">
        <is>
          <t>4.4mm</t>
        </is>
      </c>
      <c r="E1626" t="inlineStr">
        <is>
          <t>Oui</t>
        </is>
      </c>
      <c r="F1626" t="inlineStr">
        <is>
          <t>https://mobileaudiophile.com/dacs/simgot-dew4x-review/</t>
        </is>
      </c>
      <c r="G1626" t="inlineStr">
        <is>
          <t>Caractéristique 4.4mm renseignée depuis la source produit consultée.</t>
        </is>
      </c>
      <c r="H1626" t="inlineStr">
        <is>
          <t>2026-08-10</t>
        </is>
      </c>
    </row>
    <row r="1627">
      <c r="A1627" t="n">
        <v>184</v>
      </c>
      <c r="B1627" t="inlineStr">
        <is>
          <t>Simgot</t>
        </is>
      </c>
      <c r="C1627" t="inlineStr">
        <is>
          <t>Dew4x</t>
        </is>
      </c>
      <c r="D1627" t="inlineStr">
        <is>
          <t>2.5mm</t>
        </is>
      </c>
      <c r="E1627" t="inlineStr">
        <is>
          <t>Non</t>
        </is>
      </c>
      <c r="F1627" t="inlineStr">
        <is>
          <t>https://mobileaudiophile.com/dacs/simgot-dew4x-review/</t>
        </is>
      </c>
      <c r="G1627" t="inlineStr">
        <is>
          <t>Caractéristique 2.5mm renseignée depuis la source produit consultée.</t>
        </is>
      </c>
      <c r="H1627" t="inlineStr">
        <is>
          <t>2026-08-10</t>
        </is>
      </c>
    </row>
    <row r="1628">
      <c r="A1628" t="n">
        <v>184</v>
      </c>
      <c r="B1628" t="inlineStr">
        <is>
          <t>Simgot</t>
        </is>
      </c>
      <c r="C1628" t="inlineStr">
        <is>
          <t>Dew4x</t>
        </is>
      </c>
      <c r="D1628" t="inlineStr">
        <is>
          <t>6.35mm</t>
        </is>
      </c>
      <c r="E1628" t="inlineStr">
        <is>
          <t>Non</t>
        </is>
      </c>
      <c r="F1628" t="inlineStr">
        <is>
          <t>https://mobileaudiophile.com/dacs/simgot-dew4x-review/</t>
        </is>
      </c>
      <c r="G1628" t="inlineStr">
        <is>
          <t>Caractéristique 6.35mm renseignée depuis la source produit consultée.</t>
        </is>
      </c>
      <c r="H1628" t="inlineStr">
        <is>
          <t>2026-08-10</t>
        </is>
      </c>
    </row>
    <row r="1629">
      <c r="A1629" t="n">
        <v>184</v>
      </c>
      <c r="B1629" t="inlineStr">
        <is>
          <t>Simgot</t>
        </is>
      </c>
      <c r="C1629" t="inlineStr">
        <is>
          <t>Dew4x</t>
        </is>
      </c>
      <c r="D1629" t="inlineStr">
        <is>
          <t>XLR</t>
        </is>
      </c>
      <c r="E1629" t="inlineStr">
        <is>
          <t>Non</t>
        </is>
      </c>
      <c r="F1629" t="inlineStr">
        <is>
          <t>https://mobileaudiophile.com/dacs/simgot-dew4x-review/</t>
        </is>
      </c>
      <c r="G1629" t="inlineStr">
        <is>
          <t>Caractéristique XLR renseignée depuis la source produit consultée.</t>
        </is>
      </c>
      <c r="H1629" t="inlineStr">
        <is>
          <t>2026-08-10</t>
        </is>
      </c>
    </row>
    <row r="1630">
      <c r="A1630" t="n">
        <v>184</v>
      </c>
      <c r="B1630" t="inlineStr">
        <is>
          <t>Simgot</t>
        </is>
      </c>
      <c r="C1630" t="inlineStr">
        <is>
          <t>Dew4x</t>
        </is>
      </c>
      <c r="D1630" t="inlineStr">
        <is>
          <t>DSP/PEQ</t>
        </is>
      </c>
      <c r="E1630" t="inlineStr">
        <is>
          <t>Non</t>
        </is>
      </c>
      <c r="F1630" t="inlineStr">
        <is>
          <t>https://mobileaudiophile.com/dacs/simgot-dew4x-review/</t>
        </is>
      </c>
      <c r="G1630" t="inlineStr">
        <is>
          <t>Caractéristique DSP/PEQ renseignée depuis la source produit consultée.</t>
        </is>
      </c>
      <c r="H1630" t="inlineStr">
        <is>
          <t>2026-08-10</t>
        </is>
      </c>
    </row>
    <row r="1631">
      <c r="A1631" t="n">
        <v>185</v>
      </c>
      <c r="B1631" t="inlineStr">
        <is>
          <t>iBasso</t>
        </is>
      </c>
      <c r="C1631" t="inlineStr">
        <is>
          <t>DC01</t>
        </is>
      </c>
      <c r="D1631" t="inlineStr">
        <is>
          <t>Batterie</t>
        </is>
      </c>
      <c r="E1631" t="inlineStr">
        <is>
          <t>Non</t>
        </is>
      </c>
      <c r="F1631" t="inlineStr">
        <is>
          <t>https://www.headfonia.com/ibasso-dc01-first-look-sunday/</t>
        </is>
      </c>
      <c r="G1631" t="inlineStr">
        <is>
          <t>Caractéristique Batterie renseignée depuis la source produit consultée.</t>
        </is>
      </c>
      <c r="H1631" t="inlineStr">
        <is>
          <t>2026-08-10</t>
        </is>
      </c>
    </row>
    <row r="1632">
      <c r="A1632" t="n">
        <v>185</v>
      </c>
      <c r="B1632" t="inlineStr">
        <is>
          <t>iBasso</t>
        </is>
      </c>
      <c r="C1632" t="inlineStr">
        <is>
          <t>DC01</t>
        </is>
      </c>
      <c r="D1632" t="inlineStr">
        <is>
          <t>Bluetooth</t>
        </is>
      </c>
      <c r="E1632" t="inlineStr">
        <is>
          <t>Non</t>
        </is>
      </c>
      <c r="F1632" t="inlineStr">
        <is>
          <t>https://www.headfonia.com/ibasso-dc01-first-look-sunday/</t>
        </is>
      </c>
      <c r="G1632" t="inlineStr">
        <is>
          <t>Caractéristique Bluetooth renseignée depuis la source produit consultée.</t>
        </is>
      </c>
      <c r="H1632" t="inlineStr">
        <is>
          <t>2026-08-10</t>
        </is>
      </c>
    </row>
    <row r="1633">
      <c r="A1633" t="n">
        <v>185</v>
      </c>
      <c r="B1633" t="inlineStr">
        <is>
          <t>iBasso</t>
        </is>
      </c>
      <c r="C1633" t="inlineStr">
        <is>
          <t>DC01</t>
        </is>
      </c>
      <c r="D1633" t="inlineStr">
        <is>
          <t>3.5mm</t>
        </is>
      </c>
      <c r="E1633" t="inlineStr">
        <is>
          <t>Non</t>
        </is>
      </c>
      <c r="F1633" t="inlineStr">
        <is>
          <t>https://www.headfonia.com/ibasso-dc01-first-look-sunday/</t>
        </is>
      </c>
      <c r="G1633" t="inlineStr">
        <is>
          <t>Caractéristique 3.5mm renseignée depuis la source produit consultée.</t>
        </is>
      </c>
      <c r="H1633" t="inlineStr">
        <is>
          <t>2026-08-10</t>
        </is>
      </c>
    </row>
    <row r="1634">
      <c r="A1634" t="n">
        <v>185</v>
      </c>
      <c r="B1634" t="inlineStr">
        <is>
          <t>iBasso</t>
        </is>
      </c>
      <c r="C1634" t="inlineStr">
        <is>
          <t>DC01</t>
        </is>
      </c>
      <c r="D1634" t="inlineStr">
        <is>
          <t>4.4mm</t>
        </is>
      </c>
      <c r="E1634" t="inlineStr">
        <is>
          <t>Non</t>
        </is>
      </c>
      <c r="F1634" t="inlineStr">
        <is>
          <t>https://www.headfonia.com/ibasso-dc01-first-look-sunday/</t>
        </is>
      </c>
      <c r="G1634" t="inlineStr">
        <is>
          <t>Caractéristique 4.4mm renseignée depuis la source produit consultée.</t>
        </is>
      </c>
      <c r="H1634" t="inlineStr">
        <is>
          <t>2026-08-10</t>
        </is>
      </c>
    </row>
    <row r="1635">
      <c r="A1635" t="n">
        <v>185</v>
      </c>
      <c r="B1635" t="inlineStr">
        <is>
          <t>iBasso</t>
        </is>
      </c>
      <c r="C1635" t="inlineStr">
        <is>
          <t>DC01</t>
        </is>
      </c>
      <c r="D1635" t="inlineStr">
        <is>
          <t>2.5mm</t>
        </is>
      </c>
      <c r="E1635" t="inlineStr">
        <is>
          <t>Oui</t>
        </is>
      </c>
      <c r="F1635" t="inlineStr">
        <is>
          <t>https://www.headfonia.com/ibasso-dc01-first-look-sunday/</t>
        </is>
      </c>
      <c r="G1635" t="inlineStr">
        <is>
          <t>Caractéristique 2.5mm renseignée depuis la source produit consultée.</t>
        </is>
      </c>
      <c r="H1635" t="inlineStr">
        <is>
          <t>2026-08-10</t>
        </is>
      </c>
    </row>
    <row r="1636">
      <c r="A1636" t="n">
        <v>185</v>
      </c>
      <c r="B1636" t="inlineStr">
        <is>
          <t>iBasso</t>
        </is>
      </c>
      <c r="C1636" t="inlineStr">
        <is>
          <t>DC01</t>
        </is>
      </c>
      <c r="D1636" t="inlineStr">
        <is>
          <t>6.35mm</t>
        </is>
      </c>
      <c r="E1636" t="inlineStr">
        <is>
          <t>Non</t>
        </is>
      </c>
      <c r="F1636" t="inlineStr">
        <is>
          <t>https://www.headfonia.com/ibasso-dc01-first-look-sunday/</t>
        </is>
      </c>
      <c r="G1636" t="inlineStr">
        <is>
          <t>Caractéristique 6.35mm renseignée depuis la source produit consultée.</t>
        </is>
      </c>
      <c r="H1636" t="inlineStr">
        <is>
          <t>2026-08-10</t>
        </is>
      </c>
    </row>
    <row r="1637">
      <c r="A1637" t="n">
        <v>185</v>
      </c>
      <c r="B1637" t="inlineStr">
        <is>
          <t>iBasso</t>
        </is>
      </c>
      <c r="C1637" t="inlineStr">
        <is>
          <t>DC01</t>
        </is>
      </c>
      <c r="D1637" t="inlineStr">
        <is>
          <t>XLR</t>
        </is>
      </c>
      <c r="E1637" t="inlineStr">
        <is>
          <t>Non</t>
        </is>
      </c>
      <c r="F1637" t="inlineStr">
        <is>
          <t>https://www.headfonia.com/ibasso-dc01-first-look-sunday/</t>
        </is>
      </c>
      <c r="G1637" t="inlineStr">
        <is>
          <t>Caractéristique XLR renseignée depuis la source produit consultée.</t>
        </is>
      </c>
      <c r="H1637" t="inlineStr">
        <is>
          <t>2026-08-10</t>
        </is>
      </c>
    </row>
    <row r="1638">
      <c r="A1638" t="n">
        <v>185</v>
      </c>
      <c r="B1638" t="inlineStr">
        <is>
          <t>iBasso</t>
        </is>
      </c>
      <c r="C1638" t="inlineStr">
        <is>
          <t>DC01</t>
        </is>
      </c>
      <c r="D1638" t="inlineStr">
        <is>
          <t>DSP/PEQ</t>
        </is>
      </c>
      <c r="E1638" t="inlineStr">
        <is>
          <t>Non</t>
        </is>
      </c>
      <c r="F1638" t="inlineStr">
        <is>
          <t>https://www.headfonia.com/ibasso-dc01-first-look-sunday/</t>
        </is>
      </c>
      <c r="G1638" t="inlineStr">
        <is>
          <t>Caractéristique DSP/PEQ renseignée depuis la source produit consultée.</t>
        </is>
      </c>
      <c r="H1638" t="inlineStr">
        <is>
          <t>2026-08-10</t>
        </is>
      </c>
    </row>
    <row r="1639">
      <c r="A1639" t="n">
        <v>186</v>
      </c>
      <c r="B1639" t="inlineStr">
        <is>
          <t>Kiwi Ears</t>
        </is>
      </c>
      <c r="C1639" t="inlineStr">
        <is>
          <t>Allegro Pro</t>
        </is>
      </c>
      <c r="D1639" t="inlineStr">
        <is>
          <t>Batterie</t>
        </is>
      </c>
      <c r="E1639" t="inlineStr">
        <is>
          <t>Non</t>
        </is>
      </c>
      <c r="F1639" t="inlineStr">
        <is>
          <t>https://kiwiears.com/products/kiwi-ears-allegro-pro</t>
        </is>
      </c>
      <c r="G1639" t="inlineStr">
        <is>
          <t>Caractéristique Batterie renseignée depuis la source produit consultée.</t>
        </is>
      </c>
      <c r="H1639" t="inlineStr">
        <is>
          <t>2026-08-10</t>
        </is>
      </c>
    </row>
    <row r="1640">
      <c r="A1640" t="n">
        <v>186</v>
      </c>
      <c r="B1640" t="inlineStr">
        <is>
          <t>Kiwi Ears</t>
        </is>
      </c>
      <c r="C1640" t="inlineStr">
        <is>
          <t>Allegro Pro</t>
        </is>
      </c>
      <c r="D1640" t="inlineStr">
        <is>
          <t>Bluetooth</t>
        </is>
      </c>
      <c r="E1640" t="inlineStr">
        <is>
          <t>Non</t>
        </is>
      </c>
      <c r="F1640" t="inlineStr">
        <is>
          <t>https://kiwiears.com/products/kiwi-ears-allegro-pro</t>
        </is>
      </c>
      <c r="G1640" t="inlineStr">
        <is>
          <t>Caractéristique Bluetooth renseignée depuis la source produit consultée.</t>
        </is>
      </c>
      <c r="H1640" t="inlineStr">
        <is>
          <t>2026-08-10</t>
        </is>
      </c>
    </row>
    <row r="1641">
      <c r="A1641" t="n">
        <v>186</v>
      </c>
      <c r="B1641" t="inlineStr">
        <is>
          <t>Kiwi Ears</t>
        </is>
      </c>
      <c r="C1641" t="inlineStr">
        <is>
          <t>Allegro Pro</t>
        </is>
      </c>
      <c r="D1641" t="inlineStr">
        <is>
          <t>3.5mm</t>
        </is>
      </c>
      <c r="E1641" t="inlineStr">
        <is>
          <t>Oui</t>
        </is>
      </c>
      <c r="F1641" t="inlineStr">
        <is>
          <t>https://kiwiears.com/products/kiwi-ears-allegro-pro</t>
        </is>
      </c>
      <c r="G1641" t="inlineStr">
        <is>
          <t>Caractéristique 3.5mm renseignée depuis la source produit consultée.</t>
        </is>
      </c>
      <c r="H1641" t="inlineStr">
        <is>
          <t>2026-08-10</t>
        </is>
      </c>
    </row>
    <row r="1642">
      <c r="A1642" t="n">
        <v>186</v>
      </c>
      <c r="B1642" t="inlineStr">
        <is>
          <t>Kiwi Ears</t>
        </is>
      </c>
      <c r="C1642" t="inlineStr">
        <is>
          <t>Allegro Pro</t>
        </is>
      </c>
      <c r="D1642" t="inlineStr">
        <is>
          <t>4.4mm</t>
        </is>
      </c>
      <c r="E1642" t="inlineStr">
        <is>
          <t>Oui</t>
        </is>
      </c>
      <c r="F1642" t="inlineStr">
        <is>
          <t>https://kiwiears.com/products/kiwi-ears-allegro-pro</t>
        </is>
      </c>
      <c r="G1642" t="inlineStr">
        <is>
          <t>Caractéristique 4.4mm renseignée depuis la source produit consultée.</t>
        </is>
      </c>
      <c r="H1642" t="inlineStr">
        <is>
          <t>2026-08-10</t>
        </is>
      </c>
    </row>
    <row r="1643">
      <c r="A1643" t="n">
        <v>186</v>
      </c>
      <c r="B1643" t="inlineStr">
        <is>
          <t>Kiwi Ears</t>
        </is>
      </c>
      <c r="C1643" t="inlineStr">
        <is>
          <t>Allegro Pro</t>
        </is>
      </c>
      <c r="D1643" t="inlineStr">
        <is>
          <t>2.5mm</t>
        </is>
      </c>
      <c r="E1643" t="inlineStr">
        <is>
          <t>Non</t>
        </is>
      </c>
      <c r="F1643" t="inlineStr">
        <is>
          <t>https://kiwiears.com/products/kiwi-ears-allegro-pro</t>
        </is>
      </c>
      <c r="G1643" t="inlineStr">
        <is>
          <t>Caractéristique 2.5mm renseignée depuis la source produit consultée.</t>
        </is>
      </c>
      <c r="H1643" t="inlineStr">
        <is>
          <t>2026-08-10</t>
        </is>
      </c>
    </row>
    <row r="1644">
      <c r="A1644" t="n">
        <v>186</v>
      </c>
      <c r="B1644" t="inlineStr">
        <is>
          <t>Kiwi Ears</t>
        </is>
      </c>
      <c r="C1644" t="inlineStr">
        <is>
          <t>Allegro Pro</t>
        </is>
      </c>
      <c r="D1644" t="inlineStr">
        <is>
          <t>6.35mm</t>
        </is>
      </c>
      <c r="E1644" t="inlineStr">
        <is>
          <t>Non</t>
        </is>
      </c>
      <c r="F1644" t="inlineStr">
        <is>
          <t>https://kiwiears.com/products/kiwi-ears-allegro-pro</t>
        </is>
      </c>
      <c r="G1644" t="inlineStr">
        <is>
          <t>Caractéristique 6.35mm renseignée depuis la source produit consultée.</t>
        </is>
      </c>
      <c r="H1644" t="inlineStr">
        <is>
          <t>2026-08-10</t>
        </is>
      </c>
    </row>
    <row r="1645">
      <c r="A1645" t="n">
        <v>186</v>
      </c>
      <c r="B1645" t="inlineStr">
        <is>
          <t>Kiwi Ears</t>
        </is>
      </c>
      <c r="C1645" t="inlineStr">
        <is>
          <t>Allegro Pro</t>
        </is>
      </c>
      <c r="D1645" t="inlineStr">
        <is>
          <t>XLR</t>
        </is>
      </c>
      <c r="E1645" t="inlineStr">
        <is>
          <t>Non</t>
        </is>
      </c>
      <c r="F1645" t="inlineStr">
        <is>
          <t>https://kiwiears.com/products/kiwi-ears-allegro-pro</t>
        </is>
      </c>
      <c r="G1645" t="inlineStr">
        <is>
          <t>Caractéristique XLR renseignée depuis la source produit consultée.</t>
        </is>
      </c>
      <c r="H1645" t="inlineStr">
        <is>
          <t>2026-08-10</t>
        </is>
      </c>
    </row>
    <row r="1646">
      <c r="A1646" t="n">
        <v>186</v>
      </c>
      <c r="B1646" t="inlineStr">
        <is>
          <t>Kiwi Ears</t>
        </is>
      </c>
      <c r="C1646" t="inlineStr">
        <is>
          <t>Allegro Pro</t>
        </is>
      </c>
      <c r="D1646" t="inlineStr">
        <is>
          <t>DSP/PEQ</t>
        </is>
      </c>
      <c r="E1646" t="inlineStr">
        <is>
          <t>Oui</t>
        </is>
      </c>
      <c r="F1646" t="inlineStr">
        <is>
          <t>https://kiwiears.com/products/kiwi-ears-allegro-pro</t>
        </is>
      </c>
      <c r="G1646" t="inlineStr">
        <is>
          <t>Caractéristique DSP/PEQ renseignée depuis la source produit consultée.</t>
        </is>
      </c>
      <c r="H1646" t="inlineStr">
        <is>
          <t>2026-08-10</t>
        </is>
      </c>
    </row>
    <row r="1647">
      <c r="A1647" t="n">
        <v>187</v>
      </c>
      <c r="B1647" t="inlineStr">
        <is>
          <t>EPZ</t>
        </is>
      </c>
      <c r="C1647" t="inlineStr">
        <is>
          <t>TP35 Pro</t>
        </is>
      </c>
      <c r="D1647" t="inlineStr">
        <is>
          <t>Batterie</t>
        </is>
      </c>
      <c r="E1647" t="inlineStr">
        <is>
          <t>Non</t>
        </is>
      </c>
      <c r="F1647" t="inlineStr">
        <is>
          <t>https://mobileaudiophile.com/dacs/dongle/epz-tp35-pro-review/</t>
        </is>
      </c>
      <c r="G1647" t="inlineStr">
        <is>
          <t>Caractéristique Batterie renseignée depuis la source produit consultée.</t>
        </is>
      </c>
      <c r="H1647" t="inlineStr">
        <is>
          <t>2026-08-10</t>
        </is>
      </c>
    </row>
    <row r="1648">
      <c r="A1648" t="n">
        <v>187</v>
      </c>
      <c r="B1648" t="inlineStr">
        <is>
          <t>EPZ</t>
        </is>
      </c>
      <c r="C1648" t="inlineStr">
        <is>
          <t>TP35 Pro</t>
        </is>
      </c>
      <c r="D1648" t="inlineStr">
        <is>
          <t>Bluetooth</t>
        </is>
      </c>
      <c r="E1648" t="inlineStr">
        <is>
          <t>Non</t>
        </is>
      </c>
      <c r="F1648" t="inlineStr">
        <is>
          <t>https://mobileaudiophile.com/dacs/dongle/epz-tp35-pro-review/</t>
        </is>
      </c>
      <c r="G1648" t="inlineStr">
        <is>
          <t>Caractéristique Bluetooth renseignée depuis la source produit consultée.</t>
        </is>
      </c>
      <c r="H1648" t="inlineStr">
        <is>
          <t>2026-08-10</t>
        </is>
      </c>
    </row>
    <row r="1649">
      <c r="A1649" t="n">
        <v>187</v>
      </c>
      <c r="B1649" t="inlineStr">
        <is>
          <t>EPZ</t>
        </is>
      </c>
      <c r="C1649" t="inlineStr">
        <is>
          <t>TP35 Pro</t>
        </is>
      </c>
      <c r="D1649" t="inlineStr">
        <is>
          <t>3.5mm</t>
        </is>
      </c>
      <c r="E1649" t="inlineStr">
        <is>
          <t>Oui</t>
        </is>
      </c>
      <c r="F1649" t="inlineStr">
        <is>
          <t>https://mobileaudiophile.com/dacs/dongle/epz-tp35-pro-review/</t>
        </is>
      </c>
      <c r="G1649" t="inlineStr">
        <is>
          <t>Caractéristique 3.5mm renseignée depuis la source produit consultée.</t>
        </is>
      </c>
      <c r="H1649" t="inlineStr">
        <is>
          <t>2026-08-10</t>
        </is>
      </c>
    </row>
    <row r="1650">
      <c r="A1650" t="n">
        <v>187</v>
      </c>
      <c r="B1650" t="inlineStr">
        <is>
          <t>EPZ</t>
        </is>
      </c>
      <c r="C1650" t="inlineStr">
        <is>
          <t>TP35 Pro</t>
        </is>
      </c>
      <c r="D1650" t="inlineStr">
        <is>
          <t>4.4mm</t>
        </is>
      </c>
      <c r="E1650" t="inlineStr">
        <is>
          <t>Oui</t>
        </is>
      </c>
      <c r="F1650" t="inlineStr">
        <is>
          <t>https://mobileaudiophile.com/dacs/dongle/epz-tp35-pro-review/</t>
        </is>
      </c>
      <c r="G1650" t="inlineStr">
        <is>
          <t>Caractéristique 4.4mm renseignée depuis la source produit consultée.</t>
        </is>
      </c>
      <c r="H1650" t="inlineStr">
        <is>
          <t>2026-08-10</t>
        </is>
      </c>
    </row>
    <row r="1651">
      <c r="A1651" t="n">
        <v>187</v>
      </c>
      <c r="B1651" t="inlineStr">
        <is>
          <t>EPZ</t>
        </is>
      </c>
      <c r="C1651" t="inlineStr">
        <is>
          <t>TP35 Pro</t>
        </is>
      </c>
      <c r="D1651" t="inlineStr">
        <is>
          <t>2.5mm</t>
        </is>
      </c>
      <c r="E1651" t="inlineStr">
        <is>
          <t>Non</t>
        </is>
      </c>
      <c r="F1651" t="inlineStr">
        <is>
          <t>https://mobileaudiophile.com/dacs/dongle/epz-tp35-pro-review/</t>
        </is>
      </c>
      <c r="G1651" t="inlineStr">
        <is>
          <t>Caractéristique 2.5mm renseignée depuis la source produit consultée.</t>
        </is>
      </c>
      <c r="H1651" t="inlineStr">
        <is>
          <t>2026-08-10</t>
        </is>
      </c>
    </row>
    <row r="1652">
      <c r="A1652" t="n">
        <v>187</v>
      </c>
      <c r="B1652" t="inlineStr">
        <is>
          <t>EPZ</t>
        </is>
      </c>
      <c r="C1652" t="inlineStr">
        <is>
          <t>TP35 Pro</t>
        </is>
      </c>
      <c r="D1652" t="inlineStr">
        <is>
          <t>6.35mm</t>
        </is>
      </c>
      <c r="E1652" t="inlineStr">
        <is>
          <t>Non</t>
        </is>
      </c>
      <c r="F1652" t="inlineStr">
        <is>
          <t>https://mobileaudiophile.com/dacs/dongle/epz-tp35-pro-review/</t>
        </is>
      </c>
      <c r="G1652" t="inlineStr">
        <is>
          <t>Caractéristique 6.35mm renseignée depuis la source produit consultée.</t>
        </is>
      </c>
      <c r="H1652" t="inlineStr">
        <is>
          <t>2026-08-10</t>
        </is>
      </c>
    </row>
    <row r="1653">
      <c r="A1653" t="n">
        <v>187</v>
      </c>
      <c r="B1653" t="inlineStr">
        <is>
          <t>EPZ</t>
        </is>
      </c>
      <c r="C1653" t="inlineStr">
        <is>
          <t>TP35 Pro</t>
        </is>
      </c>
      <c r="D1653" t="inlineStr">
        <is>
          <t>XLR</t>
        </is>
      </c>
      <c r="E1653" t="inlineStr">
        <is>
          <t>Non</t>
        </is>
      </c>
      <c r="F1653" t="inlineStr">
        <is>
          <t>https://mobileaudiophile.com/dacs/dongle/epz-tp35-pro-review/</t>
        </is>
      </c>
      <c r="G1653" t="inlineStr">
        <is>
          <t>Caractéristique XLR renseignée depuis la source produit consultée.</t>
        </is>
      </c>
      <c r="H1653" t="inlineStr">
        <is>
          <t>2026-08-10</t>
        </is>
      </c>
    </row>
    <row r="1654">
      <c r="A1654" t="n">
        <v>187</v>
      </c>
      <c r="B1654" t="inlineStr">
        <is>
          <t>EPZ</t>
        </is>
      </c>
      <c r="C1654" t="inlineStr">
        <is>
          <t>TP35 Pro</t>
        </is>
      </c>
      <c r="D1654" t="inlineStr">
        <is>
          <t>DSP/PEQ</t>
        </is>
      </c>
      <c r="E1654" t="inlineStr">
        <is>
          <t>Oui</t>
        </is>
      </c>
      <c r="F1654" t="inlineStr">
        <is>
          <t>https://mobileaudiophile.com/dacs/dongle/epz-tp35-pro-review/</t>
        </is>
      </c>
      <c r="G1654" t="inlineStr">
        <is>
          <t>Caractéristique DSP/PEQ renseignée depuis la source produit consultée.</t>
        </is>
      </c>
      <c r="H1654" t="inlineStr">
        <is>
          <t>2026-08-10</t>
        </is>
      </c>
    </row>
    <row r="1655">
      <c r="A1655" t="n">
        <v>188</v>
      </c>
      <c r="B1655" t="inlineStr">
        <is>
          <t>EPZ</t>
        </is>
      </c>
      <c r="C1655" t="inlineStr">
        <is>
          <t>TP20 Pro</t>
        </is>
      </c>
      <c r="D1655" t="inlineStr">
        <is>
          <t>Batterie</t>
        </is>
      </c>
      <c r="E1655" t="inlineStr">
        <is>
          <t>Non</t>
        </is>
      </c>
      <c r="F1655" t="inlineStr">
        <is>
          <t>https://mobileaudiophile.com/dacs/dongle/epz-tp20-pro-review/</t>
        </is>
      </c>
      <c r="G1655" t="inlineStr">
        <is>
          <t>Caractéristique Batterie renseignée depuis la source produit consultée.</t>
        </is>
      </c>
      <c r="H1655" t="inlineStr">
        <is>
          <t>2026-08-10</t>
        </is>
      </c>
    </row>
    <row r="1656">
      <c r="A1656" t="n">
        <v>188</v>
      </c>
      <c r="B1656" t="inlineStr">
        <is>
          <t>EPZ</t>
        </is>
      </c>
      <c r="C1656" t="inlineStr">
        <is>
          <t>TP20 Pro</t>
        </is>
      </c>
      <c r="D1656" t="inlineStr">
        <is>
          <t>Bluetooth</t>
        </is>
      </c>
      <c r="E1656" t="inlineStr">
        <is>
          <t>Non</t>
        </is>
      </c>
      <c r="F1656" t="inlineStr">
        <is>
          <t>https://mobileaudiophile.com/dacs/dongle/epz-tp20-pro-review/</t>
        </is>
      </c>
      <c r="G1656" t="inlineStr">
        <is>
          <t>Caractéristique Bluetooth renseignée depuis la source produit consultée.</t>
        </is>
      </c>
      <c r="H1656" t="inlineStr">
        <is>
          <t>2026-08-10</t>
        </is>
      </c>
    </row>
    <row r="1657">
      <c r="A1657" t="n">
        <v>188</v>
      </c>
      <c r="B1657" t="inlineStr">
        <is>
          <t>EPZ</t>
        </is>
      </c>
      <c r="C1657" t="inlineStr">
        <is>
          <t>TP20 Pro</t>
        </is>
      </c>
      <c r="D1657" t="inlineStr">
        <is>
          <t>3.5mm</t>
        </is>
      </c>
      <c r="E1657" t="inlineStr">
        <is>
          <t>Oui</t>
        </is>
      </c>
      <c r="F1657" t="inlineStr">
        <is>
          <t>https://mobileaudiophile.com/dacs/dongle/epz-tp20-pro-review/</t>
        </is>
      </c>
      <c r="G1657" t="inlineStr">
        <is>
          <t>Caractéristique 3.5mm renseignée depuis la source produit consultée.</t>
        </is>
      </c>
      <c r="H1657" t="inlineStr">
        <is>
          <t>2026-08-10</t>
        </is>
      </c>
    </row>
    <row r="1658">
      <c r="A1658" t="n">
        <v>188</v>
      </c>
      <c r="B1658" t="inlineStr">
        <is>
          <t>EPZ</t>
        </is>
      </c>
      <c r="C1658" t="inlineStr">
        <is>
          <t>TP20 Pro</t>
        </is>
      </c>
      <c r="D1658" t="inlineStr">
        <is>
          <t>4.4mm</t>
        </is>
      </c>
      <c r="E1658" t="inlineStr">
        <is>
          <t>Oui</t>
        </is>
      </c>
      <c r="F1658" t="inlineStr">
        <is>
          <t>https://mobileaudiophile.com/dacs/dongle/epz-tp20-pro-review/</t>
        </is>
      </c>
      <c r="G1658" t="inlineStr">
        <is>
          <t>Caractéristique 4.4mm renseignée depuis la source produit consultée.</t>
        </is>
      </c>
      <c r="H1658" t="inlineStr">
        <is>
          <t>2026-08-10</t>
        </is>
      </c>
    </row>
    <row r="1659">
      <c r="A1659" t="n">
        <v>188</v>
      </c>
      <c r="B1659" t="inlineStr">
        <is>
          <t>EPZ</t>
        </is>
      </c>
      <c r="C1659" t="inlineStr">
        <is>
          <t>TP20 Pro</t>
        </is>
      </c>
      <c r="D1659" t="inlineStr">
        <is>
          <t>2.5mm</t>
        </is>
      </c>
      <c r="E1659" t="inlineStr">
        <is>
          <t>Non</t>
        </is>
      </c>
      <c r="F1659" t="inlineStr">
        <is>
          <t>https://mobileaudiophile.com/dacs/dongle/epz-tp20-pro-review/</t>
        </is>
      </c>
      <c r="G1659" t="inlineStr">
        <is>
          <t>Caractéristique 2.5mm renseignée depuis la source produit consultée.</t>
        </is>
      </c>
      <c r="H1659" t="inlineStr">
        <is>
          <t>2026-08-10</t>
        </is>
      </c>
    </row>
    <row r="1660">
      <c r="A1660" t="n">
        <v>188</v>
      </c>
      <c r="B1660" t="inlineStr">
        <is>
          <t>EPZ</t>
        </is>
      </c>
      <c r="C1660" t="inlineStr">
        <is>
          <t>TP20 Pro</t>
        </is>
      </c>
      <c r="D1660" t="inlineStr">
        <is>
          <t>6.35mm</t>
        </is>
      </c>
      <c r="E1660" t="inlineStr">
        <is>
          <t>Non</t>
        </is>
      </c>
      <c r="F1660" t="inlineStr">
        <is>
          <t>https://mobileaudiophile.com/dacs/dongle/epz-tp20-pro-review/</t>
        </is>
      </c>
      <c r="G1660" t="inlineStr">
        <is>
          <t>Caractéristique 6.35mm renseignée depuis la source produit consultée.</t>
        </is>
      </c>
      <c r="H1660" t="inlineStr">
        <is>
          <t>2026-08-10</t>
        </is>
      </c>
    </row>
    <row r="1661">
      <c r="A1661" t="n">
        <v>188</v>
      </c>
      <c r="B1661" t="inlineStr">
        <is>
          <t>EPZ</t>
        </is>
      </c>
      <c r="C1661" t="inlineStr">
        <is>
          <t>TP20 Pro</t>
        </is>
      </c>
      <c r="D1661" t="inlineStr">
        <is>
          <t>XLR</t>
        </is>
      </c>
      <c r="E1661" t="inlineStr">
        <is>
          <t>Non</t>
        </is>
      </c>
      <c r="F1661" t="inlineStr">
        <is>
          <t>https://mobileaudiophile.com/dacs/dongle/epz-tp20-pro-review/</t>
        </is>
      </c>
      <c r="G1661" t="inlineStr">
        <is>
          <t>Caractéristique XLR renseignée depuis la source produit consultée.</t>
        </is>
      </c>
      <c r="H1661" t="inlineStr">
        <is>
          <t>2026-08-10</t>
        </is>
      </c>
    </row>
    <row r="1662">
      <c r="A1662" t="n">
        <v>188</v>
      </c>
      <c r="B1662" t="inlineStr">
        <is>
          <t>EPZ</t>
        </is>
      </c>
      <c r="C1662" t="inlineStr">
        <is>
          <t>TP20 Pro</t>
        </is>
      </c>
      <c r="D1662" t="inlineStr">
        <is>
          <t>DSP/PEQ</t>
        </is>
      </c>
      <c r="E1662" t="inlineStr">
        <is>
          <t>Non</t>
        </is>
      </c>
      <c r="F1662" t="inlineStr">
        <is>
          <t>https://mobileaudiophile.com/dacs/dongle/epz-tp20-pro-review/</t>
        </is>
      </c>
      <c r="G1662" t="inlineStr">
        <is>
          <t>Caractéristique DSP/PEQ renseignée depuis la source produit consultée.</t>
        </is>
      </c>
      <c r="H1662" t="inlineStr">
        <is>
          <t>2026-08-10</t>
        </is>
      </c>
    </row>
    <row r="1663">
      <c r="A1663" t="n">
        <v>189</v>
      </c>
      <c r="B1663" t="inlineStr">
        <is>
          <t>EPZ</t>
        </is>
      </c>
      <c r="C1663" t="inlineStr">
        <is>
          <t>TP50</t>
        </is>
      </c>
      <c r="D1663" t="inlineStr">
        <is>
          <t>Batterie</t>
        </is>
      </c>
      <c r="E1663" t="inlineStr">
        <is>
          <t>Non</t>
        </is>
      </c>
      <c r="F1663" t="inlineStr">
        <is>
          <t>https://mobileaudiophile.com/dacs/dongle/epz-tp50-review/</t>
        </is>
      </c>
      <c r="G1663" t="inlineStr">
        <is>
          <t>Caractéristique Batterie renseignée depuis la source produit consultée.</t>
        </is>
      </c>
      <c r="H1663" t="inlineStr">
        <is>
          <t>2026-08-10</t>
        </is>
      </c>
    </row>
    <row r="1664">
      <c r="A1664" t="n">
        <v>189</v>
      </c>
      <c r="B1664" t="inlineStr">
        <is>
          <t>EPZ</t>
        </is>
      </c>
      <c r="C1664" t="inlineStr">
        <is>
          <t>TP50</t>
        </is>
      </c>
      <c r="D1664" t="inlineStr">
        <is>
          <t>Bluetooth</t>
        </is>
      </c>
      <c r="E1664" t="inlineStr">
        <is>
          <t>Non</t>
        </is>
      </c>
      <c r="F1664" t="inlineStr">
        <is>
          <t>https://mobileaudiophile.com/dacs/dongle/epz-tp50-review/</t>
        </is>
      </c>
      <c r="G1664" t="inlineStr">
        <is>
          <t>Caractéristique Bluetooth renseignée depuis la source produit consultée.</t>
        </is>
      </c>
      <c r="H1664" t="inlineStr">
        <is>
          <t>2026-08-10</t>
        </is>
      </c>
    </row>
    <row r="1665">
      <c r="A1665" t="n">
        <v>189</v>
      </c>
      <c r="B1665" t="inlineStr">
        <is>
          <t>EPZ</t>
        </is>
      </c>
      <c r="C1665" t="inlineStr">
        <is>
          <t>TP50</t>
        </is>
      </c>
      <c r="D1665" t="inlineStr">
        <is>
          <t>3.5mm</t>
        </is>
      </c>
      <c r="E1665" t="inlineStr">
        <is>
          <t>Oui</t>
        </is>
      </c>
      <c r="F1665" t="inlineStr">
        <is>
          <t>https://mobileaudiophile.com/dacs/dongle/epz-tp50-review/</t>
        </is>
      </c>
      <c r="G1665" t="inlineStr">
        <is>
          <t>Caractéristique 3.5mm renseignée depuis la source produit consultée.</t>
        </is>
      </c>
      <c r="H1665" t="inlineStr">
        <is>
          <t>2026-08-10</t>
        </is>
      </c>
    </row>
    <row r="1666">
      <c r="A1666" t="n">
        <v>189</v>
      </c>
      <c r="B1666" t="inlineStr">
        <is>
          <t>EPZ</t>
        </is>
      </c>
      <c r="C1666" t="inlineStr">
        <is>
          <t>TP50</t>
        </is>
      </c>
      <c r="D1666" t="inlineStr">
        <is>
          <t>4.4mm</t>
        </is>
      </c>
      <c r="E1666" t="inlineStr">
        <is>
          <t>Oui</t>
        </is>
      </c>
      <c r="F1666" t="inlineStr">
        <is>
          <t>https://mobileaudiophile.com/dacs/dongle/epz-tp50-review/</t>
        </is>
      </c>
      <c r="G1666" t="inlineStr">
        <is>
          <t>Caractéristique 4.4mm renseignée depuis la source produit consultée.</t>
        </is>
      </c>
      <c r="H1666" t="inlineStr">
        <is>
          <t>2026-08-10</t>
        </is>
      </c>
    </row>
    <row r="1667">
      <c r="A1667" t="n">
        <v>189</v>
      </c>
      <c r="B1667" t="inlineStr">
        <is>
          <t>EPZ</t>
        </is>
      </c>
      <c r="C1667" t="inlineStr">
        <is>
          <t>TP50</t>
        </is>
      </c>
      <c r="D1667" t="inlineStr">
        <is>
          <t>2.5mm</t>
        </is>
      </c>
      <c r="E1667" t="inlineStr">
        <is>
          <t>Non</t>
        </is>
      </c>
      <c r="F1667" t="inlineStr">
        <is>
          <t>https://mobileaudiophile.com/dacs/dongle/epz-tp50-review/</t>
        </is>
      </c>
      <c r="G1667" t="inlineStr">
        <is>
          <t>Caractéristique 2.5mm renseignée depuis la source produit consultée.</t>
        </is>
      </c>
      <c r="H1667" t="inlineStr">
        <is>
          <t>2026-08-10</t>
        </is>
      </c>
    </row>
    <row r="1668">
      <c r="A1668" t="n">
        <v>189</v>
      </c>
      <c r="B1668" t="inlineStr">
        <is>
          <t>EPZ</t>
        </is>
      </c>
      <c r="C1668" t="inlineStr">
        <is>
          <t>TP50</t>
        </is>
      </c>
      <c r="D1668" t="inlineStr">
        <is>
          <t>6.35mm</t>
        </is>
      </c>
      <c r="E1668" t="inlineStr">
        <is>
          <t>Non</t>
        </is>
      </c>
      <c r="F1668" t="inlineStr">
        <is>
          <t>https://mobileaudiophile.com/dacs/dongle/epz-tp50-review/</t>
        </is>
      </c>
      <c r="G1668" t="inlineStr">
        <is>
          <t>Caractéristique 6.35mm renseignée depuis la source produit consultée.</t>
        </is>
      </c>
      <c r="H1668" t="inlineStr">
        <is>
          <t>2026-08-10</t>
        </is>
      </c>
    </row>
    <row r="1669">
      <c r="A1669" t="n">
        <v>189</v>
      </c>
      <c r="B1669" t="inlineStr">
        <is>
          <t>EPZ</t>
        </is>
      </c>
      <c r="C1669" t="inlineStr">
        <is>
          <t>TP50</t>
        </is>
      </c>
      <c r="D1669" t="inlineStr">
        <is>
          <t>XLR</t>
        </is>
      </c>
      <c r="E1669" t="inlineStr">
        <is>
          <t>Non</t>
        </is>
      </c>
      <c r="F1669" t="inlineStr">
        <is>
          <t>https://mobileaudiophile.com/dacs/dongle/epz-tp50-review/</t>
        </is>
      </c>
      <c r="G1669" t="inlineStr">
        <is>
          <t>Caractéristique XLR renseignée depuis la source produit consultée.</t>
        </is>
      </c>
      <c r="H1669" t="inlineStr">
        <is>
          <t>2026-08-10</t>
        </is>
      </c>
    </row>
    <row r="1670">
      <c r="A1670" t="n">
        <v>189</v>
      </c>
      <c r="B1670" t="inlineStr">
        <is>
          <t>EPZ</t>
        </is>
      </c>
      <c r="C1670" t="inlineStr">
        <is>
          <t>TP50</t>
        </is>
      </c>
      <c r="D1670" t="inlineStr">
        <is>
          <t>DSP/PEQ</t>
        </is>
      </c>
      <c r="E1670" t="inlineStr">
        <is>
          <t>Non</t>
        </is>
      </c>
      <c r="F1670" t="inlineStr">
        <is>
          <t>https://mobileaudiophile.com/dacs/dongle/epz-tp50-review/</t>
        </is>
      </c>
      <c r="G1670" t="inlineStr">
        <is>
          <t>Caractéristique DSP/PEQ renseignée depuis la source produit consultée.</t>
        </is>
      </c>
      <c r="H1670" t="inlineStr">
        <is>
          <t>2026-08-10</t>
        </is>
      </c>
    </row>
    <row r="1671">
      <c r="A1671" t="n">
        <v>190</v>
      </c>
      <c r="B1671" t="inlineStr">
        <is>
          <t>Rose Technics</t>
        </is>
      </c>
      <c r="C1671" t="inlineStr">
        <is>
          <t>RS9039</t>
        </is>
      </c>
      <c r="D1671" t="inlineStr">
        <is>
          <t>Batterie</t>
        </is>
      </c>
      <c r="E1671" t="inlineStr">
        <is>
          <t>Non</t>
        </is>
      </c>
      <c r="F1671" t="inlineStr">
        <is>
          <t>https://mobileaudiophile.com/dacs/dongle/roseselsa-rs9039-review/</t>
        </is>
      </c>
      <c r="G1671" t="inlineStr">
        <is>
          <t>Caractéristique Batterie renseignée depuis la source produit consultée.</t>
        </is>
      </c>
      <c r="H1671" t="inlineStr">
        <is>
          <t>2026-08-10</t>
        </is>
      </c>
    </row>
    <row r="1672">
      <c r="A1672" t="n">
        <v>190</v>
      </c>
      <c r="B1672" t="inlineStr">
        <is>
          <t>Rose Technics</t>
        </is>
      </c>
      <c r="C1672" t="inlineStr">
        <is>
          <t>RS9039</t>
        </is>
      </c>
      <c r="D1672" t="inlineStr">
        <is>
          <t>Bluetooth</t>
        </is>
      </c>
      <c r="E1672" t="inlineStr">
        <is>
          <t>Non</t>
        </is>
      </c>
      <c r="F1672" t="inlineStr">
        <is>
          <t>https://mobileaudiophile.com/dacs/dongle/roseselsa-rs9039-review/</t>
        </is>
      </c>
      <c r="G1672" t="inlineStr">
        <is>
          <t>Caractéristique Bluetooth renseignée depuis la source produit consultée.</t>
        </is>
      </c>
      <c r="H1672" t="inlineStr">
        <is>
          <t>2026-08-10</t>
        </is>
      </c>
    </row>
    <row r="1673">
      <c r="A1673" t="n">
        <v>190</v>
      </c>
      <c r="B1673" t="inlineStr">
        <is>
          <t>Rose Technics</t>
        </is>
      </c>
      <c r="C1673" t="inlineStr">
        <is>
          <t>RS9039</t>
        </is>
      </c>
      <c r="D1673" t="inlineStr">
        <is>
          <t>3.5mm</t>
        </is>
      </c>
      <c r="E1673" t="inlineStr">
        <is>
          <t>Oui</t>
        </is>
      </c>
      <c r="F1673" t="inlineStr">
        <is>
          <t>https://mobileaudiophile.com/dacs/dongle/roseselsa-rs9039-review/</t>
        </is>
      </c>
      <c r="G1673" t="inlineStr">
        <is>
          <t>Caractéristique 3.5mm renseignée depuis la source produit consultée.</t>
        </is>
      </c>
      <c r="H1673" t="inlineStr">
        <is>
          <t>2026-08-10</t>
        </is>
      </c>
    </row>
    <row r="1674">
      <c r="A1674" t="n">
        <v>190</v>
      </c>
      <c r="B1674" t="inlineStr">
        <is>
          <t>Rose Technics</t>
        </is>
      </c>
      <c r="C1674" t="inlineStr">
        <is>
          <t>RS9039</t>
        </is>
      </c>
      <c r="D1674" t="inlineStr">
        <is>
          <t>4.4mm</t>
        </is>
      </c>
      <c r="E1674" t="inlineStr">
        <is>
          <t>Oui</t>
        </is>
      </c>
      <c r="F1674" t="inlineStr">
        <is>
          <t>https://mobileaudiophile.com/dacs/dongle/roseselsa-rs9039-review/</t>
        </is>
      </c>
      <c r="G1674" t="inlineStr">
        <is>
          <t>Caractéristique 4.4mm renseignée depuis la source produit consultée.</t>
        </is>
      </c>
      <c r="H1674" t="inlineStr">
        <is>
          <t>2026-08-10</t>
        </is>
      </c>
    </row>
    <row r="1675">
      <c r="A1675" t="n">
        <v>190</v>
      </c>
      <c r="B1675" t="inlineStr">
        <is>
          <t>Rose Technics</t>
        </is>
      </c>
      <c r="C1675" t="inlineStr">
        <is>
          <t>RS9039</t>
        </is>
      </c>
      <c r="D1675" t="inlineStr">
        <is>
          <t>2.5mm</t>
        </is>
      </c>
      <c r="E1675" t="inlineStr">
        <is>
          <t>Non</t>
        </is>
      </c>
      <c r="F1675" t="inlineStr">
        <is>
          <t>https://mobileaudiophile.com/dacs/dongle/roseselsa-rs9039-review/</t>
        </is>
      </c>
      <c r="G1675" t="inlineStr">
        <is>
          <t>Caractéristique 2.5mm renseignée depuis la source produit consultée.</t>
        </is>
      </c>
      <c r="H1675" t="inlineStr">
        <is>
          <t>2026-08-10</t>
        </is>
      </c>
    </row>
    <row r="1676">
      <c r="A1676" t="n">
        <v>190</v>
      </c>
      <c r="B1676" t="inlineStr">
        <is>
          <t>Rose Technics</t>
        </is>
      </c>
      <c r="C1676" t="inlineStr">
        <is>
          <t>RS9039</t>
        </is>
      </c>
      <c r="D1676" t="inlineStr">
        <is>
          <t>6.35mm</t>
        </is>
      </c>
      <c r="E1676" t="inlineStr">
        <is>
          <t>Non</t>
        </is>
      </c>
      <c r="F1676" t="inlineStr">
        <is>
          <t>https://mobileaudiophile.com/dacs/dongle/roseselsa-rs9039-review/</t>
        </is>
      </c>
      <c r="G1676" t="inlineStr">
        <is>
          <t>Caractéristique 6.35mm renseignée depuis la source produit consultée.</t>
        </is>
      </c>
      <c r="H1676" t="inlineStr">
        <is>
          <t>2026-08-10</t>
        </is>
      </c>
    </row>
    <row r="1677">
      <c r="A1677" t="n">
        <v>190</v>
      </c>
      <c r="B1677" t="inlineStr">
        <is>
          <t>Rose Technics</t>
        </is>
      </c>
      <c r="C1677" t="inlineStr">
        <is>
          <t>RS9039</t>
        </is>
      </c>
      <c r="D1677" t="inlineStr">
        <is>
          <t>XLR</t>
        </is>
      </c>
      <c r="E1677" t="inlineStr">
        <is>
          <t>Non</t>
        </is>
      </c>
      <c r="F1677" t="inlineStr">
        <is>
          <t>https://mobileaudiophile.com/dacs/dongle/roseselsa-rs9039-review/</t>
        </is>
      </c>
      <c r="G1677" t="inlineStr">
        <is>
          <t>Caractéristique XLR renseignée depuis la source produit consultée.</t>
        </is>
      </c>
      <c r="H1677" t="inlineStr">
        <is>
          <t>2026-08-10</t>
        </is>
      </c>
    </row>
    <row r="1678">
      <c r="A1678" t="n">
        <v>190</v>
      </c>
      <c r="B1678" t="inlineStr">
        <is>
          <t>Rose Technics</t>
        </is>
      </c>
      <c r="C1678" t="inlineStr">
        <is>
          <t>RS9039</t>
        </is>
      </c>
      <c r="D1678" t="inlineStr">
        <is>
          <t>DSP/PEQ</t>
        </is>
      </c>
      <c r="E1678" t="inlineStr">
        <is>
          <t>Non</t>
        </is>
      </c>
      <c r="F1678" t="inlineStr">
        <is>
          <t>https://mobileaudiophile.com/dacs/dongle/roseselsa-rs9039-review/</t>
        </is>
      </c>
      <c r="G1678" t="inlineStr">
        <is>
          <t>Caractéristique DSP/PEQ renseignée depuis la source produit consultée.</t>
        </is>
      </c>
      <c r="H1678" t="inlineStr">
        <is>
          <t>2026-08-10</t>
        </is>
      </c>
    </row>
    <row r="1679">
      <c r="A1679" t="n">
        <v>191</v>
      </c>
      <c r="B1679" t="inlineStr">
        <is>
          <t>AFUL</t>
        </is>
      </c>
      <c r="C1679" t="inlineStr">
        <is>
          <t>SnowyNight</t>
        </is>
      </c>
      <c r="D1679" t="inlineStr">
        <is>
          <t>Batterie</t>
        </is>
      </c>
      <c r="E1679" t="inlineStr">
        <is>
          <t>Non</t>
        </is>
      </c>
      <c r="F1679" t="inlineStr">
        <is>
          <t>https://mobileaudiophile.com/dacs/dongle/aful-snowynight-review/</t>
        </is>
      </c>
      <c r="G1679" t="inlineStr">
        <is>
          <t>Caractéristique Batterie renseignée depuis la source produit consultée.</t>
        </is>
      </c>
      <c r="H1679" t="inlineStr">
        <is>
          <t>2026-08-10</t>
        </is>
      </c>
    </row>
    <row r="1680">
      <c r="A1680" t="n">
        <v>191</v>
      </c>
      <c r="B1680" t="inlineStr">
        <is>
          <t>AFUL</t>
        </is>
      </c>
      <c r="C1680" t="inlineStr">
        <is>
          <t>SnowyNight</t>
        </is>
      </c>
      <c r="D1680" t="inlineStr">
        <is>
          <t>Bluetooth</t>
        </is>
      </c>
      <c r="E1680" t="inlineStr">
        <is>
          <t>Non</t>
        </is>
      </c>
      <c r="F1680" t="inlineStr">
        <is>
          <t>https://mobileaudiophile.com/dacs/dongle/aful-snowynight-review/</t>
        </is>
      </c>
      <c r="G1680" t="inlineStr">
        <is>
          <t>Caractéristique Bluetooth renseignée depuis la source produit consultée.</t>
        </is>
      </c>
      <c r="H1680" t="inlineStr">
        <is>
          <t>2026-08-10</t>
        </is>
      </c>
    </row>
    <row r="1681">
      <c r="A1681" t="n">
        <v>191</v>
      </c>
      <c r="B1681" t="inlineStr">
        <is>
          <t>AFUL</t>
        </is>
      </c>
      <c r="C1681" t="inlineStr">
        <is>
          <t>SnowyNight</t>
        </is>
      </c>
      <c r="D1681" t="inlineStr">
        <is>
          <t>3.5mm</t>
        </is>
      </c>
      <c r="E1681" t="inlineStr">
        <is>
          <t>Oui</t>
        </is>
      </c>
      <c r="F1681" t="inlineStr">
        <is>
          <t>https://mobileaudiophile.com/dacs/dongle/aful-snowynight-review/</t>
        </is>
      </c>
      <c r="G1681" t="inlineStr">
        <is>
          <t>Caractéristique 3.5mm renseignée depuis la source produit consultée.</t>
        </is>
      </c>
      <c r="H1681" t="inlineStr">
        <is>
          <t>2026-08-10</t>
        </is>
      </c>
    </row>
    <row r="1682">
      <c r="A1682" t="n">
        <v>191</v>
      </c>
      <c r="B1682" t="inlineStr">
        <is>
          <t>AFUL</t>
        </is>
      </c>
      <c r="C1682" t="inlineStr">
        <is>
          <t>SnowyNight</t>
        </is>
      </c>
      <c r="D1682" t="inlineStr">
        <is>
          <t>4.4mm</t>
        </is>
      </c>
      <c r="E1682" t="inlineStr">
        <is>
          <t>Oui</t>
        </is>
      </c>
      <c r="F1682" t="inlineStr">
        <is>
          <t>https://mobileaudiophile.com/dacs/dongle/aful-snowynight-review/</t>
        </is>
      </c>
      <c r="G1682" t="inlineStr">
        <is>
          <t>Caractéristique 4.4mm renseignée depuis la source produit consultée.</t>
        </is>
      </c>
      <c r="H1682" t="inlineStr">
        <is>
          <t>2026-08-10</t>
        </is>
      </c>
    </row>
    <row r="1683">
      <c r="A1683" t="n">
        <v>191</v>
      </c>
      <c r="B1683" t="inlineStr">
        <is>
          <t>AFUL</t>
        </is>
      </c>
      <c r="C1683" t="inlineStr">
        <is>
          <t>SnowyNight</t>
        </is>
      </c>
      <c r="D1683" t="inlineStr">
        <is>
          <t>2.5mm</t>
        </is>
      </c>
      <c r="E1683" t="inlineStr">
        <is>
          <t>Non</t>
        </is>
      </c>
      <c r="F1683" t="inlineStr">
        <is>
          <t>https://mobileaudiophile.com/dacs/dongle/aful-snowynight-review/</t>
        </is>
      </c>
      <c r="G1683" t="inlineStr">
        <is>
          <t>Caractéristique 2.5mm renseignée depuis la source produit consultée.</t>
        </is>
      </c>
      <c r="H1683" t="inlineStr">
        <is>
          <t>2026-08-10</t>
        </is>
      </c>
    </row>
    <row r="1684">
      <c r="A1684" t="n">
        <v>191</v>
      </c>
      <c r="B1684" t="inlineStr">
        <is>
          <t>AFUL</t>
        </is>
      </c>
      <c r="C1684" t="inlineStr">
        <is>
          <t>SnowyNight</t>
        </is>
      </c>
      <c r="D1684" t="inlineStr">
        <is>
          <t>6.35mm</t>
        </is>
      </c>
      <c r="E1684" t="inlineStr">
        <is>
          <t>Non</t>
        </is>
      </c>
      <c r="F1684" t="inlineStr">
        <is>
          <t>https://mobileaudiophile.com/dacs/dongle/aful-snowynight-review/</t>
        </is>
      </c>
      <c r="G1684" t="inlineStr">
        <is>
          <t>Caractéristique 6.35mm renseignée depuis la source produit consultée.</t>
        </is>
      </c>
      <c r="H1684" t="inlineStr">
        <is>
          <t>2026-08-10</t>
        </is>
      </c>
    </row>
    <row r="1685">
      <c r="A1685" t="n">
        <v>191</v>
      </c>
      <c r="B1685" t="inlineStr">
        <is>
          <t>AFUL</t>
        </is>
      </c>
      <c r="C1685" t="inlineStr">
        <is>
          <t>SnowyNight</t>
        </is>
      </c>
      <c r="D1685" t="inlineStr">
        <is>
          <t>XLR</t>
        </is>
      </c>
      <c r="E1685" t="inlineStr">
        <is>
          <t>Non</t>
        </is>
      </c>
      <c r="F1685" t="inlineStr">
        <is>
          <t>https://mobileaudiophile.com/dacs/dongle/aful-snowynight-review/</t>
        </is>
      </c>
      <c r="G1685" t="inlineStr">
        <is>
          <t>Caractéristique XLR renseignée depuis la source produit consultée.</t>
        </is>
      </c>
      <c r="H1685" t="inlineStr">
        <is>
          <t>2026-08-10</t>
        </is>
      </c>
    </row>
    <row r="1686">
      <c r="A1686" t="n">
        <v>191</v>
      </c>
      <c r="B1686" t="inlineStr">
        <is>
          <t>AFUL</t>
        </is>
      </c>
      <c r="C1686" t="inlineStr">
        <is>
          <t>SnowyNight</t>
        </is>
      </c>
      <c r="D1686" t="inlineStr">
        <is>
          <t>DSP/PEQ</t>
        </is>
      </c>
      <c r="E1686" t="inlineStr">
        <is>
          <t>Non</t>
        </is>
      </c>
      <c r="F1686" t="inlineStr">
        <is>
          <t>https://mobileaudiophile.com/dacs/dongle/aful-snowynight-review/</t>
        </is>
      </c>
      <c r="G1686" t="inlineStr">
        <is>
          <t>Caractéristique DSP/PEQ renseignée depuis la source produit consultée.</t>
        </is>
      </c>
      <c r="H1686" t="inlineStr">
        <is>
          <t>2026-08-10</t>
        </is>
      </c>
    </row>
    <row r="1687">
      <c r="A1687" t="n">
        <v>192</v>
      </c>
      <c r="B1687" t="inlineStr">
        <is>
          <t>iKKO</t>
        </is>
      </c>
      <c r="C1687" t="inlineStr">
        <is>
          <t>Zerda ITM01</t>
        </is>
      </c>
      <c r="D1687" t="inlineStr">
        <is>
          <t>Batterie</t>
        </is>
      </c>
      <c r="E1687" t="inlineStr">
        <is>
          <t>Non</t>
        </is>
      </c>
      <c r="F1687" t="inlineStr">
        <is>
          <t>https://hiendportable.com/ikko-zerda-itm01-english-review/</t>
        </is>
      </c>
      <c r="G1687" t="inlineStr">
        <is>
          <t>Caractéristique Batterie renseignée depuis la source produit consultée.</t>
        </is>
      </c>
      <c r="H1687" t="inlineStr">
        <is>
          <t>2026-08-10</t>
        </is>
      </c>
    </row>
    <row r="1688">
      <c r="A1688" t="n">
        <v>192</v>
      </c>
      <c r="B1688" t="inlineStr">
        <is>
          <t>iKKO</t>
        </is>
      </c>
      <c r="C1688" t="inlineStr">
        <is>
          <t>Zerda ITM01</t>
        </is>
      </c>
      <c r="D1688" t="inlineStr">
        <is>
          <t>Bluetooth</t>
        </is>
      </c>
      <c r="E1688" t="inlineStr">
        <is>
          <t>Non</t>
        </is>
      </c>
      <c r="F1688" t="inlineStr">
        <is>
          <t>https://hiendportable.com/ikko-zerda-itm01-english-review/</t>
        </is>
      </c>
      <c r="G1688" t="inlineStr">
        <is>
          <t>Caractéristique Bluetooth renseignée depuis la source produit consultée.</t>
        </is>
      </c>
      <c r="H1688" t="inlineStr">
        <is>
          <t>2026-08-10</t>
        </is>
      </c>
    </row>
    <row r="1689">
      <c r="A1689" t="n">
        <v>192</v>
      </c>
      <c r="B1689" t="inlineStr">
        <is>
          <t>iKKO</t>
        </is>
      </c>
      <c r="C1689" t="inlineStr">
        <is>
          <t>Zerda ITM01</t>
        </is>
      </c>
      <c r="D1689" t="inlineStr">
        <is>
          <t>3.5mm</t>
        </is>
      </c>
      <c r="E1689" t="inlineStr">
        <is>
          <t>Oui</t>
        </is>
      </c>
      <c r="F1689" t="inlineStr">
        <is>
          <t>https://hiendportable.com/ikko-zerda-itm01-english-review/</t>
        </is>
      </c>
      <c r="G1689" t="inlineStr">
        <is>
          <t>Caractéristique 3.5mm renseignée depuis la source produit consultée.</t>
        </is>
      </c>
      <c r="H1689" t="inlineStr">
        <is>
          <t>2026-08-10</t>
        </is>
      </c>
    </row>
    <row r="1690">
      <c r="A1690" t="n">
        <v>192</v>
      </c>
      <c r="B1690" t="inlineStr">
        <is>
          <t>iKKO</t>
        </is>
      </c>
      <c r="C1690" t="inlineStr">
        <is>
          <t>Zerda ITM01</t>
        </is>
      </c>
      <c r="D1690" t="inlineStr">
        <is>
          <t>4.4mm</t>
        </is>
      </c>
      <c r="E1690" t="inlineStr">
        <is>
          <t>Non</t>
        </is>
      </c>
      <c r="F1690" t="inlineStr">
        <is>
          <t>https://hiendportable.com/ikko-zerda-itm01-english-review/</t>
        </is>
      </c>
      <c r="G1690" t="inlineStr">
        <is>
          <t>Caractéristique 4.4mm renseignée depuis la source produit consultée.</t>
        </is>
      </c>
      <c r="H1690" t="inlineStr">
        <is>
          <t>2026-08-10</t>
        </is>
      </c>
    </row>
    <row r="1691">
      <c r="A1691" t="n">
        <v>192</v>
      </c>
      <c r="B1691" t="inlineStr">
        <is>
          <t>iKKO</t>
        </is>
      </c>
      <c r="C1691" t="inlineStr">
        <is>
          <t>Zerda ITM01</t>
        </is>
      </c>
      <c r="D1691" t="inlineStr">
        <is>
          <t>2.5mm</t>
        </is>
      </c>
      <c r="E1691" t="inlineStr">
        <is>
          <t>Non</t>
        </is>
      </c>
      <c r="F1691" t="inlineStr">
        <is>
          <t>https://hiendportable.com/ikko-zerda-itm01-english-review/</t>
        </is>
      </c>
      <c r="G1691" t="inlineStr">
        <is>
          <t>Caractéristique 2.5mm renseignée depuis la source produit consultée.</t>
        </is>
      </c>
      <c r="H1691" t="inlineStr">
        <is>
          <t>2026-08-10</t>
        </is>
      </c>
    </row>
    <row r="1692">
      <c r="A1692" t="n">
        <v>192</v>
      </c>
      <c r="B1692" t="inlineStr">
        <is>
          <t>iKKO</t>
        </is>
      </c>
      <c r="C1692" t="inlineStr">
        <is>
          <t>Zerda ITM01</t>
        </is>
      </c>
      <c r="D1692" t="inlineStr">
        <is>
          <t>6.35mm</t>
        </is>
      </c>
      <c r="E1692" t="inlineStr">
        <is>
          <t>Non</t>
        </is>
      </c>
      <c r="F1692" t="inlineStr">
        <is>
          <t>https://hiendportable.com/ikko-zerda-itm01-english-review/</t>
        </is>
      </c>
      <c r="G1692" t="inlineStr">
        <is>
          <t>Caractéristique 6.35mm renseignée depuis la source produit consultée.</t>
        </is>
      </c>
      <c r="H1692" t="inlineStr">
        <is>
          <t>2026-08-10</t>
        </is>
      </c>
    </row>
    <row r="1693">
      <c r="A1693" t="n">
        <v>192</v>
      </c>
      <c r="B1693" t="inlineStr">
        <is>
          <t>iKKO</t>
        </is>
      </c>
      <c r="C1693" t="inlineStr">
        <is>
          <t>Zerda ITM01</t>
        </is>
      </c>
      <c r="D1693" t="inlineStr">
        <is>
          <t>XLR</t>
        </is>
      </c>
      <c r="E1693" t="inlineStr">
        <is>
          <t>Non</t>
        </is>
      </c>
      <c r="F1693" t="inlineStr">
        <is>
          <t>https://hiendportable.com/ikko-zerda-itm01-english-review/</t>
        </is>
      </c>
      <c r="G1693" t="inlineStr">
        <is>
          <t>Caractéristique XLR renseignée depuis la source produit consultée.</t>
        </is>
      </c>
      <c r="H1693" t="inlineStr">
        <is>
          <t>2026-08-10</t>
        </is>
      </c>
    </row>
    <row r="1694">
      <c r="A1694" t="n">
        <v>192</v>
      </c>
      <c r="B1694" t="inlineStr">
        <is>
          <t>iKKO</t>
        </is>
      </c>
      <c r="C1694" t="inlineStr">
        <is>
          <t>Zerda ITM01</t>
        </is>
      </c>
      <c r="D1694" t="inlineStr">
        <is>
          <t>DSP/PEQ</t>
        </is>
      </c>
      <c r="E1694" t="inlineStr">
        <is>
          <t>Oui</t>
        </is>
      </c>
      <c r="F1694" t="inlineStr">
        <is>
          <t>https://hiendportable.com/ikko-zerda-itm01-english-review/</t>
        </is>
      </c>
      <c r="G1694" t="inlineStr">
        <is>
          <t>Caractéristique DSP/PEQ renseignée depuis la source produit consultée.</t>
        </is>
      </c>
      <c r="H1694" t="inlineStr">
        <is>
          <t>2026-08-10</t>
        </is>
      </c>
    </row>
    <row r="1695">
      <c r="A1695" t="n">
        <v>193</v>
      </c>
      <c r="B1695" t="inlineStr">
        <is>
          <t>EarMen</t>
        </is>
      </c>
      <c r="C1695" t="inlineStr">
        <is>
          <t>Eagle</t>
        </is>
      </c>
      <c r="D1695" t="inlineStr">
        <is>
          <t>Batterie</t>
        </is>
      </c>
      <c r="E1695" t="inlineStr">
        <is>
          <t>Non</t>
        </is>
      </c>
      <c r="F1695" t="inlineStr">
        <is>
          <t>https://www.audioreviews.org/earmen-eagle-review/</t>
        </is>
      </c>
      <c r="G1695" t="inlineStr">
        <is>
          <t>Caractéristique Batterie renseignée depuis la source produit consultée.</t>
        </is>
      </c>
      <c r="H1695" t="inlineStr">
        <is>
          <t>2026-08-10</t>
        </is>
      </c>
    </row>
    <row r="1696">
      <c r="A1696" t="n">
        <v>193</v>
      </c>
      <c r="B1696" t="inlineStr">
        <is>
          <t>EarMen</t>
        </is>
      </c>
      <c r="C1696" t="inlineStr">
        <is>
          <t>Eagle</t>
        </is>
      </c>
      <c r="D1696" t="inlineStr">
        <is>
          <t>Bluetooth</t>
        </is>
      </c>
      <c r="E1696" t="inlineStr">
        <is>
          <t>Non</t>
        </is>
      </c>
      <c r="F1696" t="inlineStr">
        <is>
          <t>https://www.audioreviews.org/earmen-eagle-review/</t>
        </is>
      </c>
      <c r="G1696" t="inlineStr">
        <is>
          <t>Caractéristique Bluetooth renseignée depuis la source produit consultée.</t>
        </is>
      </c>
      <c r="H1696" t="inlineStr">
        <is>
          <t>2026-08-10</t>
        </is>
      </c>
    </row>
    <row r="1697">
      <c r="A1697" t="n">
        <v>193</v>
      </c>
      <c r="B1697" t="inlineStr">
        <is>
          <t>EarMen</t>
        </is>
      </c>
      <c r="C1697" t="inlineStr">
        <is>
          <t>Eagle</t>
        </is>
      </c>
      <c r="D1697" t="inlineStr">
        <is>
          <t>3.5mm</t>
        </is>
      </c>
      <c r="E1697" t="inlineStr">
        <is>
          <t>Oui</t>
        </is>
      </c>
      <c r="F1697" t="inlineStr">
        <is>
          <t>https://www.audioreviews.org/earmen-eagle-review/</t>
        </is>
      </c>
      <c r="G1697" t="inlineStr">
        <is>
          <t>Caractéristique 3.5mm renseignée depuis la source produit consultée.</t>
        </is>
      </c>
      <c r="H1697" t="inlineStr">
        <is>
          <t>2026-08-10</t>
        </is>
      </c>
    </row>
    <row r="1698">
      <c r="A1698" t="n">
        <v>193</v>
      </c>
      <c r="B1698" t="inlineStr">
        <is>
          <t>EarMen</t>
        </is>
      </c>
      <c r="C1698" t="inlineStr">
        <is>
          <t>Eagle</t>
        </is>
      </c>
      <c r="D1698" t="inlineStr">
        <is>
          <t>4.4mm</t>
        </is>
      </c>
      <c r="E1698" t="inlineStr">
        <is>
          <t>Non</t>
        </is>
      </c>
      <c r="F1698" t="inlineStr">
        <is>
          <t>https://www.audioreviews.org/earmen-eagle-review/</t>
        </is>
      </c>
      <c r="G1698" t="inlineStr">
        <is>
          <t>Caractéristique 4.4mm renseignée depuis la source produit consultée.</t>
        </is>
      </c>
      <c r="H1698" t="inlineStr">
        <is>
          <t>2026-08-10</t>
        </is>
      </c>
    </row>
    <row r="1699">
      <c r="A1699" t="n">
        <v>193</v>
      </c>
      <c r="B1699" t="inlineStr">
        <is>
          <t>EarMen</t>
        </is>
      </c>
      <c r="C1699" t="inlineStr">
        <is>
          <t>Eagle</t>
        </is>
      </c>
      <c r="D1699" t="inlineStr">
        <is>
          <t>2.5mm</t>
        </is>
      </c>
      <c r="E1699" t="inlineStr">
        <is>
          <t>Non</t>
        </is>
      </c>
      <c r="F1699" t="inlineStr">
        <is>
          <t>https://www.audioreviews.org/earmen-eagle-review/</t>
        </is>
      </c>
      <c r="G1699" t="inlineStr">
        <is>
          <t>Caractéristique 2.5mm renseignée depuis la source produit consultée.</t>
        </is>
      </c>
      <c r="H1699" t="inlineStr">
        <is>
          <t>2026-08-10</t>
        </is>
      </c>
    </row>
    <row r="1700">
      <c r="A1700" t="n">
        <v>193</v>
      </c>
      <c r="B1700" t="inlineStr">
        <is>
          <t>EarMen</t>
        </is>
      </c>
      <c r="C1700" t="inlineStr">
        <is>
          <t>Eagle</t>
        </is>
      </c>
      <c r="D1700" t="inlineStr">
        <is>
          <t>6.35mm</t>
        </is>
      </c>
      <c r="E1700" t="inlineStr">
        <is>
          <t>Non</t>
        </is>
      </c>
      <c r="F1700" t="inlineStr">
        <is>
          <t>https://www.audioreviews.org/earmen-eagle-review/</t>
        </is>
      </c>
      <c r="G1700" t="inlineStr">
        <is>
          <t>Caractéristique 6.35mm renseignée depuis la source produit consultée.</t>
        </is>
      </c>
      <c r="H1700" t="inlineStr">
        <is>
          <t>2026-08-10</t>
        </is>
      </c>
    </row>
    <row r="1701">
      <c r="A1701" t="n">
        <v>193</v>
      </c>
      <c r="B1701" t="inlineStr">
        <is>
          <t>EarMen</t>
        </is>
      </c>
      <c r="C1701" t="inlineStr">
        <is>
          <t>Eagle</t>
        </is>
      </c>
      <c r="D1701" t="inlineStr">
        <is>
          <t>XLR</t>
        </is>
      </c>
      <c r="E1701" t="inlineStr">
        <is>
          <t>Non</t>
        </is>
      </c>
      <c r="F1701" t="inlineStr">
        <is>
          <t>https://www.audioreviews.org/earmen-eagle-review/</t>
        </is>
      </c>
      <c r="G1701" t="inlineStr">
        <is>
          <t>Caractéristique XLR renseignée depuis la source produit consultée.</t>
        </is>
      </c>
      <c r="H1701" t="inlineStr">
        <is>
          <t>2026-08-10</t>
        </is>
      </c>
    </row>
    <row r="1702">
      <c r="A1702" t="n">
        <v>193</v>
      </c>
      <c r="B1702" t="inlineStr">
        <is>
          <t>EarMen</t>
        </is>
      </c>
      <c r="C1702" t="inlineStr">
        <is>
          <t>Eagle</t>
        </is>
      </c>
      <c r="D1702" t="inlineStr">
        <is>
          <t>DSP/PEQ</t>
        </is>
      </c>
      <c r="E1702" t="inlineStr">
        <is>
          <t>Non</t>
        </is>
      </c>
      <c r="F1702" t="inlineStr">
        <is>
          <t>https://www.audioreviews.org/earmen-eagle-review/</t>
        </is>
      </c>
      <c r="G1702" t="inlineStr">
        <is>
          <t>Caractéristique DSP/PEQ renseignée depuis la source produit consultée.</t>
        </is>
      </c>
      <c r="H1702" t="inlineStr">
        <is>
          <t>2026-08-10</t>
        </is>
      </c>
    </row>
    <row r="1703">
      <c r="A1703" t="n">
        <v>194</v>
      </c>
      <c r="B1703" t="inlineStr">
        <is>
          <t>EarMen</t>
        </is>
      </c>
      <c r="C1703" t="inlineStr">
        <is>
          <t>Sparrow</t>
        </is>
      </c>
      <c r="D1703" t="inlineStr">
        <is>
          <t>Batterie</t>
        </is>
      </c>
      <c r="E1703" t="inlineStr">
        <is>
          <t>Non</t>
        </is>
      </c>
      <c r="F1703" t="inlineStr">
        <is>
          <t>https://www.audioreviews.org/earmen-sparrow-review/</t>
        </is>
      </c>
      <c r="G1703" t="inlineStr">
        <is>
          <t>Caractéristique Batterie renseignée depuis la source produit consultée.</t>
        </is>
      </c>
      <c r="H1703" t="inlineStr">
        <is>
          <t>2026-08-10</t>
        </is>
      </c>
    </row>
    <row r="1704">
      <c r="A1704" t="n">
        <v>194</v>
      </c>
      <c r="B1704" t="inlineStr">
        <is>
          <t>EarMen</t>
        </is>
      </c>
      <c r="C1704" t="inlineStr">
        <is>
          <t>Sparrow</t>
        </is>
      </c>
      <c r="D1704" t="inlineStr">
        <is>
          <t>Bluetooth</t>
        </is>
      </c>
      <c r="E1704" t="inlineStr">
        <is>
          <t>Non</t>
        </is>
      </c>
      <c r="F1704" t="inlineStr">
        <is>
          <t>https://www.audioreviews.org/earmen-sparrow-review/</t>
        </is>
      </c>
      <c r="G1704" t="inlineStr">
        <is>
          <t>Caractéristique Bluetooth renseignée depuis la source produit consultée.</t>
        </is>
      </c>
      <c r="H1704" t="inlineStr">
        <is>
          <t>2026-08-10</t>
        </is>
      </c>
    </row>
    <row r="1705">
      <c r="A1705" t="n">
        <v>194</v>
      </c>
      <c r="B1705" t="inlineStr">
        <is>
          <t>EarMen</t>
        </is>
      </c>
      <c r="C1705" t="inlineStr">
        <is>
          <t>Sparrow</t>
        </is>
      </c>
      <c r="D1705" t="inlineStr">
        <is>
          <t>3.5mm</t>
        </is>
      </c>
      <c r="E1705" t="inlineStr">
        <is>
          <t>Oui</t>
        </is>
      </c>
      <c r="F1705" t="inlineStr">
        <is>
          <t>https://www.audioreviews.org/earmen-sparrow-review/</t>
        </is>
      </c>
      <c r="G1705" t="inlineStr">
        <is>
          <t>Caractéristique 3.5mm renseignée depuis la source produit consultée.</t>
        </is>
      </c>
      <c r="H1705" t="inlineStr">
        <is>
          <t>2026-08-10</t>
        </is>
      </c>
    </row>
    <row r="1706">
      <c r="A1706" t="n">
        <v>194</v>
      </c>
      <c r="B1706" t="inlineStr">
        <is>
          <t>EarMen</t>
        </is>
      </c>
      <c r="C1706" t="inlineStr">
        <is>
          <t>Sparrow</t>
        </is>
      </c>
      <c r="D1706" t="inlineStr">
        <is>
          <t>4.4mm</t>
        </is>
      </c>
      <c r="E1706" t="inlineStr">
        <is>
          <t>Non</t>
        </is>
      </c>
      <c r="F1706" t="inlineStr">
        <is>
          <t>https://www.audioreviews.org/earmen-sparrow-review/</t>
        </is>
      </c>
      <c r="G1706" t="inlineStr">
        <is>
          <t>Caractéristique 4.4mm renseignée depuis la source produit consultée.</t>
        </is>
      </c>
      <c r="H1706" t="inlineStr">
        <is>
          <t>2026-08-10</t>
        </is>
      </c>
    </row>
    <row r="1707">
      <c r="A1707" t="n">
        <v>194</v>
      </c>
      <c r="B1707" t="inlineStr">
        <is>
          <t>EarMen</t>
        </is>
      </c>
      <c r="C1707" t="inlineStr">
        <is>
          <t>Sparrow</t>
        </is>
      </c>
      <c r="D1707" t="inlineStr">
        <is>
          <t>2.5mm</t>
        </is>
      </c>
      <c r="E1707" t="inlineStr">
        <is>
          <t>Oui</t>
        </is>
      </c>
      <c r="F1707" t="inlineStr">
        <is>
          <t>https://www.audioreviews.org/earmen-sparrow-review/</t>
        </is>
      </c>
      <c r="G1707" t="inlineStr">
        <is>
          <t>Caractéristique 2.5mm renseignée depuis la source produit consultée.</t>
        </is>
      </c>
      <c r="H1707" t="inlineStr">
        <is>
          <t>2026-08-10</t>
        </is>
      </c>
    </row>
    <row r="1708">
      <c r="A1708" t="n">
        <v>194</v>
      </c>
      <c r="B1708" t="inlineStr">
        <is>
          <t>EarMen</t>
        </is>
      </c>
      <c r="C1708" t="inlineStr">
        <is>
          <t>Sparrow</t>
        </is>
      </c>
      <c r="D1708" t="inlineStr">
        <is>
          <t>6.35mm</t>
        </is>
      </c>
      <c r="E1708" t="inlineStr">
        <is>
          <t>Non</t>
        </is>
      </c>
      <c r="F1708" t="inlineStr">
        <is>
          <t>https://www.audioreviews.org/earmen-sparrow-review/</t>
        </is>
      </c>
      <c r="G1708" t="inlineStr">
        <is>
          <t>Caractéristique 6.35mm renseignée depuis la source produit consultée.</t>
        </is>
      </c>
      <c r="H1708" t="inlineStr">
        <is>
          <t>2026-08-10</t>
        </is>
      </c>
    </row>
    <row r="1709">
      <c r="A1709" t="n">
        <v>194</v>
      </c>
      <c r="B1709" t="inlineStr">
        <is>
          <t>EarMen</t>
        </is>
      </c>
      <c r="C1709" t="inlineStr">
        <is>
          <t>Sparrow</t>
        </is>
      </c>
      <c r="D1709" t="inlineStr">
        <is>
          <t>XLR</t>
        </is>
      </c>
      <c r="E1709" t="inlineStr">
        <is>
          <t>Non</t>
        </is>
      </c>
      <c r="F1709" t="inlineStr">
        <is>
          <t>https://www.audioreviews.org/earmen-sparrow-review/</t>
        </is>
      </c>
      <c r="G1709" t="inlineStr">
        <is>
          <t>Caractéristique XLR renseignée depuis la source produit consultée.</t>
        </is>
      </c>
      <c r="H1709" t="inlineStr">
        <is>
          <t>2026-08-10</t>
        </is>
      </c>
    </row>
    <row r="1710">
      <c r="A1710" t="n">
        <v>194</v>
      </c>
      <c r="B1710" t="inlineStr">
        <is>
          <t>EarMen</t>
        </is>
      </c>
      <c r="C1710" t="inlineStr">
        <is>
          <t>Sparrow</t>
        </is>
      </c>
      <c r="D1710" t="inlineStr">
        <is>
          <t>DSP/PEQ</t>
        </is>
      </c>
      <c r="E1710" t="inlineStr">
        <is>
          <t>Non</t>
        </is>
      </c>
      <c r="F1710" t="inlineStr">
        <is>
          <t>https://www.audioreviews.org/earmen-sparrow-review/</t>
        </is>
      </c>
      <c r="G1710" t="inlineStr">
        <is>
          <t>Caractéristique DSP/PEQ renseignée depuis la source produit consultée.</t>
        </is>
      </c>
      <c r="H1710" t="inlineStr">
        <is>
          <t>2026-08-10</t>
        </is>
      </c>
    </row>
    <row r="1711">
      <c r="A1711" t="n">
        <v>195</v>
      </c>
      <c r="B1711" t="inlineStr">
        <is>
          <t>Audirect</t>
        </is>
      </c>
      <c r="C1711" t="inlineStr">
        <is>
          <t>Atom 2</t>
        </is>
      </c>
      <c r="D1711" t="inlineStr">
        <is>
          <t>Batterie</t>
        </is>
      </c>
      <c r="E1711" t="inlineStr">
        <is>
          <t>Non</t>
        </is>
      </c>
      <c r="F1711" t="inlineStr">
        <is>
          <t>https://www.audioreviews.org/audirect-atom-2-review/</t>
        </is>
      </c>
      <c r="G1711" t="inlineStr">
        <is>
          <t>Caractéristique Batterie renseignée depuis la source produit consultée.</t>
        </is>
      </c>
      <c r="H1711" t="inlineStr">
        <is>
          <t>2026-08-10</t>
        </is>
      </c>
    </row>
    <row r="1712">
      <c r="A1712" t="n">
        <v>195</v>
      </c>
      <c r="B1712" t="inlineStr">
        <is>
          <t>Audirect</t>
        </is>
      </c>
      <c r="C1712" t="inlineStr">
        <is>
          <t>Atom 2</t>
        </is>
      </c>
      <c r="D1712" t="inlineStr">
        <is>
          <t>Bluetooth</t>
        </is>
      </c>
      <c r="E1712" t="inlineStr">
        <is>
          <t>Non</t>
        </is>
      </c>
      <c r="F1712" t="inlineStr">
        <is>
          <t>https://www.audioreviews.org/audirect-atom-2-review/</t>
        </is>
      </c>
      <c r="G1712" t="inlineStr">
        <is>
          <t>Caractéristique Bluetooth renseignée depuis la source produit consultée.</t>
        </is>
      </c>
      <c r="H1712" t="inlineStr">
        <is>
          <t>2026-08-10</t>
        </is>
      </c>
    </row>
    <row r="1713">
      <c r="A1713" t="n">
        <v>195</v>
      </c>
      <c r="B1713" t="inlineStr">
        <is>
          <t>Audirect</t>
        </is>
      </c>
      <c r="C1713" t="inlineStr">
        <is>
          <t>Atom 2</t>
        </is>
      </c>
      <c r="D1713" t="inlineStr">
        <is>
          <t>3.5mm</t>
        </is>
      </c>
      <c r="E1713" t="inlineStr">
        <is>
          <t>Oui</t>
        </is>
      </c>
      <c r="F1713" t="inlineStr">
        <is>
          <t>https://www.audioreviews.org/audirect-atom-2-review/</t>
        </is>
      </c>
      <c r="G1713" t="inlineStr">
        <is>
          <t>Caractéristique 3.5mm renseignée depuis la source produit consultée.</t>
        </is>
      </c>
      <c r="H1713" t="inlineStr">
        <is>
          <t>2026-08-10</t>
        </is>
      </c>
    </row>
    <row r="1714">
      <c r="A1714" t="n">
        <v>195</v>
      </c>
      <c r="B1714" t="inlineStr">
        <is>
          <t>Audirect</t>
        </is>
      </c>
      <c r="C1714" t="inlineStr">
        <is>
          <t>Atom 2</t>
        </is>
      </c>
      <c r="D1714" t="inlineStr">
        <is>
          <t>4.4mm</t>
        </is>
      </c>
      <c r="E1714" t="inlineStr">
        <is>
          <t>Non</t>
        </is>
      </c>
      <c r="F1714" t="inlineStr">
        <is>
          <t>https://www.audioreviews.org/audirect-atom-2-review/</t>
        </is>
      </c>
      <c r="G1714" t="inlineStr">
        <is>
          <t>Caractéristique 4.4mm renseignée depuis la source produit consultée.</t>
        </is>
      </c>
      <c r="H1714" t="inlineStr">
        <is>
          <t>2026-08-10</t>
        </is>
      </c>
    </row>
    <row r="1715">
      <c r="A1715" t="n">
        <v>195</v>
      </c>
      <c r="B1715" t="inlineStr">
        <is>
          <t>Audirect</t>
        </is>
      </c>
      <c r="C1715" t="inlineStr">
        <is>
          <t>Atom 2</t>
        </is>
      </c>
      <c r="D1715" t="inlineStr">
        <is>
          <t>2.5mm</t>
        </is>
      </c>
      <c r="E1715" t="inlineStr">
        <is>
          <t>Non</t>
        </is>
      </c>
      <c r="F1715" t="inlineStr">
        <is>
          <t>https://www.audioreviews.org/audirect-atom-2-review/</t>
        </is>
      </c>
      <c r="G1715" t="inlineStr">
        <is>
          <t>Caractéristique 2.5mm renseignée depuis la source produit consultée.</t>
        </is>
      </c>
      <c r="H1715" t="inlineStr">
        <is>
          <t>2026-08-10</t>
        </is>
      </c>
    </row>
    <row r="1716">
      <c r="A1716" t="n">
        <v>195</v>
      </c>
      <c r="B1716" t="inlineStr">
        <is>
          <t>Audirect</t>
        </is>
      </c>
      <c r="C1716" t="inlineStr">
        <is>
          <t>Atom 2</t>
        </is>
      </c>
      <c r="D1716" t="inlineStr">
        <is>
          <t>6.35mm</t>
        </is>
      </c>
      <c r="E1716" t="inlineStr">
        <is>
          <t>Non</t>
        </is>
      </c>
      <c r="F1716" t="inlineStr">
        <is>
          <t>https://www.audioreviews.org/audirect-atom-2-review/</t>
        </is>
      </c>
      <c r="G1716" t="inlineStr">
        <is>
          <t>Caractéristique 6.35mm renseignée depuis la source produit consultée.</t>
        </is>
      </c>
      <c r="H1716" t="inlineStr">
        <is>
          <t>2026-08-10</t>
        </is>
      </c>
    </row>
    <row r="1717">
      <c r="A1717" t="n">
        <v>195</v>
      </c>
      <c r="B1717" t="inlineStr">
        <is>
          <t>Audirect</t>
        </is>
      </c>
      <c r="C1717" t="inlineStr">
        <is>
          <t>Atom 2</t>
        </is>
      </c>
      <c r="D1717" t="inlineStr">
        <is>
          <t>XLR</t>
        </is>
      </c>
      <c r="E1717" t="inlineStr">
        <is>
          <t>Non</t>
        </is>
      </c>
      <c r="F1717" t="inlineStr">
        <is>
          <t>https://www.audioreviews.org/audirect-atom-2-review/</t>
        </is>
      </c>
      <c r="G1717" t="inlineStr">
        <is>
          <t>Caractéristique XLR renseignée depuis la source produit consultée.</t>
        </is>
      </c>
      <c r="H1717" t="inlineStr">
        <is>
          <t>2026-08-10</t>
        </is>
      </c>
    </row>
    <row r="1718">
      <c r="A1718" t="n">
        <v>195</v>
      </c>
      <c r="B1718" t="inlineStr">
        <is>
          <t>Audirect</t>
        </is>
      </c>
      <c r="C1718" t="inlineStr">
        <is>
          <t>Atom 2</t>
        </is>
      </c>
      <c r="D1718" t="inlineStr">
        <is>
          <t>DSP/PEQ</t>
        </is>
      </c>
      <c r="E1718" t="inlineStr">
        <is>
          <t>Non</t>
        </is>
      </c>
      <c r="F1718" t="inlineStr">
        <is>
          <t>https://www.audioreviews.org/audirect-atom-2-review/</t>
        </is>
      </c>
      <c r="G1718" t="inlineStr">
        <is>
          <t>Caractéristique DSP/PEQ renseignée depuis la source produit consultée.</t>
        </is>
      </c>
      <c r="H1718" t="inlineStr">
        <is>
          <t>2026-08-10</t>
        </is>
      </c>
    </row>
    <row r="1719">
      <c r="A1719" t="n">
        <v>196</v>
      </c>
      <c r="B1719" t="inlineStr">
        <is>
          <t>Audirect</t>
        </is>
      </c>
      <c r="C1719" t="inlineStr">
        <is>
          <t>Atom 3</t>
        </is>
      </c>
      <c r="D1719" t="inlineStr">
        <is>
          <t>Batterie</t>
        </is>
      </c>
      <c r="E1719" t="inlineStr">
        <is>
          <t>Non</t>
        </is>
      </c>
      <c r="F1719" t="inlineStr">
        <is>
          <t>https://www.audioreviews.org/audirect-atom-3-review/</t>
        </is>
      </c>
      <c r="G1719" t="inlineStr">
        <is>
          <t>Caractéristique Batterie renseignée depuis la source produit consultée.</t>
        </is>
      </c>
      <c r="H1719" t="inlineStr">
        <is>
          <t>2026-08-10</t>
        </is>
      </c>
    </row>
    <row r="1720">
      <c r="A1720" t="n">
        <v>196</v>
      </c>
      <c r="B1720" t="inlineStr">
        <is>
          <t>Audirect</t>
        </is>
      </c>
      <c r="C1720" t="inlineStr">
        <is>
          <t>Atom 3</t>
        </is>
      </c>
      <c r="D1720" t="inlineStr">
        <is>
          <t>Bluetooth</t>
        </is>
      </c>
      <c r="E1720" t="inlineStr">
        <is>
          <t>Non</t>
        </is>
      </c>
      <c r="F1720" t="inlineStr">
        <is>
          <t>https://www.audioreviews.org/audirect-atom-3-review/</t>
        </is>
      </c>
      <c r="G1720" t="inlineStr">
        <is>
          <t>Caractéristique Bluetooth renseignée depuis la source produit consultée.</t>
        </is>
      </c>
      <c r="H1720" t="inlineStr">
        <is>
          <t>2026-08-10</t>
        </is>
      </c>
    </row>
    <row r="1721">
      <c r="A1721" t="n">
        <v>196</v>
      </c>
      <c r="B1721" t="inlineStr">
        <is>
          <t>Audirect</t>
        </is>
      </c>
      <c r="C1721" t="inlineStr">
        <is>
          <t>Atom 3</t>
        </is>
      </c>
      <c r="D1721" t="inlineStr">
        <is>
          <t>3.5mm</t>
        </is>
      </c>
      <c r="E1721" t="inlineStr">
        <is>
          <t>Oui</t>
        </is>
      </c>
      <c r="F1721" t="inlineStr">
        <is>
          <t>https://www.audioreviews.org/audirect-atom-3-review/</t>
        </is>
      </c>
      <c r="G1721" t="inlineStr">
        <is>
          <t>Caractéristique 3.5mm renseignée depuis la source produit consultée.</t>
        </is>
      </c>
      <c r="H1721" t="inlineStr">
        <is>
          <t>2026-08-10</t>
        </is>
      </c>
    </row>
    <row r="1722">
      <c r="A1722" t="n">
        <v>196</v>
      </c>
      <c r="B1722" t="inlineStr">
        <is>
          <t>Audirect</t>
        </is>
      </c>
      <c r="C1722" t="inlineStr">
        <is>
          <t>Atom 3</t>
        </is>
      </c>
      <c r="D1722" t="inlineStr">
        <is>
          <t>4.4mm</t>
        </is>
      </c>
      <c r="E1722" t="inlineStr">
        <is>
          <t>Non</t>
        </is>
      </c>
      <c r="F1722" t="inlineStr">
        <is>
          <t>https://www.audioreviews.org/audirect-atom-3-review/</t>
        </is>
      </c>
      <c r="G1722" t="inlineStr">
        <is>
          <t>Caractéristique 4.4mm renseignée depuis la source produit consultée.</t>
        </is>
      </c>
      <c r="H1722" t="inlineStr">
        <is>
          <t>2026-08-10</t>
        </is>
      </c>
    </row>
    <row r="1723">
      <c r="A1723" t="n">
        <v>196</v>
      </c>
      <c r="B1723" t="inlineStr">
        <is>
          <t>Audirect</t>
        </is>
      </c>
      <c r="C1723" t="inlineStr">
        <is>
          <t>Atom 3</t>
        </is>
      </c>
      <c r="D1723" t="inlineStr">
        <is>
          <t>2.5mm</t>
        </is>
      </c>
      <c r="E1723" t="inlineStr">
        <is>
          <t>Non</t>
        </is>
      </c>
      <c r="F1723" t="inlineStr">
        <is>
          <t>https://www.audioreviews.org/audirect-atom-3-review/</t>
        </is>
      </c>
      <c r="G1723" t="inlineStr">
        <is>
          <t>Caractéristique 2.5mm renseignée depuis la source produit consultée.</t>
        </is>
      </c>
      <c r="H1723" t="inlineStr">
        <is>
          <t>2026-08-10</t>
        </is>
      </c>
    </row>
    <row r="1724">
      <c r="A1724" t="n">
        <v>196</v>
      </c>
      <c r="B1724" t="inlineStr">
        <is>
          <t>Audirect</t>
        </is>
      </c>
      <c r="C1724" t="inlineStr">
        <is>
          <t>Atom 3</t>
        </is>
      </c>
      <c r="D1724" t="inlineStr">
        <is>
          <t>6.35mm</t>
        </is>
      </c>
      <c r="E1724" t="inlineStr">
        <is>
          <t>Non</t>
        </is>
      </c>
      <c r="F1724" t="inlineStr">
        <is>
          <t>https://www.audioreviews.org/audirect-atom-3-review/</t>
        </is>
      </c>
      <c r="G1724" t="inlineStr">
        <is>
          <t>Caractéristique 6.35mm renseignée depuis la source produit consultée.</t>
        </is>
      </c>
      <c r="H1724" t="inlineStr">
        <is>
          <t>2026-08-10</t>
        </is>
      </c>
    </row>
    <row r="1725">
      <c r="A1725" t="n">
        <v>196</v>
      </c>
      <c r="B1725" t="inlineStr">
        <is>
          <t>Audirect</t>
        </is>
      </c>
      <c r="C1725" t="inlineStr">
        <is>
          <t>Atom 3</t>
        </is>
      </c>
      <c r="D1725" t="inlineStr">
        <is>
          <t>XLR</t>
        </is>
      </c>
      <c r="E1725" t="inlineStr">
        <is>
          <t>Non</t>
        </is>
      </c>
      <c r="F1725" t="inlineStr">
        <is>
          <t>https://www.audioreviews.org/audirect-atom-3-review/</t>
        </is>
      </c>
      <c r="G1725" t="inlineStr">
        <is>
          <t>Caractéristique XLR renseignée depuis la source produit consultée.</t>
        </is>
      </c>
      <c r="H1725" t="inlineStr">
        <is>
          <t>2026-08-10</t>
        </is>
      </c>
    </row>
    <row r="1726">
      <c r="A1726" t="n">
        <v>196</v>
      </c>
      <c r="B1726" t="inlineStr">
        <is>
          <t>Audirect</t>
        </is>
      </c>
      <c r="C1726" t="inlineStr">
        <is>
          <t>Atom 3</t>
        </is>
      </c>
      <c r="D1726" t="inlineStr">
        <is>
          <t>DSP/PEQ</t>
        </is>
      </c>
      <c r="E1726" t="inlineStr">
        <is>
          <t>Non</t>
        </is>
      </c>
      <c r="F1726" t="inlineStr">
        <is>
          <t>https://www.audioreviews.org/audirect-atom-3-review/</t>
        </is>
      </c>
      <c r="G1726" t="inlineStr">
        <is>
          <t>Caractéristique DSP/PEQ renseignée depuis la source produit consultée.</t>
        </is>
      </c>
      <c r="H1726" t="inlineStr">
        <is>
          <t>2026-08-10</t>
        </is>
      </c>
    </row>
    <row r="1727">
      <c r="A1727" t="n">
        <v>197</v>
      </c>
      <c r="B1727" t="inlineStr">
        <is>
          <t>Audirect</t>
        </is>
      </c>
      <c r="C1727" t="inlineStr">
        <is>
          <t>Team 1</t>
        </is>
      </c>
      <c r="D1727" t="inlineStr">
        <is>
          <t>Batterie</t>
        </is>
      </c>
      <c r="E1727" t="inlineStr">
        <is>
          <t>Oui</t>
        </is>
      </c>
      <c r="F1727" t="inlineStr">
        <is>
          <t>https://www.audioreviews.org/audirect-team-1-review/</t>
        </is>
      </c>
      <c r="G1727" t="inlineStr">
        <is>
          <t>Caractéristique Batterie renseignée depuis la source produit consultée.</t>
        </is>
      </c>
      <c r="H1727" t="inlineStr">
        <is>
          <t>2026-08-10</t>
        </is>
      </c>
    </row>
    <row r="1728">
      <c r="A1728" t="n">
        <v>197</v>
      </c>
      <c r="B1728" t="inlineStr">
        <is>
          <t>Audirect</t>
        </is>
      </c>
      <c r="C1728" t="inlineStr">
        <is>
          <t>Team 1</t>
        </is>
      </c>
      <c r="D1728" t="inlineStr">
        <is>
          <t>Bluetooth</t>
        </is>
      </c>
      <c r="E1728" t="inlineStr">
        <is>
          <t>Oui</t>
        </is>
      </c>
      <c r="F1728" t="inlineStr">
        <is>
          <t>https://www.audioreviews.org/audirect-team-1-review/</t>
        </is>
      </c>
      <c r="G1728" t="inlineStr">
        <is>
          <t>Caractéristique Bluetooth renseignée depuis la source produit consultée.</t>
        </is>
      </c>
      <c r="H1728" t="inlineStr">
        <is>
          <t>2026-08-10</t>
        </is>
      </c>
    </row>
    <row r="1729">
      <c r="A1729" t="n">
        <v>197</v>
      </c>
      <c r="B1729" t="inlineStr">
        <is>
          <t>Audirect</t>
        </is>
      </c>
      <c r="C1729" t="inlineStr">
        <is>
          <t>Team 1</t>
        </is>
      </c>
      <c r="D1729" t="inlineStr">
        <is>
          <t>3.5mm</t>
        </is>
      </c>
      <c r="E1729" t="inlineStr">
        <is>
          <t>Oui</t>
        </is>
      </c>
      <c r="F1729" t="inlineStr">
        <is>
          <t>https://www.audioreviews.org/audirect-team-1-review/</t>
        </is>
      </c>
      <c r="G1729" t="inlineStr">
        <is>
          <t>Caractéristique 3.5mm renseignée depuis la source produit consultée.</t>
        </is>
      </c>
      <c r="H1729" t="inlineStr">
        <is>
          <t>2026-08-10</t>
        </is>
      </c>
    </row>
    <row r="1730">
      <c r="A1730" t="n">
        <v>197</v>
      </c>
      <c r="B1730" t="inlineStr">
        <is>
          <t>Audirect</t>
        </is>
      </c>
      <c r="C1730" t="inlineStr">
        <is>
          <t>Team 1</t>
        </is>
      </c>
      <c r="D1730" t="inlineStr">
        <is>
          <t>4.4mm</t>
        </is>
      </c>
      <c r="E1730" t="inlineStr">
        <is>
          <t>Oui</t>
        </is>
      </c>
      <c r="F1730" t="inlineStr">
        <is>
          <t>https://www.audioreviews.org/audirect-team-1-review/</t>
        </is>
      </c>
      <c r="G1730" t="inlineStr">
        <is>
          <t>Caractéristique 4.4mm renseignée depuis la source produit consultée.</t>
        </is>
      </c>
      <c r="H1730" t="inlineStr">
        <is>
          <t>2026-08-10</t>
        </is>
      </c>
    </row>
    <row r="1731">
      <c r="A1731" t="n">
        <v>197</v>
      </c>
      <c r="B1731" t="inlineStr">
        <is>
          <t>Audirect</t>
        </is>
      </c>
      <c r="C1731" t="inlineStr">
        <is>
          <t>Team 1</t>
        </is>
      </c>
      <c r="D1731" t="inlineStr">
        <is>
          <t>2.5mm</t>
        </is>
      </c>
      <c r="E1731" t="inlineStr">
        <is>
          <t>Non</t>
        </is>
      </c>
      <c r="F1731" t="inlineStr">
        <is>
          <t>https://www.audioreviews.org/audirect-team-1-review/</t>
        </is>
      </c>
      <c r="G1731" t="inlineStr">
        <is>
          <t>Caractéristique 2.5mm renseignée depuis la source produit consultée.</t>
        </is>
      </c>
      <c r="H1731" t="inlineStr">
        <is>
          <t>2026-08-10</t>
        </is>
      </c>
    </row>
    <row r="1732">
      <c r="A1732" t="n">
        <v>197</v>
      </c>
      <c r="B1732" t="inlineStr">
        <is>
          <t>Audirect</t>
        </is>
      </c>
      <c r="C1732" t="inlineStr">
        <is>
          <t>Team 1</t>
        </is>
      </c>
      <c r="D1732" t="inlineStr">
        <is>
          <t>6.35mm</t>
        </is>
      </c>
      <c r="E1732" t="inlineStr">
        <is>
          <t>Non</t>
        </is>
      </c>
      <c r="F1732" t="inlineStr">
        <is>
          <t>https://www.audioreviews.org/audirect-team-1-review/</t>
        </is>
      </c>
      <c r="G1732" t="inlineStr">
        <is>
          <t>Caractéristique 6.35mm renseignée depuis la source produit consultée.</t>
        </is>
      </c>
      <c r="H1732" t="inlineStr">
        <is>
          <t>2026-08-10</t>
        </is>
      </c>
    </row>
    <row r="1733">
      <c r="A1733" t="n">
        <v>197</v>
      </c>
      <c r="B1733" t="inlineStr">
        <is>
          <t>Audirect</t>
        </is>
      </c>
      <c r="C1733" t="inlineStr">
        <is>
          <t>Team 1</t>
        </is>
      </c>
      <c r="D1733" t="inlineStr">
        <is>
          <t>XLR</t>
        </is>
      </c>
      <c r="E1733" t="inlineStr">
        <is>
          <t>Non</t>
        </is>
      </c>
      <c r="F1733" t="inlineStr">
        <is>
          <t>https://www.audioreviews.org/audirect-team-1-review/</t>
        </is>
      </c>
      <c r="G1733" t="inlineStr">
        <is>
          <t>Caractéristique XLR renseignée depuis la source produit consultée.</t>
        </is>
      </c>
      <c r="H1733" t="inlineStr">
        <is>
          <t>2026-08-10</t>
        </is>
      </c>
    </row>
    <row r="1734">
      <c r="A1734" t="n">
        <v>197</v>
      </c>
      <c r="B1734" t="inlineStr">
        <is>
          <t>Audirect</t>
        </is>
      </c>
      <c r="C1734" t="inlineStr">
        <is>
          <t>Team 1</t>
        </is>
      </c>
      <c r="D1734" t="inlineStr">
        <is>
          <t>DSP/PEQ</t>
        </is>
      </c>
      <c r="E1734" t="inlineStr">
        <is>
          <t>Non</t>
        </is>
      </c>
      <c r="F1734" t="inlineStr">
        <is>
          <t>https://www.audioreviews.org/audirect-team-1-review/</t>
        </is>
      </c>
      <c r="G1734" t="inlineStr">
        <is>
          <t>Caractéristique DSP/PEQ renseignée depuis la source produit consultée.</t>
        </is>
      </c>
      <c r="H1734" t="inlineStr">
        <is>
          <t>2026-08-10</t>
        </is>
      </c>
    </row>
    <row r="1735">
      <c r="A1735" t="n">
        <v>198</v>
      </c>
      <c r="B1735" t="inlineStr">
        <is>
          <t>Venture Electronics</t>
        </is>
      </c>
      <c r="C1735" t="inlineStr">
        <is>
          <t>Odyssey HD</t>
        </is>
      </c>
      <c r="D1735" t="inlineStr">
        <is>
          <t>Batterie</t>
        </is>
      </c>
      <c r="E1735" t="inlineStr">
        <is>
          <t>Non</t>
        </is>
      </c>
      <c r="F1735" t="inlineStr">
        <is>
          <t>https://www.soundphilereview.com/reviews/venture-electronics-odyssey-hd-review-4580/</t>
        </is>
      </c>
      <c r="G1735" t="inlineStr">
        <is>
          <t>Caractéristique Batterie renseignée depuis la source produit consultée.</t>
        </is>
      </c>
      <c r="H1735" t="inlineStr">
        <is>
          <t>2026-08-10</t>
        </is>
      </c>
    </row>
    <row r="1736">
      <c r="A1736" t="n">
        <v>198</v>
      </c>
      <c r="B1736" t="inlineStr">
        <is>
          <t>Venture Electronics</t>
        </is>
      </c>
      <c r="C1736" t="inlineStr">
        <is>
          <t>Odyssey HD</t>
        </is>
      </c>
      <c r="D1736" t="inlineStr">
        <is>
          <t>Bluetooth</t>
        </is>
      </c>
      <c r="E1736" t="inlineStr">
        <is>
          <t>Non</t>
        </is>
      </c>
      <c r="F1736" t="inlineStr">
        <is>
          <t>https://www.soundphilereview.com/reviews/venture-electronics-odyssey-hd-review-4580/</t>
        </is>
      </c>
      <c r="G1736" t="inlineStr">
        <is>
          <t>Caractéristique Bluetooth renseignée depuis la source produit consultée.</t>
        </is>
      </c>
      <c r="H1736" t="inlineStr">
        <is>
          <t>2026-08-10</t>
        </is>
      </c>
    </row>
    <row r="1737">
      <c r="A1737" t="n">
        <v>198</v>
      </c>
      <c r="B1737" t="inlineStr">
        <is>
          <t>Venture Electronics</t>
        </is>
      </c>
      <c r="C1737" t="inlineStr">
        <is>
          <t>Odyssey HD</t>
        </is>
      </c>
      <c r="D1737" t="inlineStr">
        <is>
          <t>3.5mm</t>
        </is>
      </c>
      <c r="E1737" t="inlineStr">
        <is>
          <t>Oui</t>
        </is>
      </c>
      <c r="F1737" t="inlineStr">
        <is>
          <t>https://www.soundphilereview.com/reviews/venture-electronics-odyssey-hd-review-4580/</t>
        </is>
      </c>
      <c r="G1737" t="inlineStr">
        <is>
          <t>Caractéristique 3.5mm renseignée depuis la source produit consultée.</t>
        </is>
      </c>
      <c r="H1737" t="inlineStr">
        <is>
          <t>2026-08-10</t>
        </is>
      </c>
    </row>
    <row r="1738">
      <c r="A1738" t="n">
        <v>198</v>
      </c>
      <c r="B1738" t="inlineStr">
        <is>
          <t>Venture Electronics</t>
        </is>
      </c>
      <c r="C1738" t="inlineStr">
        <is>
          <t>Odyssey HD</t>
        </is>
      </c>
      <c r="D1738" t="inlineStr">
        <is>
          <t>4.4mm</t>
        </is>
      </c>
      <c r="E1738" t="inlineStr">
        <is>
          <t>Oui</t>
        </is>
      </c>
      <c r="F1738" t="inlineStr">
        <is>
          <t>https://www.soundphilereview.com/reviews/venture-electronics-odyssey-hd-review-4580/</t>
        </is>
      </c>
      <c r="G1738" t="inlineStr">
        <is>
          <t>Caractéristique 4.4mm renseignée depuis la source produit consultée.</t>
        </is>
      </c>
      <c r="H1738" t="inlineStr">
        <is>
          <t>2026-08-10</t>
        </is>
      </c>
    </row>
    <row r="1739">
      <c r="A1739" t="n">
        <v>198</v>
      </c>
      <c r="B1739" t="inlineStr">
        <is>
          <t>Venture Electronics</t>
        </is>
      </c>
      <c r="C1739" t="inlineStr">
        <is>
          <t>Odyssey HD</t>
        </is>
      </c>
      <c r="D1739" t="inlineStr">
        <is>
          <t>2.5mm</t>
        </is>
      </c>
      <c r="E1739" t="inlineStr">
        <is>
          <t>Oui</t>
        </is>
      </c>
      <c r="F1739" t="inlineStr">
        <is>
          <t>https://www.soundphilereview.com/reviews/venture-electronics-odyssey-hd-review-4580/</t>
        </is>
      </c>
      <c r="G1739" t="inlineStr">
        <is>
          <t>Caractéristique 2.5mm renseignée depuis la source produit consultée.</t>
        </is>
      </c>
      <c r="H1739" t="inlineStr">
        <is>
          <t>2026-08-10</t>
        </is>
      </c>
    </row>
    <row r="1740">
      <c r="A1740" t="n">
        <v>198</v>
      </c>
      <c r="B1740" t="inlineStr">
        <is>
          <t>Venture Electronics</t>
        </is>
      </c>
      <c r="C1740" t="inlineStr">
        <is>
          <t>Odyssey HD</t>
        </is>
      </c>
      <c r="D1740" t="inlineStr">
        <is>
          <t>6.35mm</t>
        </is>
      </c>
      <c r="E1740" t="inlineStr">
        <is>
          <t>Non</t>
        </is>
      </c>
      <c r="F1740" t="inlineStr">
        <is>
          <t>https://www.soundphilereview.com/reviews/venture-electronics-odyssey-hd-review-4580/</t>
        </is>
      </c>
      <c r="G1740" t="inlineStr">
        <is>
          <t>Caractéristique 6.35mm renseignée depuis la source produit consultée.</t>
        </is>
      </c>
      <c r="H1740" t="inlineStr">
        <is>
          <t>2026-08-10</t>
        </is>
      </c>
    </row>
    <row r="1741">
      <c r="A1741" t="n">
        <v>198</v>
      </c>
      <c r="B1741" t="inlineStr">
        <is>
          <t>Venture Electronics</t>
        </is>
      </c>
      <c r="C1741" t="inlineStr">
        <is>
          <t>Odyssey HD</t>
        </is>
      </c>
      <c r="D1741" t="inlineStr">
        <is>
          <t>XLR</t>
        </is>
      </c>
      <c r="E1741" t="inlineStr">
        <is>
          <t>Non</t>
        </is>
      </c>
      <c r="F1741" t="inlineStr">
        <is>
          <t>https://www.soundphilereview.com/reviews/venture-electronics-odyssey-hd-review-4580/</t>
        </is>
      </c>
      <c r="G1741" t="inlineStr">
        <is>
          <t>Caractéristique XLR renseignée depuis la source produit consultée.</t>
        </is>
      </c>
      <c r="H1741" t="inlineStr">
        <is>
          <t>2026-08-10</t>
        </is>
      </c>
    </row>
    <row r="1742">
      <c r="A1742" t="n">
        <v>198</v>
      </c>
      <c r="B1742" t="inlineStr">
        <is>
          <t>Venture Electronics</t>
        </is>
      </c>
      <c r="C1742" t="inlineStr">
        <is>
          <t>Odyssey HD</t>
        </is>
      </c>
      <c r="D1742" t="inlineStr">
        <is>
          <t>DSP/PEQ</t>
        </is>
      </c>
      <c r="E1742" t="inlineStr">
        <is>
          <t>Non</t>
        </is>
      </c>
      <c r="F1742" t="inlineStr">
        <is>
          <t>https://www.soundphilereview.com/reviews/venture-electronics-odyssey-hd-review-4580/</t>
        </is>
      </c>
      <c r="G1742" t="inlineStr">
        <is>
          <t>Caractéristique DSP/PEQ renseignée depuis la source produit consultée.</t>
        </is>
      </c>
      <c r="H1742" t="inlineStr">
        <is>
          <t>2026-08-10</t>
        </is>
      </c>
    </row>
    <row r="1743">
      <c r="A1743" t="n">
        <v>199</v>
      </c>
      <c r="B1743" t="inlineStr">
        <is>
          <t>TempoTec</t>
        </is>
      </c>
      <c r="C1743" t="inlineStr">
        <is>
          <t>Sonata HD II</t>
        </is>
      </c>
      <c r="D1743" t="inlineStr">
        <is>
          <t>Batterie</t>
        </is>
      </c>
      <c r="E1743" t="inlineStr">
        <is>
          <t>Non</t>
        </is>
      </c>
      <c r="F1743" t="inlineStr">
        <is>
          <t>https://www.audiophile-heaven.com/2022/05/tempotec-sonata-hd-ii-music-tail.html</t>
        </is>
      </c>
      <c r="G1743" t="inlineStr">
        <is>
          <t>Caractéristique Batterie renseignée depuis la source produit consultée.</t>
        </is>
      </c>
      <c r="H1743" t="inlineStr">
        <is>
          <t>2026-08-10</t>
        </is>
      </c>
    </row>
    <row r="1744">
      <c r="A1744" t="n">
        <v>199</v>
      </c>
      <c r="B1744" t="inlineStr">
        <is>
          <t>TempoTec</t>
        </is>
      </c>
      <c r="C1744" t="inlineStr">
        <is>
          <t>Sonata HD II</t>
        </is>
      </c>
      <c r="D1744" t="inlineStr">
        <is>
          <t>Bluetooth</t>
        </is>
      </c>
      <c r="E1744" t="inlineStr">
        <is>
          <t>Non</t>
        </is>
      </c>
      <c r="F1744" t="inlineStr">
        <is>
          <t>https://www.audiophile-heaven.com/2022/05/tempotec-sonata-hd-ii-music-tail.html</t>
        </is>
      </c>
      <c r="G1744" t="inlineStr">
        <is>
          <t>Caractéristique Bluetooth renseignée depuis la source produit consultée.</t>
        </is>
      </c>
      <c r="H1744" t="inlineStr">
        <is>
          <t>2026-08-10</t>
        </is>
      </c>
    </row>
    <row r="1745">
      <c r="A1745" t="n">
        <v>199</v>
      </c>
      <c r="B1745" t="inlineStr">
        <is>
          <t>TempoTec</t>
        </is>
      </c>
      <c r="C1745" t="inlineStr">
        <is>
          <t>Sonata HD II</t>
        </is>
      </c>
      <c r="D1745" t="inlineStr">
        <is>
          <t>3.5mm</t>
        </is>
      </c>
      <c r="E1745" t="inlineStr">
        <is>
          <t>Oui</t>
        </is>
      </c>
      <c r="F1745" t="inlineStr">
        <is>
          <t>https://www.audiophile-heaven.com/2022/05/tempotec-sonata-hd-ii-music-tail.html</t>
        </is>
      </c>
      <c r="G1745" t="inlineStr">
        <is>
          <t>Caractéristique 3.5mm renseignée depuis la source produit consultée.</t>
        </is>
      </c>
      <c r="H1745" t="inlineStr">
        <is>
          <t>2026-08-10</t>
        </is>
      </c>
    </row>
    <row r="1746">
      <c r="A1746" t="n">
        <v>199</v>
      </c>
      <c r="B1746" t="inlineStr">
        <is>
          <t>TempoTec</t>
        </is>
      </c>
      <c r="C1746" t="inlineStr">
        <is>
          <t>Sonata HD II</t>
        </is>
      </c>
      <c r="D1746" t="inlineStr">
        <is>
          <t>4.4mm</t>
        </is>
      </c>
      <c r="E1746" t="inlineStr">
        <is>
          <t>Non</t>
        </is>
      </c>
      <c r="F1746" t="inlineStr">
        <is>
          <t>https://www.audiophile-heaven.com/2022/05/tempotec-sonata-hd-ii-music-tail.html</t>
        </is>
      </c>
      <c r="G1746" t="inlineStr">
        <is>
          <t>Caractéristique 4.4mm renseignée depuis la source produit consultée.</t>
        </is>
      </c>
      <c r="H1746" t="inlineStr">
        <is>
          <t>2026-08-10</t>
        </is>
      </c>
    </row>
    <row r="1747">
      <c r="A1747" t="n">
        <v>199</v>
      </c>
      <c r="B1747" t="inlineStr">
        <is>
          <t>TempoTec</t>
        </is>
      </c>
      <c r="C1747" t="inlineStr">
        <is>
          <t>Sonata HD II</t>
        </is>
      </c>
      <c r="D1747" t="inlineStr">
        <is>
          <t>2.5mm</t>
        </is>
      </c>
      <c r="E1747" t="inlineStr">
        <is>
          <t>Non</t>
        </is>
      </c>
      <c r="F1747" t="inlineStr">
        <is>
          <t>https://www.audiophile-heaven.com/2022/05/tempotec-sonata-hd-ii-music-tail.html</t>
        </is>
      </c>
      <c r="G1747" t="inlineStr">
        <is>
          <t>Caractéristique 2.5mm renseignée depuis la source produit consultée.</t>
        </is>
      </c>
      <c r="H1747" t="inlineStr">
        <is>
          <t>2026-08-10</t>
        </is>
      </c>
    </row>
    <row r="1748">
      <c r="A1748" t="n">
        <v>199</v>
      </c>
      <c r="B1748" t="inlineStr">
        <is>
          <t>TempoTec</t>
        </is>
      </c>
      <c r="C1748" t="inlineStr">
        <is>
          <t>Sonata HD II</t>
        </is>
      </c>
      <c r="D1748" t="inlineStr">
        <is>
          <t>6.35mm</t>
        </is>
      </c>
      <c r="E1748" t="inlineStr">
        <is>
          <t>Non</t>
        </is>
      </c>
      <c r="F1748" t="inlineStr">
        <is>
          <t>https://www.audiophile-heaven.com/2022/05/tempotec-sonata-hd-ii-music-tail.html</t>
        </is>
      </c>
      <c r="G1748" t="inlineStr">
        <is>
          <t>Caractéristique 6.35mm renseignée depuis la source produit consultée.</t>
        </is>
      </c>
      <c r="H1748" t="inlineStr">
        <is>
          <t>2026-08-10</t>
        </is>
      </c>
    </row>
    <row r="1749">
      <c r="A1749" t="n">
        <v>199</v>
      </c>
      <c r="B1749" t="inlineStr">
        <is>
          <t>TempoTec</t>
        </is>
      </c>
      <c r="C1749" t="inlineStr">
        <is>
          <t>Sonata HD II</t>
        </is>
      </c>
      <c r="D1749" t="inlineStr">
        <is>
          <t>XLR</t>
        </is>
      </c>
      <c r="E1749" t="inlineStr">
        <is>
          <t>Non</t>
        </is>
      </c>
      <c r="F1749" t="inlineStr">
        <is>
          <t>https://www.audiophile-heaven.com/2022/05/tempotec-sonata-hd-ii-music-tail.html</t>
        </is>
      </c>
      <c r="G1749" t="inlineStr">
        <is>
          <t>Caractéristique XLR renseignée depuis la source produit consultée.</t>
        </is>
      </c>
      <c r="H1749" t="inlineStr">
        <is>
          <t>2026-08-10</t>
        </is>
      </c>
    </row>
    <row r="1750">
      <c r="A1750" t="n">
        <v>199</v>
      </c>
      <c r="B1750" t="inlineStr">
        <is>
          <t>TempoTec</t>
        </is>
      </c>
      <c r="C1750" t="inlineStr">
        <is>
          <t>Sonata HD II</t>
        </is>
      </c>
      <c r="D1750" t="inlineStr">
        <is>
          <t>DSP/PEQ</t>
        </is>
      </c>
      <c r="E1750" t="inlineStr">
        <is>
          <t>Non</t>
        </is>
      </c>
      <c r="F1750" t="inlineStr">
        <is>
          <t>https://www.audiophile-heaven.com/2022/05/tempotec-sonata-hd-ii-music-tail.html</t>
        </is>
      </c>
      <c r="G1750" t="inlineStr">
        <is>
          <t>Caractéristique DSP/PEQ renseignée depuis la source produit consultée.</t>
        </is>
      </c>
      <c r="H1750" t="inlineStr">
        <is>
          <t>2026-08-10</t>
        </is>
      </c>
    </row>
    <row r="1751">
      <c r="A1751" t="n">
        <v>200</v>
      </c>
      <c r="B1751" t="inlineStr">
        <is>
          <t>BGVP</t>
        </is>
      </c>
      <c r="C1751" t="inlineStr">
        <is>
          <t>T01s</t>
        </is>
      </c>
      <c r="D1751" t="inlineStr">
        <is>
          <t>Batterie</t>
        </is>
      </c>
      <c r="E1751" t="inlineStr">
        <is>
          <t>Non</t>
        </is>
      </c>
      <c r="F1751" t="inlineStr">
        <is>
          <t>https://www.audioreviews.org/bgvp-t01s-review/</t>
        </is>
      </c>
      <c r="G1751" t="inlineStr">
        <is>
          <t>Caractéristique Batterie renseignée depuis la source produit consultée.</t>
        </is>
      </c>
      <c r="H1751" t="inlineStr">
        <is>
          <t>2026-08-10</t>
        </is>
      </c>
    </row>
    <row r="1752">
      <c r="A1752" t="n">
        <v>200</v>
      </c>
      <c r="B1752" t="inlineStr">
        <is>
          <t>BGVP</t>
        </is>
      </c>
      <c r="C1752" t="inlineStr">
        <is>
          <t>T01s</t>
        </is>
      </c>
      <c r="D1752" t="inlineStr">
        <is>
          <t>Bluetooth</t>
        </is>
      </c>
      <c r="E1752" t="inlineStr">
        <is>
          <t>Non</t>
        </is>
      </c>
      <c r="F1752" t="inlineStr">
        <is>
          <t>https://www.audioreviews.org/bgvp-t01s-review/</t>
        </is>
      </c>
      <c r="G1752" t="inlineStr">
        <is>
          <t>Caractéristique Bluetooth renseignée depuis la source produit consultée.</t>
        </is>
      </c>
      <c r="H1752" t="inlineStr">
        <is>
          <t>2026-08-10</t>
        </is>
      </c>
    </row>
    <row r="1753">
      <c r="A1753" t="n">
        <v>200</v>
      </c>
      <c r="B1753" t="inlineStr">
        <is>
          <t>BGVP</t>
        </is>
      </c>
      <c r="C1753" t="inlineStr">
        <is>
          <t>T01s</t>
        </is>
      </c>
      <c r="D1753" t="inlineStr">
        <is>
          <t>3.5mm</t>
        </is>
      </c>
      <c r="E1753" t="inlineStr">
        <is>
          <t>Oui</t>
        </is>
      </c>
      <c r="F1753" t="inlineStr">
        <is>
          <t>https://www.audioreviews.org/bgvp-t01s-review/</t>
        </is>
      </c>
      <c r="G1753" t="inlineStr">
        <is>
          <t>Caractéristique 3.5mm renseignée depuis la source produit consultée.</t>
        </is>
      </c>
      <c r="H1753" t="inlineStr">
        <is>
          <t>2026-08-10</t>
        </is>
      </c>
    </row>
    <row r="1754">
      <c r="A1754" t="n">
        <v>200</v>
      </c>
      <c r="B1754" t="inlineStr">
        <is>
          <t>BGVP</t>
        </is>
      </c>
      <c r="C1754" t="inlineStr">
        <is>
          <t>T01s</t>
        </is>
      </c>
      <c r="D1754" t="inlineStr">
        <is>
          <t>4.4mm</t>
        </is>
      </c>
      <c r="E1754" t="inlineStr">
        <is>
          <t>Non</t>
        </is>
      </c>
      <c r="F1754" t="inlineStr">
        <is>
          <t>https://www.audioreviews.org/bgvp-t01s-review/</t>
        </is>
      </c>
      <c r="G1754" t="inlineStr">
        <is>
          <t>Caractéristique 4.4mm renseignée depuis la source produit consultée.</t>
        </is>
      </c>
      <c r="H1754" t="inlineStr">
        <is>
          <t>2026-08-10</t>
        </is>
      </c>
    </row>
    <row r="1755">
      <c r="A1755" t="n">
        <v>200</v>
      </c>
      <c r="B1755" t="inlineStr">
        <is>
          <t>BGVP</t>
        </is>
      </c>
      <c r="C1755" t="inlineStr">
        <is>
          <t>T01s</t>
        </is>
      </c>
      <c r="D1755" t="inlineStr">
        <is>
          <t>2.5mm</t>
        </is>
      </c>
      <c r="E1755" t="inlineStr">
        <is>
          <t>Non</t>
        </is>
      </c>
      <c r="F1755" t="inlineStr">
        <is>
          <t>https://www.audioreviews.org/bgvp-t01s-review/</t>
        </is>
      </c>
      <c r="G1755" t="inlineStr">
        <is>
          <t>Caractéristique 2.5mm renseignée depuis la source produit consultée.</t>
        </is>
      </c>
      <c r="H1755" t="inlineStr">
        <is>
          <t>2026-08-10</t>
        </is>
      </c>
    </row>
    <row r="1756">
      <c r="A1756" t="n">
        <v>200</v>
      </c>
      <c r="B1756" t="inlineStr">
        <is>
          <t>BGVP</t>
        </is>
      </c>
      <c r="C1756" t="inlineStr">
        <is>
          <t>T01s</t>
        </is>
      </c>
      <c r="D1756" t="inlineStr">
        <is>
          <t>6.35mm</t>
        </is>
      </c>
      <c r="E1756" t="inlineStr">
        <is>
          <t>Non</t>
        </is>
      </c>
      <c r="F1756" t="inlineStr">
        <is>
          <t>https://www.audioreviews.org/bgvp-t01s-review/</t>
        </is>
      </c>
      <c r="G1756" t="inlineStr">
        <is>
          <t>Caractéristique 6.35mm renseignée depuis la source produit consultée.</t>
        </is>
      </c>
      <c r="H1756" t="inlineStr">
        <is>
          <t>2026-08-10</t>
        </is>
      </c>
    </row>
    <row r="1757">
      <c r="A1757" t="n">
        <v>200</v>
      </c>
      <c r="B1757" t="inlineStr">
        <is>
          <t>BGVP</t>
        </is>
      </c>
      <c r="C1757" t="inlineStr">
        <is>
          <t>T01s</t>
        </is>
      </c>
      <c r="D1757" t="inlineStr">
        <is>
          <t>XLR</t>
        </is>
      </c>
      <c r="E1757" t="inlineStr">
        <is>
          <t>Non</t>
        </is>
      </c>
      <c r="F1757" t="inlineStr">
        <is>
          <t>https://www.audioreviews.org/bgvp-t01s-review/</t>
        </is>
      </c>
      <c r="G1757" t="inlineStr">
        <is>
          <t>Caractéristique XLR renseignée depuis la source produit consultée.</t>
        </is>
      </c>
      <c r="H1757" t="inlineStr">
        <is>
          <t>2026-08-10</t>
        </is>
      </c>
    </row>
    <row r="1758">
      <c r="A1758" t="n">
        <v>200</v>
      </c>
      <c r="B1758" t="inlineStr">
        <is>
          <t>BGVP</t>
        </is>
      </c>
      <c r="C1758" t="inlineStr">
        <is>
          <t>T01s</t>
        </is>
      </c>
      <c r="D1758" t="inlineStr">
        <is>
          <t>DSP/PEQ</t>
        </is>
      </c>
      <c r="E1758" t="inlineStr">
        <is>
          <t>Non</t>
        </is>
      </c>
      <c r="F1758" t="inlineStr">
        <is>
          <t>https://www.audioreviews.org/bgvp-t01s-review/</t>
        </is>
      </c>
      <c r="G1758" t="inlineStr">
        <is>
          <t>Caractéristique DSP/PEQ renseignée depuis la source produit consultée.</t>
        </is>
      </c>
      <c r="H1758" t="inlineStr">
        <is>
          <t>2026-08-10</t>
        </is>
      </c>
    </row>
    <row r="1759">
      <c r="A1759" t="n">
        <v>201</v>
      </c>
      <c r="B1759" t="inlineStr">
        <is>
          <t>Campfire Audio</t>
        </is>
      </c>
      <c r="C1759" t="inlineStr">
        <is>
          <t>Relay</t>
        </is>
      </c>
      <c r="D1759" t="inlineStr">
        <is>
          <t>Batterie</t>
        </is>
      </c>
      <c r="E1759" t="inlineStr">
        <is>
          <t>Non</t>
        </is>
      </c>
      <c r="F1759" t="inlineStr">
        <is>
          <t>https://majorhifi.com/campfire-audio-relay-review/</t>
        </is>
      </c>
      <c r="G1759" t="inlineStr">
        <is>
          <t>Caractéristique Batterie renseignée depuis la source produit consultée.</t>
        </is>
      </c>
      <c r="H1759" t="inlineStr">
        <is>
          <t>2026-08-10</t>
        </is>
      </c>
    </row>
    <row r="1760">
      <c r="A1760" t="n">
        <v>201</v>
      </c>
      <c r="B1760" t="inlineStr">
        <is>
          <t>Campfire Audio</t>
        </is>
      </c>
      <c r="C1760" t="inlineStr">
        <is>
          <t>Relay</t>
        </is>
      </c>
      <c r="D1760" t="inlineStr">
        <is>
          <t>Bluetooth</t>
        </is>
      </c>
      <c r="E1760" t="inlineStr">
        <is>
          <t>Non</t>
        </is>
      </c>
      <c r="F1760" t="inlineStr">
        <is>
          <t>https://majorhifi.com/campfire-audio-relay-review/</t>
        </is>
      </c>
      <c r="G1760" t="inlineStr">
        <is>
          <t>Caractéristique Bluetooth renseignée depuis la source produit consultée.</t>
        </is>
      </c>
      <c r="H1760" t="inlineStr">
        <is>
          <t>2026-08-10</t>
        </is>
      </c>
    </row>
    <row r="1761">
      <c r="A1761" t="n">
        <v>201</v>
      </c>
      <c r="B1761" t="inlineStr">
        <is>
          <t>Campfire Audio</t>
        </is>
      </c>
      <c r="C1761" t="inlineStr">
        <is>
          <t>Relay</t>
        </is>
      </c>
      <c r="D1761" t="inlineStr">
        <is>
          <t>3.5mm</t>
        </is>
      </c>
      <c r="E1761" t="inlineStr">
        <is>
          <t>Oui</t>
        </is>
      </c>
      <c r="F1761" t="inlineStr">
        <is>
          <t>https://majorhifi.com/campfire-audio-relay-review/</t>
        </is>
      </c>
      <c r="G1761" t="inlineStr">
        <is>
          <t>Caractéristique 3.5mm renseignée depuis la source produit consultée.</t>
        </is>
      </c>
      <c r="H1761" t="inlineStr">
        <is>
          <t>2026-08-10</t>
        </is>
      </c>
    </row>
    <row r="1762">
      <c r="A1762" t="n">
        <v>201</v>
      </c>
      <c r="B1762" t="inlineStr">
        <is>
          <t>Campfire Audio</t>
        </is>
      </c>
      <c r="C1762" t="inlineStr">
        <is>
          <t>Relay</t>
        </is>
      </c>
      <c r="D1762" t="inlineStr">
        <is>
          <t>4.4mm</t>
        </is>
      </c>
      <c r="E1762" t="inlineStr">
        <is>
          <t>Oui</t>
        </is>
      </c>
      <c r="F1762" t="inlineStr">
        <is>
          <t>https://majorhifi.com/campfire-audio-relay-review/</t>
        </is>
      </c>
      <c r="G1762" t="inlineStr">
        <is>
          <t>Caractéristique 4.4mm renseignée depuis la source produit consultée.</t>
        </is>
      </c>
      <c r="H1762" t="inlineStr">
        <is>
          <t>2026-08-10</t>
        </is>
      </c>
    </row>
    <row r="1763">
      <c r="A1763" t="n">
        <v>201</v>
      </c>
      <c r="B1763" t="inlineStr">
        <is>
          <t>Campfire Audio</t>
        </is>
      </c>
      <c r="C1763" t="inlineStr">
        <is>
          <t>Relay</t>
        </is>
      </c>
      <c r="D1763" t="inlineStr">
        <is>
          <t>2.5mm</t>
        </is>
      </c>
      <c r="E1763" t="inlineStr">
        <is>
          <t>Non</t>
        </is>
      </c>
      <c r="F1763" t="inlineStr">
        <is>
          <t>https://majorhifi.com/campfire-audio-relay-review/</t>
        </is>
      </c>
      <c r="G1763" t="inlineStr">
        <is>
          <t>Caractéristique 2.5mm renseignée depuis la source produit consultée.</t>
        </is>
      </c>
      <c r="H1763" t="inlineStr">
        <is>
          <t>2026-08-10</t>
        </is>
      </c>
    </row>
    <row r="1764">
      <c r="A1764" t="n">
        <v>201</v>
      </c>
      <c r="B1764" t="inlineStr">
        <is>
          <t>Campfire Audio</t>
        </is>
      </c>
      <c r="C1764" t="inlineStr">
        <is>
          <t>Relay</t>
        </is>
      </c>
      <c r="D1764" t="inlineStr">
        <is>
          <t>6.35mm</t>
        </is>
      </c>
      <c r="E1764" t="inlineStr">
        <is>
          <t>Non</t>
        </is>
      </c>
      <c r="F1764" t="inlineStr">
        <is>
          <t>https://majorhifi.com/campfire-audio-relay-review/</t>
        </is>
      </c>
      <c r="G1764" t="inlineStr">
        <is>
          <t>Caractéristique 6.35mm renseignée depuis la source produit consultée.</t>
        </is>
      </c>
      <c r="H1764" t="inlineStr">
        <is>
          <t>2026-08-10</t>
        </is>
      </c>
    </row>
    <row r="1765">
      <c r="A1765" t="n">
        <v>201</v>
      </c>
      <c r="B1765" t="inlineStr">
        <is>
          <t>Campfire Audio</t>
        </is>
      </c>
      <c r="C1765" t="inlineStr">
        <is>
          <t>Relay</t>
        </is>
      </c>
      <c r="D1765" t="inlineStr">
        <is>
          <t>XLR</t>
        </is>
      </c>
      <c r="E1765" t="inlineStr">
        <is>
          <t>Non</t>
        </is>
      </c>
      <c r="F1765" t="inlineStr">
        <is>
          <t>https://majorhifi.com/campfire-audio-relay-review/</t>
        </is>
      </c>
      <c r="G1765" t="inlineStr">
        <is>
          <t>Caractéristique XLR renseignée depuis la source produit consultée.</t>
        </is>
      </c>
      <c r="H1765" t="inlineStr">
        <is>
          <t>2026-08-10</t>
        </is>
      </c>
    </row>
    <row r="1766">
      <c r="A1766" t="n">
        <v>201</v>
      </c>
      <c r="B1766" t="inlineStr">
        <is>
          <t>Campfire Audio</t>
        </is>
      </c>
      <c r="C1766" t="inlineStr">
        <is>
          <t>Relay</t>
        </is>
      </c>
      <c r="D1766" t="inlineStr">
        <is>
          <t>DSP/PEQ</t>
        </is>
      </c>
      <c r="E1766" t="inlineStr">
        <is>
          <t>Non</t>
        </is>
      </c>
      <c r="F1766" t="inlineStr">
        <is>
          <t>https://majorhifi.com/campfire-audio-relay-review/</t>
        </is>
      </c>
      <c r="G1766" t="inlineStr">
        <is>
          <t>Caractéristique DSP/PEQ renseignée depuis la source produit consultée.</t>
        </is>
      </c>
      <c r="H1766" t="inlineStr">
        <is>
          <t>2026-08-10</t>
        </is>
      </c>
    </row>
    <row r="1767">
      <c r="A1767" t="n">
        <v>202</v>
      </c>
      <c r="B1767" t="inlineStr">
        <is>
          <t>Cozoy</t>
        </is>
      </c>
      <c r="C1767" t="inlineStr">
        <is>
          <t>Takt-C</t>
        </is>
      </c>
      <c r="D1767" t="inlineStr">
        <is>
          <t>Batterie</t>
        </is>
      </c>
      <c r="E1767" t="inlineStr">
        <is>
          <t>Non</t>
        </is>
      </c>
      <c r="F1767" t="inlineStr">
        <is>
          <t>https://www.audioreviews.org/cozoy-takt-c-review/</t>
        </is>
      </c>
      <c r="G1767" t="inlineStr">
        <is>
          <t>Caractéristique Batterie renseignée depuis la source produit consultée.</t>
        </is>
      </c>
      <c r="H1767" t="inlineStr">
        <is>
          <t>2026-08-10</t>
        </is>
      </c>
    </row>
    <row r="1768">
      <c r="A1768" t="n">
        <v>202</v>
      </c>
      <c r="B1768" t="inlineStr">
        <is>
          <t>Cozoy</t>
        </is>
      </c>
      <c r="C1768" t="inlineStr">
        <is>
          <t>Takt-C</t>
        </is>
      </c>
      <c r="D1768" t="inlineStr">
        <is>
          <t>Bluetooth</t>
        </is>
      </c>
      <c r="E1768" t="inlineStr">
        <is>
          <t>Non</t>
        </is>
      </c>
      <c r="F1768" t="inlineStr">
        <is>
          <t>https://www.audioreviews.org/cozoy-takt-c-review/</t>
        </is>
      </c>
      <c r="G1768" t="inlineStr">
        <is>
          <t>Caractéristique Bluetooth renseignée depuis la source produit consultée.</t>
        </is>
      </c>
      <c r="H1768" t="inlineStr">
        <is>
          <t>2026-08-10</t>
        </is>
      </c>
    </row>
    <row r="1769">
      <c r="A1769" t="n">
        <v>202</v>
      </c>
      <c r="B1769" t="inlineStr">
        <is>
          <t>Cozoy</t>
        </is>
      </c>
      <c r="C1769" t="inlineStr">
        <is>
          <t>Takt-C</t>
        </is>
      </c>
      <c r="D1769" t="inlineStr">
        <is>
          <t>3.5mm</t>
        </is>
      </c>
      <c r="E1769" t="inlineStr">
        <is>
          <t>Oui</t>
        </is>
      </c>
      <c r="F1769" t="inlineStr">
        <is>
          <t>https://www.audioreviews.org/cozoy-takt-c-review/</t>
        </is>
      </c>
      <c r="G1769" t="inlineStr">
        <is>
          <t>Caractéristique 3.5mm renseignée depuis la source produit consultée.</t>
        </is>
      </c>
      <c r="H1769" t="inlineStr">
        <is>
          <t>2026-08-10</t>
        </is>
      </c>
    </row>
    <row r="1770">
      <c r="A1770" t="n">
        <v>202</v>
      </c>
      <c r="B1770" t="inlineStr">
        <is>
          <t>Cozoy</t>
        </is>
      </c>
      <c r="C1770" t="inlineStr">
        <is>
          <t>Takt-C</t>
        </is>
      </c>
      <c r="D1770" t="inlineStr">
        <is>
          <t>4.4mm</t>
        </is>
      </c>
      <c r="E1770" t="inlineStr">
        <is>
          <t>Non</t>
        </is>
      </c>
      <c r="F1770" t="inlineStr">
        <is>
          <t>https://www.audioreviews.org/cozoy-takt-c-review/</t>
        </is>
      </c>
      <c r="G1770" t="inlineStr">
        <is>
          <t>Caractéristique 4.4mm renseignée depuis la source produit consultée.</t>
        </is>
      </c>
      <c r="H1770" t="inlineStr">
        <is>
          <t>2026-08-10</t>
        </is>
      </c>
    </row>
    <row r="1771">
      <c r="A1771" t="n">
        <v>202</v>
      </c>
      <c r="B1771" t="inlineStr">
        <is>
          <t>Cozoy</t>
        </is>
      </c>
      <c r="C1771" t="inlineStr">
        <is>
          <t>Takt-C</t>
        </is>
      </c>
      <c r="D1771" t="inlineStr">
        <is>
          <t>2.5mm</t>
        </is>
      </c>
      <c r="E1771" t="inlineStr">
        <is>
          <t>Non</t>
        </is>
      </c>
      <c r="F1771" t="inlineStr">
        <is>
          <t>https://www.audioreviews.org/cozoy-takt-c-review/</t>
        </is>
      </c>
      <c r="G1771" t="inlineStr">
        <is>
          <t>Caractéristique 2.5mm renseignée depuis la source produit consultée.</t>
        </is>
      </c>
      <c r="H1771" t="inlineStr">
        <is>
          <t>2026-08-10</t>
        </is>
      </c>
    </row>
    <row r="1772">
      <c r="A1772" t="n">
        <v>202</v>
      </c>
      <c r="B1772" t="inlineStr">
        <is>
          <t>Cozoy</t>
        </is>
      </c>
      <c r="C1772" t="inlineStr">
        <is>
          <t>Takt-C</t>
        </is>
      </c>
      <c r="D1772" t="inlineStr">
        <is>
          <t>6.35mm</t>
        </is>
      </c>
      <c r="E1772" t="inlineStr">
        <is>
          <t>Non</t>
        </is>
      </c>
      <c r="F1772" t="inlineStr">
        <is>
          <t>https://www.audioreviews.org/cozoy-takt-c-review/</t>
        </is>
      </c>
      <c r="G1772" t="inlineStr">
        <is>
          <t>Caractéristique 6.35mm renseignée depuis la source produit consultée.</t>
        </is>
      </c>
      <c r="H1772" t="inlineStr">
        <is>
          <t>2026-08-10</t>
        </is>
      </c>
    </row>
    <row r="1773">
      <c r="A1773" t="n">
        <v>202</v>
      </c>
      <c r="B1773" t="inlineStr">
        <is>
          <t>Cozoy</t>
        </is>
      </c>
      <c r="C1773" t="inlineStr">
        <is>
          <t>Takt-C</t>
        </is>
      </c>
      <c r="D1773" t="inlineStr">
        <is>
          <t>XLR</t>
        </is>
      </c>
      <c r="E1773" t="inlineStr">
        <is>
          <t>Non</t>
        </is>
      </c>
      <c r="F1773" t="inlineStr">
        <is>
          <t>https://www.audioreviews.org/cozoy-takt-c-review/</t>
        </is>
      </c>
      <c r="G1773" t="inlineStr">
        <is>
          <t>Caractéristique XLR renseignée depuis la source produit consultée.</t>
        </is>
      </c>
      <c r="H1773" t="inlineStr">
        <is>
          <t>2026-08-10</t>
        </is>
      </c>
    </row>
    <row r="1774">
      <c r="A1774" t="n">
        <v>202</v>
      </c>
      <c r="B1774" t="inlineStr">
        <is>
          <t>Cozoy</t>
        </is>
      </c>
      <c r="C1774" t="inlineStr">
        <is>
          <t>Takt-C</t>
        </is>
      </c>
      <c r="D1774" t="inlineStr">
        <is>
          <t>DSP/PEQ</t>
        </is>
      </c>
      <c r="E1774" t="inlineStr">
        <is>
          <t>Non</t>
        </is>
      </c>
      <c r="F1774" t="inlineStr">
        <is>
          <t>https://www.audioreviews.org/cozoy-takt-c-review/</t>
        </is>
      </c>
      <c r="G1774" t="inlineStr">
        <is>
          <t>Caractéristique DSP/PEQ renseignée depuis la source produit consultée.</t>
        </is>
      </c>
      <c r="H1774" t="inlineStr">
        <is>
          <t>2026-08-10</t>
        </is>
      </c>
    </row>
    <row r="1775">
      <c r="A1775" t="n">
        <v>203</v>
      </c>
      <c r="B1775" t="inlineStr">
        <is>
          <t>Celest</t>
        </is>
      </c>
      <c r="C1775" t="inlineStr">
        <is>
          <t>CD-2</t>
        </is>
      </c>
      <c r="D1775" t="inlineStr">
        <is>
          <t>Batterie</t>
        </is>
      </c>
      <c r="E1775" t="inlineStr">
        <is>
          <t>Non</t>
        </is>
      </c>
      <c r="F1775" t="inlineStr">
        <is>
          <t>https://www.audioreviews.org/celest-cd-2-review/</t>
        </is>
      </c>
      <c r="G1775" t="inlineStr">
        <is>
          <t>Caractéristique Batterie renseignée depuis la source produit consultée.</t>
        </is>
      </c>
      <c r="H1775" t="inlineStr">
        <is>
          <t>2026-08-10</t>
        </is>
      </c>
    </row>
    <row r="1776">
      <c r="A1776" t="n">
        <v>203</v>
      </c>
      <c r="B1776" t="inlineStr">
        <is>
          <t>Celest</t>
        </is>
      </c>
      <c r="C1776" t="inlineStr">
        <is>
          <t>CD-2</t>
        </is>
      </c>
      <c r="D1776" t="inlineStr">
        <is>
          <t>Bluetooth</t>
        </is>
      </c>
      <c r="E1776" t="inlineStr">
        <is>
          <t>Non</t>
        </is>
      </c>
      <c r="F1776" t="inlineStr">
        <is>
          <t>https://www.audioreviews.org/celest-cd-2-review/</t>
        </is>
      </c>
      <c r="G1776" t="inlineStr">
        <is>
          <t>Caractéristique Bluetooth renseignée depuis la source produit consultée.</t>
        </is>
      </c>
      <c r="H1776" t="inlineStr">
        <is>
          <t>2026-08-10</t>
        </is>
      </c>
    </row>
    <row r="1777">
      <c r="A1777" t="n">
        <v>203</v>
      </c>
      <c r="B1777" t="inlineStr">
        <is>
          <t>Celest</t>
        </is>
      </c>
      <c r="C1777" t="inlineStr">
        <is>
          <t>CD-2</t>
        </is>
      </c>
      <c r="D1777" t="inlineStr">
        <is>
          <t>3.5mm</t>
        </is>
      </c>
      <c r="E1777" t="inlineStr">
        <is>
          <t>Oui</t>
        </is>
      </c>
      <c r="F1777" t="inlineStr">
        <is>
          <t>https://www.audioreviews.org/celest-cd-2-review/</t>
        </is>
      </c>
      <c r="G1777" t="inlineStr">
        <is>
          <t>Caractéristique 3.5mm renseignée depuis la source produit consultée.</t>
        </is>
      </c>
      <c r="H1777" t="inlineStr">
        <is>
          <t>2026-08-10</t>
        </is>
      </c>
    </row>
    <row r="1778">
      <c r="A1778" t="n">
        <v>203</v>
      </c>
      <c r="B1778" t="inlineStr">
        <is>
          <t>Celest</t>
        </is>
      </c>
      <c r="C1778" t="inlineStr">
        <is>
          <t>CD-2</t>
        </is>
      </c>
      <c r="D1778" t="inlineStr">
        <is>
          <t>4.4mm</t>
        </is>
      </c>
      <c r="E1778" t="inlineStr">
        <is>
          <t>Oui</t>
        </is>
      </c>
      <c r="F1778" t="inlineStr">
        <is>
          <t>https://www.audioreviews.org/celest-cd-2-review/</t>
        </is>
      </c>
      <c r="G1778" t="inlineStr">
        <is>
          <t>Caractéristique 4.4mm renseignée depuis la source produit consultée.</t>
        </is>
      </c>
      <c r="H1778" t="inlineStr">
        <is>
          <t>2026-08-10</t>
        </is>
      </c>
    </row>
    <row r="1779">
      <c r="A1779" t="n">
        <v>203</v>
      </c>
      <c r="B1779" t="inlineStr">
        <is>
          <t>Celest</t>
        </is>
      </c>
      <c r="C1779" t="inlineStr">
        <is>
          <t>CD-2</t>
        </is>
      </c>
      <c r="D1779" t="inlineStr">
        <is>
          <t>2.5mm</t>
        </is>
      </c>
      <c r="E1779" t="inlineStr">
        <is>
          <t>Non</t>
        </is>
      </c>
      <c r="F1779" t="inlineStr">
        <is>
          <t>https://www.audioreviews.org/celest-cd-2-review/</t>
        </is>
      </c>
      <c r="G1779" t="inlineStr">
        <is>
          <t>Caractéristique 2.5mm renseignée depuis la source produit consultée.</t>
        </is>
      </c>
      <c r="H1779" t="inlineStr">
        <is>
          <t>2026-08-10</t>
        </is>
      </c>
    </row>
    <row r="1780">
      <c r="A1780" t="n">
        <v>203</v>
      </c>
      <c r="B1780" t="inlineStr">
        <is>
          <t>Celest</t>
        </is>
      </c>
      <c r="C1780" t="inlineStr">
        <is>
          <t>CD-2</t>
        </is>
      </c>
      <c r="D1780" t="inlineStr">
        <is>
          <t>6.35mm</t>
        </is>
      </c>
      <c r="E1780" t="inlineStr">
        <is>
          <t>Non</t>
        </is>
      </c>
      <c r="F1780" t="inlineStr">
        <is>
          <t>https://www.audioreviews.org/celest-cd-2-review/</t>
        </is>
      </c>
      <c r="G1780" t="inlineStr">
        <is>
          <t>Caractéristique 6.35mm renseignée depuis la source produit consultée.</t>
        </is>
      </c>
      <c r="H1780" t="inlineStr">
        <is>
          <t>2026-08-10</t>
        </is>
      </c>
    </row>
    <row r="1781">
      <c r="A1781" t="n">
        <v>203</v>
      </c>
      <c r="B1781" t="inlineStr">
        <is>
          <t>Celest</t>
        </is>
      </c>
      <c r="C1781" t="inlineStr">
        <is>
          <t>CD-2</t>
        </is>
      </c>
      <c r="D1781" t="inlineStr">
        <is>
          <t>XLR</t>
        </is>
      </c>
      <c r="E1781" t="inlineStr">
        <is>
          <t>Non</t>
        </is>
      </c>
      <c r="F1781" t="inlineStr">
        <is>
          <t>https://www.audioreviews.org/celest-cd-2-review/</t>
        </is>
      </c>
      <c r="G1781" t="inlineStr">
        <is>
          <t>Caractéristique XLR renseignée depuis la source produit consultée.</t>
        </is>
      </c>
      <c r="H1781" t="inlineStr">
        <is>
          <t>2026-08-10</t>
        </is>
      </c>
    </row>
    <row r="1782">
      <c r="A1782" t="n">
        <v>203</v>
      </c>
      <c r="B1782" t="inlineStr">
        <is>
          <t>Celest</t>
        </is>
      </c>
      <c r="C1782" t="inlineStr">
        <is>
          <t>CD-2</t>
        </is>
      </c>
      <c r="D1782" t="inlineStr">
        <is>
          <t>DSP/PEQ</t>
        </is>
      </c>
      <c r="E1782" t="inlineStr">
        <is>
          <t>Non</t>
        </is>
      </c>
      <c r="F1782" t="inlineStr">
        <is>
          <t>https://www.audioreviews.org/celest-cd-2-review/</t>
        </is>
      </c>
      <c r="G1782" t="inlineStr">
        <is>
          <t>Caractéristique DSP/PEQ renseignée depuis la source produit consultée.</t>
        </is>
      </c>
      <c r="H1782" t="inlineStr">
        <is>
          <t>2026-08-10</t>
        </is>
      </c>
    </row>
    <row r="1783">
      <c r="A1783" t="n">
        <v>204</v>
      </c>
      <c r="B1783" t="inlineStr">
        <is>
          <t>Apogee</t>
        </is>
      </c>
      <c r="C1783" t="inlineStr">
        <is>
          <t>Groove</t>
        </is>
      </c>
      <c r="D1783" t="inlineStr">
        <is>
          <t>Batterie</t>
        </is>
      </c>
      <c r="E1783" t="inlineStr">
        <is>
          <t>Non</t>
        </is>
      </c>
      <c r="F1783" t="inlineStr">
        <is>
          <t>https://www.audioreviews.org/apogee-groove-review-ap/</t>
        </is>
      </c>
      <c r="G1783" t="inlineStr">
        <is>
          <t>Caractéristique Batterie renseignée depuis la source produit consultée.</t>
        </is>
      </c>
      <c r="H1783" t="inlineStr">
        <is>
          <t>2026-08-10</t>
        </is>
      </c>
    </row>
    <row r="1784">
      <c r="A1784" t="n">
        <v>204</v>
      </c>
      <c r="B1784" t="inlineStr">
        <is>
          <t>Apogee</t>
        </is>
      </c>
      <c r="C1784" t="inlineStr">
        <is>
          <t>Groove</t>
        </is>
      </c>
      <c r="D1784" t="inlineStr">
        <is>
          <t>Bluetooth</t>
        </is>
      </c>
      <c r="E1784" t="inlineStr">
        <is>
          <t>Non</t>
        </is>
      </c>
      <c r="F1784" t="inlineStr">
        <is>
          <t>https://www.audioreviews.org/apogee-groove-review-ap/</t>
        </is>
      </c>
      <c r="G1784" t="inlineStr">
        <is>
          <t>Caractéristique Bluetooth renseignée depuis la source produit consultée.</t>
        </is>
      </c>
      <c r="H1784" t="inlineStr">
        <is>
          <t>2026-08-10</t>
        </is>
      </c>
    </row>
    <row r="1785">
      <c r="A1785" t="n">
        <v>204</v>
      </c>
      <c r="B1785" t="inlineStr">
        <is>
          <t>Apogee</t>
        </is>
      </c>
      <c r="C1785" t="inlineStr">
        <is>
          <t>Groove</t>
        </is>
      </c>
      <c r="D1785" t="inlineStr">
        <is>
          <t>3.5mm</t>
        </is>
      </c>
      <c r="E1785" t="inlineStr">
        <is>
          <t>Oui</t>
        </is>
      </c>
      <c r="F1785" t="inlineStr">
        <is>
          <t>https://www.audioreviews.org/apogee-groove-review-ap/</t>
        </is>
      </c>
      <c r="G1785" t="inlineStr">
        <is>
          <t>Caractéristique 3.5mm renseignée depuis la source produit consultée.</t>
        </is>
      </c>
      <c r="H1785" t="inlineStr">
        <is>
          <t>2026-08-10</t>
        </is>
      </c>
    </row>
    <row r="1786">
      <c r="A1786" t="n">
        <v>204</v>
      </c>
      <c r="B1786" t="inlineStr">
        <is>
          <t>Apogee</t>
        </is>
      </c>
      <c r="C1786" t="inlineStr">
        <is>
          <t>Groove</t>
        </is>
      </c>
      <c r="D1786" t="inlineStr">
        <is>
          <t>4.4mm</t>
        </is>
      </c>
      <c r="E1786" t="inlineStr">
        <is>
          <t>Non</t>
        </is>
      </c>
      <c r="F1786" t="inlineStr">
        <is>
          <t>https://www.audioreviews.org/apogee-groove-review-ap/</t>
        </is>
      </c>
      <c r="G1786" t="inlineStr">
        <is>
          <t>Caractéristique 4.4mm renseignée depuis la source produit consultée.</t>
        </is>
      </c>
      <c r="H1786" t="inlineStr">
        <is>
          <t>2026-08-10</t>
        </is>
      </c>
    </row>
    <row r="1787">
      <c r="A1787" t="n">
        <v>204</v>
      </c>
      <c r="B1787" t="inlineStr">
        <is>
          <t>Apogee</t>
        </is>
      </c>
      <c r="C1787" t="inlineStr">
        <is>
          <t>Groove</t>
        </is>
      </c>
      <c r="D1787" t="inlineStr">
        <is>
          <t>2.5mm</t>
        </is>
      </c>
      <c r="E1787" t="inlineStr">
        <is>
          <t>Non</t>
        </is>
      </c>
      <c r="F1787" t="inlineStr">
        <is>
          <t>https://www.audioreviews.org/apogee-groove-review-ap/</t>
        </is>
      </c>
      <c r="G1787" t="inlineStr">
        <is>
          <t>Caractéristique 2.5mm renseignée depuis la source produit consultée.</t>
        </is>
      </c>
      <c r="H1787" t="inlineStr">
        <is>
          <t>2026-08-10</t>
        </is>
      </c>
    </row>
    <row r="1788">
      <c r="A1788" t="n">
        <v>204</v>
      </c>
      <c r="B1788" t="inlineStr">
        <is>
          <t>Apogee</t>
        </is>
      </c>
      <c r="C1788" t="inlineStr">
        <is>
          <t>Groove</t>
        </is>
      </c>
      <c r="D1788" t="inlineStr">
        <is>
          <t>6.35mm</t>
        </is>
      </c>
      <c r="E1788" t="inlineStr">
        <is>
          <t>Non</t>
        </is>
      </c>
      <c r="F1788" t="inlineStr">
        <is>
          <t>https://www.audioreviews.org/apogee-groove-review-ap/</t>
        </is>
      </c>
      <c r="G1788" t="inlineStr">
        <is>
          <t>Caractéristique 6.35mm renseignée depuis la source produit consultée.</t>
        </is>
      </c>
      <c r="H1788" t="inlineStr">
        <is>
          <t>2026-08-10</t>
        </is>
      </c>
    </row>
    <row r="1789">
      <c r="A1789" t="n">
        <v>204</v>
      </c>
      <c r="B1789" t="inlineStr">
        <is>
          <t>Apogee</t>
        </is>
      </c>
      <c r="C1789" t="inlineStr">
        <is>
          <t>Groove</t>
        </is>
      </c>
      <c r="D1789" t="inlineStr">
        <is>
          <t>XLR</t>
        </is>
      </c>
      <c r="E1789" t="inlineStr">
        <is>
          <t>Non</t>
        </is>
      </c>
      <c r="F1789" t="inlineStr">
        <is>
          <t>https://www.audioreviews.org/apogee-groove-review-ap/</t>
        </is>
      </c>
      <c r="G1789" t="inlineStr">
        <is>
          <t>Caractéristique XLR renseignée depuis la source produit consultée.</t>
        </is>
      </c>
      <c r="H1789" t="inlineStr">
        <is>
          <t>2026-08-10</t>
        </is>
      </c>
    </row>
    <row r="1790">
      <c r="A1790" t="n">
        <v>204</v>
      </c>
      <c r="B1790" t="inlineStr">
        <is>
          <t>Apogee</t>
        </is>
      </c>
      <c r="C1790" t="inlineStr">
        <is>
          <t>Groove</t>
        </is>
      </c>
      <c r="D1790" t="inlineStr">
        <is>
          <t>DSP/PEQ</t>
        </is>
      </c>
      <c r="E1790" t="inlineStr">
        <is>
          <t>Non</t>
        </is>
      </c>
      <c r="F1790" t="inlineStr">
        <is>
          <t>https://www.audioreviews.org/apogee-groove-review-ap/</t>
        </is>
      </c>
      <c r="G1790" t="inlineStr">
        <is>
          <t>Caractéristique DSP/PEQ renseignée depuis la source produit consultée.</t>
        </is>
      </c>
      <c r="H1790" t="inlineStr">
        <is>
          <t>2026-08-10</t>
        </is>
      </c>
    </row>
    <row r="1791">
      <c r="A1791" t="n">
        <v>205</v>
      </c>
      <c r="B1791" t="inlineStr">
        <is>
          <t>SMSL</t>
        </is>
      </c>
      <c r="C1791" t="inlineStr">
        <is>
          <t>C200</t>
        </is>
      </c>
      <c r="D1791" t="inlineStr">
        <is>
          <t>Batterie</t>
        </is>
      </c>
      <c r="E1791" t="inlineStr">
        <is>
          <t>Non</t>
        </is>
      </c>
      <c r="F1791" t="inlineStr">
        <is>
          <t>https://www.audioreviews.org/aoshida-audio-smsl-c200-review-dw/</t>
        </is>
      </c>
      <c r="G1791" t="inlineStr">
        <is>
          <t>Caractéristique Batterie renseignée depuis la source produit consultée.</t>
        </is>
      </c>
      <c r="H1791" t="inlineStr">
        <is>
          <t>2026-08-10</t>
        </is>
      </c>
    </row>
    <row r="1792">
      <c r="A1792" t="n">
        <v>205</v>
      </c>
      <c r="B1792" t="inlineStr">
        <is>
          <t>SMSL</t>
        </is>
      </c>
      <c r="C1792" t="inlineStr">
        <is>
          <t>C200</t>
        </is>
      </c>
      <c r="D1792" t="inlineStr">
        <is>
          <t>Bluetooth</t>
        </is>
      </c>
      <c r="E1792" t="inlineStr">
        <is>
          <t>Oui</t>
        </is>
      </c>
      <c r="F1792" t="inlineStr">
        <is>
          <t>https://www.audioreviews.org/aoshida-audio-smsl-c200-review-dw/</t>
        </is>
      </c>
      <c r="G1792" t="inlineStr">
        <is>
          <t>Caractéristique Bluetooth renseignée depuis la source produit consultée.</t>
        </is>
      </c>
      <c r="H1792" t="inlineStr">
        <is>
          <t>2026-08-10</t>
        </is>
      </c>
    </row>
    <row r="1793">
      <c r="A1793" t="n">
        <v>205</v>
      </c>
      <c r="B1793" t="inlineStr">
        <is>
          <t>SMSL</t>
        </is>
      </c>
      <c r="C1793" t="inlineStr">
        <is>
          <t>C200</t>
        </is>
      </c>
      <c r="D1793" t="inlineStr">
        <is>
          <t>3.5mm</t>
        </is>
      </c>
      <c r="E1793" t="inlineStr">
        <is>
          <t>Non</t>
        </is>
      </c>
      <c r="F1793" t="inlineStr">
        <is>
          <t>https://www.audioreviews.org/aoshida-audio-smsl-c200-review-dw/</t>
        </is>
      </c>
      <c r="G1793" t="inlineStr">
        <is>
          <t>Caractéristique 3.5mm renseignée depuis la source produit consultée.</t>
        </is>
      </c>
      <c r="H1793" t="inlineStr">
        <is>
          <t>2026-08-10</t>
        </is>
      </c>
    </row>
    <row r="1794">
      <c r="A1794" t="n">
        <v>205</v>
      </c>
      <c r="B1794" t="inlineStr">
        <is>
          <t>SMSL</t>
        </is>
      </c>
      <c r="C1794" t="inlineStr">
        <is>
          <t>C200</t>
        </is>
      </c>
      <c r="D1794" t="inlineStr">
        <is>
          <t>4.4mm</t>
        </is>
      </c>
      <c r="E1794" t="inlineStr">
        <is>
          <t>Oui</t>
        </is>
      </c>
      <c r="F1794" t="inlineStr">
        <is>
          <t>https://www.audioreviews.org/aoshida-audio-smsl-c200-review-dw/</t>
        </is>
      </c>
      <c r="G1794" t="inlineStr">
        <is>
          <t>Caractéristique 4.4mm renseignée depuis la source produit consultée.</t>
        </is>
      </c>
      <c r="H1794" t="inlineStr">
        <is>
          <t>2026-08-10</t>
        </is>
      </c>
    </row>
    <row r="1795">
      <c r="A1795" t="n">
        <v>205</v>
      </c>
      <c r="B1795" t="inlineStr">
        <is>
          <t>SMSL</t>
        </is>
      </c>
      <c r="C1795" t="inlineStr">
        <is>
          <t>C200</t>
        </is>
      </c>
      <c r="D1795" t="inlineStr">
        <is>
          <t>2.5mm</t>
        </is>
      </c>
      <c r="E1795" t="inlineStr">
        <is>
          <t>Non</t>
        </is>
      </c>
      <c r="F1795" t="inlineStr">
        <is>
          <t>https://www.audioreviews.org/aoshida-audio-smsl-c200-review-dw/</t>
        </is>
      </c>
      <c r="G1795" t="inlineStr">
        <is>
          <t>Caractéristique 2.5mm renseignée depuis la source produit consultée.</t>
        </is>
      </c>
      <c r="H1795" t="inlineStr">
        <is>
          <t>2026-08-10</t>
        </is>
      </c>
    </row>
    <row r="1796">
      <c r="A1796" t="n">
        <v>205</v>
      </c>
      <c r="B1796" t="inlineStr">
        <is>
          <t>SMSL</t>
        </is>
      </c>
      <c r="C1796" t="inlineStr">
        <is>
          <t>C200</t>
        </is>
      </c>
      <c r="D1796" t="inlineStr">
        <is>
          <t>6.35mm</t>
        </is>
      </c>
      <c r="E1796" t="inlineStr">
        <is>
          <t>Oui</t>
        </is>
      </c>
      <c r="F1796" t="inlineStr">
        <is>
          <t>https://www.audioreviews.org/aoshida-audio-smsl-c200-review-dw/</t>
        </is>
      </c>
      <c r="G1796" t="inlineStr">
        <is>
          <t>Caractéristique 6.35mm renseignée depuis la source produit consultée.</t>
        </is>
      </c>
      <c r="H1796" t="inlineStr">
        <is>
          <t>2026-08-10</t>
        </is>
      </c>
    </row>
    <row r="1797">
      <c r="A1797" t="n">
        <v>205</v>
      </c>
      <c r="B1797" t="inlineStr">
        <is>
          <t>SMSL</t>
        </is>
      </c>
      <c r="C1797" t="inlineStr">
        <is>
          <t>C200</t>
        </is>
      </c>
      <c r="D1797" t="inlineStr">
        <is>
          <t>XLR</t>
        </is>
      </c>
      <c r="E1797" t="inlineStr">
        <is>
          <t>Non</t>
        </is>
      </c>
      <c r="F1797" t="inlineStr">
        <is>
          <t>https://www.audioreviews.org/aoshida-audio-smsl-c200-review-dw/</t>
        </is>
      </c>
      <c r="G1797" t="inlineStr">
        <is>
          <t>Caractéristique XLR renseignée depuis la source produit consultée.</t>
        </is>
      </c>
      <c r="H1797" t="inlineStr">
        <is>
          <t>2026-08-10</t>
        </is>
      </c>
    </row>
    <row r="1798">
      <c r="A1798" t="n">
        <v>205</v>
      </c>
      <c r="B1798" t="inlineStr">
        <is>
          <t>SMSL</t>
        </is>
      </c>
      <c r="C1798" t="inlineStr">
        <is>
          <t>C200</t>
        </is>
      </c>
      <c r="D1798" t="inlineStr">
        <is>
          <t>DSP/PEQ</t>
        </is>
      </c>
      <c r="E1798" t="inlineStr">
        <is>
          <t>Oui</t>
        </is>
      </c>
      <c r="F1798" t="inlineStr">
        <is>
          <t>https://www.audioreviews.org/aoshida-audio-smsl-c200-review-dw/</t>
        </is>
      </c>
      <c r="G1798" t="inlineStr">
        <is>
          <t>Caractéristique DSP/PEQ renseignée depuis la source produit consultée.</t>
        </is>
      </c>
      <c r="H1798" t="inlineStr">
        <is>
          <t>2026-08-10</t>
        </is>
      </c>
    </row>
    <row r="1799">
      <c r="A1799" t="n">
        <v>206</v>
      </c>
      <c r="B1799" t="inlineStr">
        <is>
          <t>NuPrime</t>
        </is>
      </c>
      <c r="C1799" t="inlineStr">
        <is>
          <t>Hi-mDAC</t>
        </is>
      </c>
      <c r="D1799" t="inlineStr">
        <is>
          <t>Batterie</t>
        </is>
      </c>
      <c r="E1799" t="inlineStr">
        <is>
          <t>Non</t>
        </is>
      </c>
      <c r="F1799" t="inlineStr">
        <is>
          <t>https://www.headfonia.com/nuprime-hi-mdac-review/</t>
        </is>
      </c>
      <c r="G1799" t="inlineStr">
        <is>
          <t>Caractéristique Batterie renseignée depuis la source produit consultée.</t>
        </is>
      </c>
      <c r="H1799" t="inlineStr">
        <is>
          <t>2026-08-10</t>
        </is>
      </c>
    </row>
    <row r="1800">
      <c r="A1800" t="n">
        <v>206</v>
      </c>
      <c r="B1800" t="inlineStr">
        <is>
          <t>NuPrime</t>
        </is>
      </c>
      <c r="C1800" t="inlineStr">
        <is>
          <t>Hi-mDAC</t>
        </is>
      </c>
      <c r="D1800" t="inlineStr">
        <is>
          <t>Bluetooth</t>
        </is>
      </c>
      <c r="E1800" t="inlineStr">
        <is>
          <t>Non</t>
        </is>
      </c>
      <c r="F1800" t="inlineStr">
        <is>
          <t>https://www.headfonia.com/nuprime-hi-mdac-review/</t>
        </is>
      </c>
      <c r="G1800" t="inlineStr">
        <is>
          <t>Caractéristique Bluetooth renseignée depuis la source produit consultée.</t>
        </is>
      </c>
      <c r="H1800" t="inlineStr">
        <is>
          <t>2026-08-10</t>
        </is>
      </c>
    </row>
    <row r="1801">
      <c r="A1801" t="n">
        <v>206</v>
      </c>
      <c r="B1801" t="inlineStr">
        <is>
          <t>NuPrime</t>
        </is>
      </c>
      <c r="C1801" t="inlineStr">
        <is>
          <t>Hi-mDAC</t>
        </is>
      </c>
      <c r="D1801" t="inlineStr">
        <is>
          <t>3.5mm</t>
        </is>
      </c>
      <c r="E1801" t="inlineStr">
        <is>
          <t>Oui</t>
        </is>
      </c>
      <c r="F1801" t="inlineStr">
        <is>
          <t>https://www.headfonia.com/nuprime-hi-mdac-review/</t>
        </is>
      </c>
      <c r="G1801" t="inlineStr">
        <is>
          <t>Caractéristique 3.5mm renseignée depuis la source produit consultée.</t>
        </is>
      </c>
      <c r="H1801" t="inlineStr">
        <is>
          <t>2026-08-10</t>
        </is>
      </c>
    </row>
    <row r="1802">
      <c r="A1802" t="n">
        <v>206</v>
      </c>
      <c r="B1802" t="inlineStr">
        <is>
          <t>NuPrime</t>
        </is>
      </c>
      <c r="C1802" t="inlineStr">
        <is>
          <t>Hi-mDAC</t>
        </is>
      </c>
      <c r="D1802" t="inlineStr">
        <is>
          <t>4.4mm</t>
        </is>
      </c>
      <c r="E1802" t="inlineStr">
        <is>
          <t>Non</t>
        </is>
      </c>
      <c r="F1802" t="inlineStr">
        <is>
          <t>https://www.headfonia.com/nuprime-hi-mdac-review/</t>
        </is>
      </c>
      <c r="G1802" t="inlineStr">
        <is>
          <t>Caractéristique 4.4mm renseignée depuis la source produit consultée.</t>
        </is>
      </c>
      <c r="H1802" t="inlineStr">
        <is>
          <t>2026-08-10</t>
        </is>
      </c>
    </row>
    <row r="1803">
      <c r="A1803" t="n">
        <v>206</v>
      </c>
      <c r="B1803" t="inlineStr">
        <is>
          <t>NuPrime</t>
        </is>
      </c>
      <c r="C1803" t="inlineStr">
        <is>
          <t>Hi-mDAC</t>
        </is>
      </c>
      <c r="D1803" t="inlineStr">
        <is>
          <t>2.5mm</t>
        </is>
      </c>
      <c r="E1803" t="inlineStr">
        <is>
          <t>Non</t>
        </is>
      </c>
      <c r="F1803" t="inlineStr">
        <is>
          <t>https://www.headfonia.com/nuprime-hi-mdac-review/</t>
        </is>
      </c>
      <c r="G1803" t="inlineStr">
        <is>
          <t>Caractéristique 2.5mm renseignée depuis la source produit consultée.</t>
        </is>
      </c>
      <c r="H1803" t="inlineStr">
        <is>
          <t>2026-08-10</t>
        </is>
      </c>
    </row>
    <row r="1804">
      <c r="A1804" t="n">
        <v>206</v>
      </c>
      <c r="B1804" t="inlineStr">
        <is>
          <t>NuPrime</t>
        </is>
      </c>
      <c r="C1804" t="inlineStr">
        <is>
          <t>Hi-mDAC</t>
        </is>
      </c>
      <c r="D1804" t="inlineStr">
        <is>
          <t>6.35mm</t>
        </is>
      </c>
      <c r="E1804" t="inlineStr">
        <is>
          <t>Non</t>
        </is>
      </c>
      <c r="F1804" t="inlineStr">
        <is>
          <t>https://www.headfonia.com/nuprime-hi-mdac-review/</t>
        </is>
      </c>
      <c r="G1804" t="inlineStr">
        <is>
          <t>Caractéristique 6.35mm renseignée depuis la source produit consultée.</t>
        </is>
      </c>
      <c r="H1804" t="inlineStr">
        <is>
          <t>2026-08-10</t>
        </is>
      </c>
    </row>
    <row r="1805">
      <c r="A1805" t="n">
        <v>206</v>
      </c>
      <c r="B1805" t="inlineStr">
        <is>
          <t>NuPrime</t>
        </is>
      </c>
      <c r="C1805" t="inlineStr">
        <is>
          <t>Hi-mDAC</t>
        </is>
      </c>
      <c r="D1805" t="inlineStr">
        <is>
          <t>XLR</t>
        </is>
      </c>
      <c r="E1805" t="inlineStr">
        <is>
          <t>Non</t>
        </is>
      </c>
      <c r="F1805" t="inlineStr">
        <is>
          <t>https://www.headfonia.com/nuprime-hi-mdac-review/</t>
        </is>
      </c>
      <c r="G1805" t="inlineStr">
        <is>
          <t>Caractéristique XLR renseignée depuis la source produit consultée.</t>
        </is>
      </c>
      <c r="H1805" t="inlineStr">
        <is>
          <t>2026-08-10</t>
        </is>
      </c>
    </row>
    <row r="1806">
      <c r="A1806" t="n">
        <v>206</v>
      </c>
      <c r="B1806" t="inlineStr">
        <is>
          <t>NuPrime</t>
        </is>
      </c>
      <c r="C1806" t="inlineStr">
        <is>
          <t>Hi-mDAC</t>
        </is>
      </c>
      <c r="D1806" t="inlineStr">
        <is>
          <t>DSP/PEQ</t>
        </is>
      </c>
      <c r="E1806" t="inlineStr">
        <is>
          <t>Non</t>
        </is>
      </c>
      <c r="F1806" t="inlineStr">
        <is>
          <t>https://www.headfonia.com/nuprime-hi-mdac-review/</t>
        </is>
      </c>
      <c r="G1806" t="inlineStr">
        <is>
          <t>Caractéristique DSP/PEQ renseignée depuis la source produit consultée.</t>
        </is>
      </c>
      <c r="H1806" t="inlineStr">
        <is>
          <t>2026-08-10</t>
        </is>
      </c>
    </row>
    <row r="1807">
      <c r="A1807" t="n">
        <v>207</v>
      </c>
      <c r="B1807" t="inlineStr">
        <is>
          <t>Apos Audio</t>
        </is>
      </c>
      <c r="C1807" t="inlineStr">
        <is>
          <t>Druid</t>
        </is>
      </c>
      <c r="D1807" t="inlineStr">
        <is>
          <t>Batterie</t>
        </is>
      </c>
      <c r="E1807" t="inlineStr">
        <is>
          <t>Non</t>
        </is>
      </c>
      <c r="F1807" t="inlineStr">
        <is>
          <t>https://www.headfonia.com/apos-druid-review/</t>
        </is>
      </c>
      <c r="G1807" t="inlineStr">
        <is>
          <t>Caractéristique Batterie renseignée depuis la source produit consultée.</t>
        </is>
      </c>
      <c r="H1807" t="inlineStr">
        <is>
          <t>2026-08-10</t>
        </is>
      </c>
    </row>
    <row r="1808">
      <c r="A1808" t="n">
        <v>207</v>
      </c>
      <c r="B1808" t="inlineStr">
        <is>
          <t>Apos Audio</t>
        </is>
      </c>
      <c r="C1808" t="inlineStr">
        <is>
          <t>Druid</t>
        </is>
      </c>
      <c r="D1808" t="inlineStr">
        <is>
          <t>Bluetooth</t>
        </is>
      </c>
      <c r="E1808" t="inlineStr">
        <is>
          <t>Non</t>
        </is>
      </c>
      <c r="F1808" t="inlineStr">
        <is>
          <t>https://www.headfonia.com/apos-druid-review/</t>
        </is>
      </c>
      <c r="G1808" t="inlineStr">
        <is>
          <t>Caractéristique Bluetooth renseignée depuis la source produit consultée.</t>
        </is>
      </c>
      <c r="H1808" t="inlineStr">
        <is>
          <t>2026-08-10</t>
        </is>
      </c>
    </row>
    <row r="1809">
      <c r="A1809" t="n">
        <v>207</v>
      </c>
      <c r="B1809" t="inlineStr">
        <is>
          <t>Apos Audio</t>
        </is>
      </c>
      <c r="C1809" t="inlineStr">
        <is>
          <t>Druid</t>
        </is>
      </c>
      <c r="D1809" t="inlineStr">
        <is>
          <t>3.5mm</t>
        </is>
      </c>
      <c r="E1809" t="inlineStr">
        <is>
          <t>Oui</t>
        </is>
      </c>
      <c r="F1809" t="inlineStr">
        <is>
          <t>https://www.headfonia.com/apos-druid-review/</t>
        </is>
      </c>
      <c r="G1809" t="inlineStr">
        <is>
          <t>Caractéristique 3.5mm renseignée depuis la source produit consultée.</t>
        </is>
      </c>
      <c r="H1809" t="inlineStr">
        <is>
          <t>2026-08-10</t>
        </is>
      </c>
    </row>
    <row r="1810">
      <c r="A1810" t="n">
        <v>207</v>
      </c>
      <c r="B1810" t="inlineStr">
        <is>
          <t>Apos Audio</t>
        </is>
      </c>
      <c r="C1810" t="inlineStr">
        <is>
          <t>Druid</t>
        </is>
      </c>
      <c r="D1810" t="inlineStr">
        <is>
          <t>4.4mm</t>
        </is>
      </c>
      <c r="E1810" t="inlineStr">
        <is>
          <t>Non</t>
        </is>
      </c>
      <c r="F1810" t="inlineStr">
        <is>
          <t>https://www.headfonia.com/apos-druid-review/</t>
        </is>
      </c>
      <c r="G1810" t="inlineStr">
        <is>
          <t>Caractéristique 4.4mm renseignée depuis la source produit consultée.</t>
        </is>
      </c>
      <c r="H1810" t="inlineStr">
        <is>
          <t>2026-08-10</t>
        </is>
      </c>
    </row>
    <row r="1811">
      <c r="A1811" t="n">
        <v>207</v>
      </c>
      <c r="B1811" t="inlineStr">
        <is>
          <t>Apos Audio</t>
        </is>
      </c>
      <c r="C1811" t="inlineStr">
        <is>
          <t>Druid</t>
        </is>
      </c>
      <c r="D1811" t="inlineStr">
        <is>
          <t>2.5mm</t>
        </is>
      </c>
      <c r="E1811" t="inlineStr">
        <is>
          <t>Non</t>
        </is>
      </c>
      <c r="F1811" t="inlineStr">
        <is>
          <t>https://www.headfonia.com/apos-druid-review/</t>
        </is>
      </c>
      <c r="G1811" t="inlineStr">
        <is>
          <t>Caractéristique 2.5mm renseignée depuis la source produit consultée.</t>
        </is>
      </c>
      <c r="H1811" t="inlineStr">
        <is>
          <t>2026-08-10</t>
        </is>
      </c>
    </row>
    <row r="1812">
      <c r="A1812" t="n">
        <v>207</v>
      </c>
      <c r="B1812" t="inlineStr">
        <is>
          <t>Apos Audio</t>
        </is>
      </c>
      <c r="C1812" t="inlineStr">
        <is>
          <t>Druid</t>
        </is>
      </c>
      <c r="D1812" t="inlineStr">
        <is>
          <t>6.35mm</t>
        </is>
      </c>
      <c r="E1812" t="inlineStr">
        <is>
          <t>Non</t>
        </is>
      </c>
      <c r="F1812" t="inlineStr">
        <is>
          <t>https://www.headfonia.com/apos-druid-review/</t>
        </is>
      </c>
      <c r="G1812" t="inlineStr">
        <is>
          <t>Caractéristique 6.35mm renseignée depuis la source produit consultée.</t>
        </is>
      </c>
      <c r="H1812" t="inlineStr">
        <is>
          <t>2026-08-10</t>
        </is>
      </c>
    </row>
    <row r="1813">
      <c r="A1813" t="n">
        <v>207</v>
      </c>
      <c r="B1813" t="inlineStr">
        <is>
          <t>Apos Audio</t>
        </is>
      </c>
      <c r="C1813" t="inlineStr">
        <is>
          <t>Druid</t>
        </is>
      </c>
      <c r="D1813" t="inlineStr">
        <is>
          <t>XLR</t>
        </is>
      </c>
      <c r="E1813" t="inlineStr">
        <is>
          <t>Non</t>
        </is>
      </c>
      <c r="F1813" t="inlineStr">
        <is>
          <t>https://www.headfonia.com/apos-druid-review/</t>
        </is>
      </c>
      <c r="G1813" t="inlineStr">
        <is>
          <t>Caractéristique XLR renseignée depuis la source produit consultée.</t>
        </is>
      </c>
      <c r="H1813" t="inlineStr">
        <is>
          <t>2026-08-10</t>
        </is>
      </c>
    </row>
    <row r="1814">
      <c r="A1814" t="n">
        <v>207</v>
      </c>
      <c r="B1814" t="inlineStr">
        <is>
          <t>Apos Audio</t>
        </is>
      </c>
      <c r="C1814" t="inlineStr">
        <is>
          <t>Druid</t>
        </is>
      </c>
      <c r="D1814" t="inlineStr">
        <is>
          <t>DSP/PEQ</t>
        </is>
      </c>
      <c r="E1814" t="inlineStr">
        <is>
          <t>Non</t>
        </is>
      </c>
      <c r="F1814" t="inlineStr">
        <is>
          <t>https://www.headfonia.com/apos-druid-review/</t>
        </is>
      </c>
      <c r="G1814" t="inlineStr">
        <is>
          <t>Caractéristique DSP/PEQ renseignée depuis la source produit consultée.</t>
        </is>
      </c>
      <c r="H1814" t="inlineStr">
        <is>
          <t>2026-08-10</t>
        </is>
      </c>
    </row>
    <row r="1815">
      <c r="A1815" t="n">
        <v>208</v>
      </c>
      <c r="B1815" t="inlineStr">
        <is>
          <t>EarMen</t>
        </is>
      </c>
      <c r="C1815" t="inlineStr">
        <is>
          <t>TR-Amp</t>
        </is>
      </c>
      <c r="D1815" t="inlineStr">
        <is>
          <t>Batterie</t>
        </is>
      </c>
      <c r="E1815" t="inlineStr">
        <is>
          <t>Oui</t>
        </is>
      </c>
      <c r="F1815" t="inlineStr">
        <is>
          <t>https://www.headfonia.com/earmen-tr-amp-review/</t>
        </is>
      </c>
      <c r="G1815" t="inlineStr">
        <is>
          <t>Caractéristique Batterie renseignée depuis la source produit consultée.</t>
        </is>
      </c>
      <c r="H1815" t="inlineStr">
        <is>
          <t>2026-08-10</t>
        </is>
      </c>
    </row>
    <row r="1816">
      <c r="A1816" t="n">
        <v>208</v>
      </c>
      <c r="B1816" t="inlineStr">
        <is>
          <t>EarMen</t>
        </is>
      </c>
      <c r="C1816" t="inlineStr">
        <is>
          <t>TR-Amp</t>
        </is>
      </c>
      <c r="D1816" t="inlineStr">
        <is>
          <t>Bluetooth</t>
        </is>
      </c>
      <c r="E1816" t="inlineStr">
        <is>
          <t>Non</t>
        </is>
      </c>
      <c r="F1816" t="inlineStr">
        <is>
          <t>https://www.headfonia.com/earmen-tr-amp-review/</t>
        </is>
      </c>
      <c r="G1816" t="inlineStr">
        <is>
          <t>Caractéristique Bluetooth renseignée depuis la source produit consultée.</t>
        </is>
      </c>
      <c r="H1816" t="inlineStr">
        <is>
          <t>2026-08-10</t>
        </is>
      </c>
    </row>
    <row r="1817">
      <c r="A1817" t="n">
        <v>208</v>
      </c>
      <c r="B1817" t="inlineStr">
        <is>
          <t>EarMen</t>
        </is>
      </c>
      <c r="C1817" t="inlineStr">
        <is>
          <t>TR-Amp</t>
        </is>
      </c>
      <c r="D1817" t="inlineStr">
        <is>
          <t>3.5mm</t>
        </is>
      </c>
      <c r="E1817" t="inlineStr">
        <is>
          <t>Oui</t>
        </is>
      </c>
      <c r="F1817" t="inlineStr">
        <is>
          <t>https://www.headfonia.com/earmen-tr-amp-review/</t>
        </is>
      </c>
      <c r="G1817" t="inlineStr">
        <is>
          <t>Caractéristique 3.5mm renseignée depuis la source produit consultée.</t>
        </is>
      </c>
      <c r="H1817" t="inlineStr">
        <is>
          <t>2026-08-10</t>
        </is>
      </c>
    </row>
    <row r="1818">
      <c r="A1818" t="n">
        <v>208</v>
      </c>
      <c r="B1818" t="inlineStr">
        <is>
          <t>EarMen</t>
        </is>
      </c>
      <c r="C1818" t="inlineStr">
        <is>
          <t>TR-Amp</t>
        </is>
      </c>
      <c r="D1818" t="inlineStr">
        <is>
          <t>4.4mm</t>
        </is>
      </c>
      <c r="E1818" t="inlineStr">
        <is>
          <t>Non</t>
        </is>
      </c>
      <c r="F1818" t="inlineStr">
        <is>
          <t>https://www.headfonia.com/earmen-tr-amp-review/</t>
        </is>
      </c>
      <c r="G1818" t="inlineStr">
        <is>
          <t>Caractéristique 4.4mm renseignée depuis la source produit consultée.</t>
        </is>
      </c>
      <c r="H1818" t="inlineStr">
        <is>
          <t>2026-08-10</t>
        </is>
      </c>
    </row>
    <row r="1819">
      <c r="A1819" t="n">
        <v>208</v>
      </c>
      <c r="B1819" t="inlineStr">
        <is>
          <t>EarMen</t>
        </is>
      </c>
      <c r="C1819" t="inlineStr">
        <is>
          <t>TR-Amp</t>
        </is>
      </c>
      <c r="D1819" t="inlineStr">
        <is>
          <t>2.5mm</t>
        </is>
      </c>
      <c r="E1819" t="inlineStr">
        <is>
          <t>Non</t>
        </is>
      </c>
      <c r="F1819" t="inlineStr">
        <is>
          <t>https://www.headfonia.com/earmen-tr-amp-review/</t>
        </is>
      </c>
      <c r="G1819" t="inlineStr">
        <is>
          <t>Caractéristique 2.5mm renseignée depuis la source produit consultée.</t>
        </is>
      </c>
      <c r="H1819" t="inlineStr">
        <is>
          <t>2026-08-10</t>
        </is>
      </c>
    </row>
    <row r="1820">
      <c r="A1820" t="n">
        <v>208</v>
      </c>
      <c r="B1820" t="inlineStr">
        <is>
          <t>EarMen</t>
        </is>
      </c>
      <c r="C1820" t="inlineStr">
        <is>
          <t>TR-Amp</t>
        </is>
      </c>
      <c r="D1820" t="inlineStr">
        <is>
          <t>6.35mm</t>
        </is>
      </c>
      <c r="E1820" t="inlineStr">
        <is>
          <t>Oui</t>
        </is>
      </c>
      <c r="F1820" t="inlineStr">
        <is>
          <t>https://www.headfonia.com/earmen-tr-amp-review/</t>
        </is>
      </c>
      <c r="G1820" t="inlineStr">
        <is>
          <t>Caractéristique 6.35mm renseignée depuis la source produit consultée.</t>
        </is>
      </c>
      <c r="H1820" t="inlineStr">
        <is>
          <t>2026-08-10</t>
        </is>
      </c>
    </row>
    <row r="1821">
      <c r="A1821" t="n">
        <v>208</v>
      </c>
      <c r="B1821" t="inlineStr">
        <is>
          <t>EarMen</t>
        </is>
      </c>
      <c r="C1821" t="inlineStr">
        <is>
          <t>TR-Amp</t>
        </is>
      </c>
      <c r="D1821" t="inlineStr">
        <is>
          <t>XLR</t>
        </is>
      </c>
      <c r="E1821" t="inlineStr">
        <is>
          <t>Non</t>
        </is>
      </c>
      <c r="F1821" t="inlineStr">
        <is>
          <t>https://www.headfonia.com/earmen-tr-amp-review/</t>
        </is>
      </c>
      <c r="G1821" t="inlineStr">
        <is>
          <t>Caractéristique XLR renseignée depuis la source produit consultée.</t>
        </is>
      </c>
      <c r="H1821" t="inlineStr">
        <is>
          <t>2026-08-10</t>
        </is>
      </c>
    </row>
    <row r="1822">
      <c r="A1822" t="n">
        <v>208</v>
      </c>
      <c r="B1822" t="inlineStr">
        <is>
          <t>EarMen</t>
        </is>
      </c>
      <c r="C1822" t="inlineStr">
        <is>
          <t>TR-Amp</t>
        </is>
      </c>
      <c r="D1822" t="inlineStr">
        <is>
          <t>DSP/PEQ</t>
        </is>
      </c>
      <c r="E1822" t="inlineStr">
        <is>
          <t>Non</t>
        </is>
      </c>
      <c r="F1822" t="inlineStr">
        <is>
          <t>https://www.headfonia.com/earmen-tr-amp-review/</t>
        </is>
      </c>
      <c r="G1822" t="inlineStr">
        <is>
          <t>Caractéristique DSP/PEQ renseignée depuis la source produit consultée.</t>
        </is>
      </c>
      <c r="H1822" t="inlineStr">
        <is>
          <t>2026-08-10</t>
        </is>
      </c>
    </row>
    <row r="1823">
      <c r="A1823" t="n">
        <v>209</v>
      </c>
      <c r="B1823" t="inlineStr">
        <is>
          <t>Radsone</t>
        </is>
      </c>
      <c r="C1823" t="inlineStr">
        <is>
          <t>Earstudio HUD100 MK2</t>
        </is>
      </c>
      <c r="D1823" t="inlineStr">
        <is>
          <t>Batterie</t>
        </is>
      </c>
      <c r="E1823" t="inlineStr">
        <is>
          <t>Non</t>
        </is>
      </c>
      <c r="F1823" t="inlineStr">
        <is>
          <t>https://www.audioreviews.org/earstudio-hud100-review-jk/</t>
        </is>
      </c>
      <c r="G1823" t="inlineStr">
        <is>
          <t>Caractéristique Batterie renseignée depuis la source produit consultée.</t>
        </is>
      </c>
      <c r="H1823" t="inlineStr">
        <is>
          <t>2026-08-10</t>
        </is>
      </c>
    </row>
    <row r="1824">
      <c r="A1824" t="n">
        <v>209</v>
      </c>
      <c r="B1824" t="inlineStr">
        <is>
          <t>Radsone</t>
        </is>
      </c>
      <c r="C1824" t="inlineStr">
        <is>
          <t>Earstudio HUD100 MK2</t>
        </is>
      </c>
      <c r="D1824" t="inlineStr">
        <is>
          <t>Bluetooth</t>
        </is>
      </c>
      <c r="E1824" t="inlineStr">
        <is>
          <t>Non</t>
        </is>
      </c>
      <c r="F1824" t="inlineStr">
        <is>
          <t>https://www.audioreviews.org/earstudio-hud100-review-jk/</t>
        </is>
      </c>
      <c r="G1824" t="inlineStr">
        <is>
          <t>Caractéristique Bluetooth renseignée depuis la source produit consultée.</t>
        </is>
      </c>
      <c r="H1824" t="inlineStr">
        <is>
          <t>2026-08-10</t>
        </is>
      </c>
    </row>
    <row r="1825">
      <c r="A1825" t="n">
        <v>209</v>
      </c>
      <c r="B1825" t="inlineStr">
        <is>
          <t>Radsone</t>
        </is>
      </c>
      <c r="C1825" t="inlineStr">
        <is>
          <t>Earstudio HUD100 MK2</t>
        </is>
      </c>
      <c r="D1825" t="inlineStr">
        <is>
          <t>3.5mm</t>
        </is>
      </c>
      <c r="E1825" t="inlineStr">
        <is>
          <t>Oui</t>
        </is>
      </c>
      <c r="F1825" t="inlineStr">
        <is>
          <t>https://www.audioreviews.org/earstudio-hud100-review-jk/</t>
        </is>
      </c>
      <c r="G1825" t="inlineStr">
        <is>
          <t>Caractéristique 3.5mm renseignée depuis la source produit consultée.</t>
        </is>
      </c>
      <c r="H1825" t="inlineStr">
        <is>
          <t>2026-08-10</t>
        </is>
      </c>
    </row>
    <row r="1826">
      <c r="A1826" t="n">
        <v>209</v>
      </c>
      <c r="B1826" t="inlineStr">
        <is>
          <t>Radsone</t>
        </is>
      </c>
      <c r="C1826" t="inlineStr">
        <is>
          <t>Earstudio HUD100 MK2</t>
        </is>
      </c>
      <c r="D1826" t="inlineStr">
        <is>
          <t>4.4mm</t>
        </is>
      </c>
      <c r="E1826" t="inlineStr">
        <is>
          <t>Non</t>
        </is>
      </c>
      <c r="F1826" t="inlineStr">
        <is>
          <t>https://www.audioreviews.org/earstudio-hud100-review-jk/</t>
        </is>
      </c>
      <c r="G1826" t="inlineStr">
        <is>
          <t>Caractéristique 4.4mm renseignée depuis la source produit consultée.</t>
        </is>
      </c>
      <c r="H1826" t="inlineStr">
        <is>
          <t>2026-08-10</t>
        </is>
      </c>
    </row>
    <row r="1827">
      <c r="A1827" t="n">
        <v>209</v>
      </c>
      <c r="B1827" t="inlineStr">
        <is>
          <t>Radsone</t>
        </is>
      </c>
      <c r="C1827" t="inlineStr">
        <is>
          <t>Earstudio HUD100 MK2</t>
        </is>
      </c>
      <c r="D1827" t="inlineStr">
        <is>
          <t>2.5mm</t>
        </is>
      </c>
      <c r="E1827" t="inlineStr">
        <is>
          <t>Non</t>
        </is>
      </c>
      <c r="F1827" t="inlineStr">
        <is>
          <t>https://www.audioreviews.org/earstudio-hud100-review-jk/</t>
        </is>
      </c>
      <c r="G1827" t="inlineStr">
        <is>
          <t>Caractéristique 2.5mm renseignée depuis la source produit consultée.</t>
        </is>
      </c>
      <c r="H1827" t="inlineStr">
        <is>
          <t>2026-08-10</t>
        </is>
      </c>
    </row>
    <row r="1828">
      <c r="A1828" t="n">
        <v>209</v>
      </c>
      <c r="B1828" t="inlineStr">
        <is>
          <t>Radsone</t>
        </is>
      </c>
      <c r="C1828" t="inlineStr">
        <is>
          <t>Earstudio HUD100 MK2</t>
        </is>
      </c>
      <c r="D1828" t="inlineStr">
        <is>
          <t>6.35mm</t>
        </is>
      </c>
      <c r="E1828" t="inlineStr">
        <is>
          <t>Non</t>
        </is>
      </c>
      <c r="F1828" t="inlineStr">
        <is>
          <t>https://www.audioreviews.org/earstudio-hud100-review-jk/</t>
        </is>
      </c>
      <c r="G1828" t="inlineStr">
        <is>
          <t>Caractéristique 6.35mm renseignée depuis la source produit consultée.</t>
        </is>
      </c>
      <c r="H1828" t="inlineStr">
        <is>
          <t>2026-08-10</t>
        </is>
      </c>
    </row>
    <row r="1829">
      <c r="A1829" t="n">
        <v>209</v>
      </c>
      <c r="B1829" t="inlineStr">
        <is>
          <t>Radsone</t>
        </is>
      </c>
      <c r="C1829" t="inlineStr">
        <is>
          <t>Earstudio HUD100 MK2</t>
        </is>
      </c>
      <c r="D1829" t="inlineStr">
        <is>
          <t>XLR</t>
        </is>
      </c>
      <c r="E1829" t="inlineStr">
        <is>
          <t>Non</t>
        </is>
      </c>
      <c r="F1829" t="inlineStr">
        <is>
          <t>https://www.audioreviews.org/earstudio-hud100-review-jk/</t>
        </is>
      </c>
      <c r="G1829" t="inlineStr">
        <is>
          <t>Caractéristique XLR renseignée depuis la source produit consultée.</t>
        </is>
      </c>
      <c r="H1829" t="inlineStr">
        <is>
          <t>2026-08-10</t>
        </is>
      </c>
    </row>
    <row r="1830">
      <c r="A1830" t="n">
        <v>209</v>
      </c>
      <c r="B1830" t="inlineStr">
        <is>
          <t>Radsone</t>
        </is>
      </c>
      <c r="C1830" t="inlineStr">
        <is>
          <t>Earstudio HUD100 MK2</t>
        </is>
      </c>
      <c r="D1830" t="inlineStr">
        <is>
          <t>DSP/PEQ</t>
        </is>
      </c>
      <c r="E1830" t="inlineStr">
        <is>
          <t>Oui</t>
        </is>
      </c>
      <c r="F1830" t="inlineStr">
        <is>
          <t>https://www.audioreviews.org/earstudio-hud100-review-jk/</t>
        </is>
      </c>
      <c r="G1830" t="inlineStr">
        <is>
          <t>Caractéristique DSP/PEQ renseignée depuis la source produit consultée.</t>
        </is>
      </c>
      <c r="H1830" t="inlineStr">
        <is>
          <t>2026-08-10</t>
        </is>
      </c>
    </row>
    <row r="1831">
      <c r="A1831" t="n">
        <v>210</v>
      </c>
      <c r="B1831" t="inlineStr">
        <is>
          <t>iKKO</t>
        </is>
      </c>
      <c r="C1831" t="inlineStr">
        <is>
          <t>Heimdalir ITB03</t>
        </is>
      </c>
      <c r="D1831" t="inlineStr">
        <is>
          <t>Batterie</t>
        </is>
      </c>
      <c r="E1831" t="inlineStr">
        <is>
          <t>Oui</t>
        </is>
      </c>
      <c r="F1831" t="inlineStr">
        <is>
          <t>https://www.audioreviews.org/ikko-itb03-review-kazi/</t>
        </is>
      </c>
      <c r="G1831" t="inlineStr">
        <is>
          <t>Caractéristique Batterie renseignée depuis la source produit consultée.</t>
        </is>
      </c>
      <c r="H1831" t="inlineStr">
        <is>
          <t>2026-08-10</t>
        </is>
      </c>
    </row>
    <row r="1832">
      <c r="A1832" t="n">
        <v>210</v>
      </c>
      <c r="B1832" t="inlineStr">
        <is>
          <t>iKKO</t>
        </is>
      </c>
      <c r="C1832" t="inlineStr">
        <is>
          <t>Heimdalir ITB03</t>
        </is>
      </c>
      <c r="D1832" t="inlineStr">
        <is>
          <t>Bluetooth</t>
        </is>
      </c>
      <c r="E1832" t="inlineStr">
        <is>
          <t>Oui</t>
        </is>
      </c>
      <c r="F1832" t="inlineStr">
        <is>
          <t>https://www.audioreviews.org/ikko-itb03-review-kazi/</t>
        </is>
      </c>
      <c r="G1832" t="inlineStr">
        <is>
          <t>Caractéristique Bluetooth renseignée depuis la source produit consultée.</t>
        </is>
      </c>
      <c r="H1832" t="inlineStr">
        <is>
          <t>2026-08-10</t>
        </is>
      </c>
    </row>
    <row r="1833">
      <c r="A1833" t="n">
        <v>210</v>
      </c>
      <c r="B1833" t="inlineStr">
        <is>
          <t>iKKO</t>
        </is>
      </c>
      <c r="C1833" t="inlineStr">
        <is>
          <t>Heimdalir ITB03</t>
        </is>
      </c>
      <c r="D1833" t="inlineStr">
        <is>
          <t>3.5mm</t>
        </is>
      </c>
      <c r="E1833" t="inlineStr">
        <is>
          <t>Oui</t>
        </is>
      </c>
      <c r="F1833" t="inlineStr">
        <is>
          <t>https://www.audioreviews.org/ikko-itb03-review-kazi/</t>
        </is>
      </c>
      <c r="G1833" t="inlineStr">
        <is>
          <t>Caractéristique 3.5mm renseignée depuis la source produit consultée.</t>
        </is>
      </c>
      <c r="H1833" t="inlineStr">
        <is>
          <t>2026-08-10</t>
        </is>
      </c>
    </row>
    <row r="1834">
      <c r="A1834" t="n">
        <v>210</v>
      </c>
      <c r="B1834" t="inlineStr">
        <is>
          <t>iKKO</t>
        </is>
      </c>
      <c r="C1834" t="inlineStr">
        <is>
          <t>Heimdalir ITB03</t>
        </is>
      </c>
      <c r="D1834" t="inlineStr">
        <is>
          <t>4.4mm</t>
        </is>
      </c>
      <c r="E1834" t="inlineStr">
        <is>
          <t>Oui</t>
        </is>
      </c>
      <c r="F1834" t="inlineStr">
        <is>
          <t>https://www.audioreviews.org/ikko-itb03-review-kazi/</t>
        </is>
      </c>
      <c r="G1834" t="inlineStr">
        <is>
          <t>Caractéristique 4.4mm renseignée depuis la source produit consultée.</t>
        </is>
      </c>
      <c r="H1834" t="inlineStr">
        <is>
          <t>2026-08-10</t>
        </is>
      </c>
    </row>
    <row r="1835">
      <c r="A1835" t="n">
        <v>210</v>
      </c>
      <c r="B1835" t="inlineStr">
        <is>
          <t>iKKO</t>
        </is>
      </c>
      <c r="C1835" t="inlineStr">
        <is>
          <t>Heimdalir ITB03</t>
        </is>
      </c>
      <c r="D1835" t="inlineStr">
        <is>
          <t>2.5mm</t>
        </is>
      </c>
      <c r="E1835" t="inlineStr">
        <is>
          <t>Non</t>
        </is>
      </c>
      <c r="F1835" t="inlineStr">
        <is>
          <t>https://www.audioreviews.org/ikko-itb03-review-kazi/</t>
        </is>
      </c>
      <c r="G1835" t="inlineStr">
        <is>
          <t>Caractéristique 2.5mm renseignée depuis la source produit consultée.</t>
        </is>
      </c>
      <c r="H1835" t="inlineStr">
        <is>
          <t>2026-08-10</t>
        </is>
      </c>
    </row>
    <row r="1836">
      <c r="A1836" t="n">
        <v>210</v>
      </c>
      <c r="B1836" t="inlineStr">
        <is>
          <t>iKKO</t>
        </is>
      </c>
      <c r="C1836" t="inlineStr">
        <is>
          <t>Heimdalir ITB03</t>
        </is>
      </c>
      <c r="D1836" t="inlineStr">
        <is>
          <t>6.35mm</t>
        </is>
      </c>
      <c r="E1836" t="inlineStr">
        <is>
          <t>Non</t>
        </is>
      </c>
      <c r="F1836" t="inlineStr">
        <is>
          <t>https://www.audioreviews.org/ikko-itb03-review-kazi/</t>
        </is>
      </c>
      <c r="G1836" t="inlineStr">
        <is>
          <t>Caractéristique 6.35mm renseignée depuis la source produit consultée.</t>
        </is>
      </c>
      <c r="H1836" t="inlineStr">
        <is>
          <t>2026-08-10</t>
        </is>
      </c>
    </row>
    <row r="1837">
      <c r="A1837" t="n">
        <v>210</v>
      </c>
      <c r="B1837" t="inlineStr">
        <is>
          <t>iKKO</t>
        </is>
      </c>
      <c r="C1837" t="inlineStr">
        <is>
          <t>Heimdalir ITB03</t>
        </is>
      </c>
      <c r="D1837" t="inlineStr">
        <is>
          <t>XLR</t>
        </is>
      </c>
      <c r="E1837" t="inlineStr">
        <is>
          <t>Non</t>
        </is>
      </c>
      <c r="F1837" t="inlineStr">
        <is>
          <t>https://www.audioreviews.org/ikko-itb03-review-kazi/</t>
        </is>
      </c>
      <c r="G1837" t="inlineStr">
        <is>
          <t>Caractéristique XLR renseignée depuis la source produit consultée.</t>
        </is>
      </c>
      <c r="H1837" t="inlineStr">
        <is>
          <t>2026-08-10</t>
        </is>
      </c>
    </row>
    <row r="1838">
      <c r="A1838" t="n">
        <v>210</v>
      </c>
      <c r="B1838" t="inlineStr">
        <is>
          <t>iKKO</t>
        </is>
      </c>
      <c r="C1838" t="inlineStr">
        <is>
          <t>Heimdalir ITB03</t>
        </is>
      </c>
      <c r="D1838" t="inlineStr">
        <is>
          <t>DSP/PEQ</t>
        </is>
      </c>
      <c r="E1838" t="inlineStr">
        <is>
          <t>Oui</t>
        </is>
      </c>
      <c r="F1838" t="inlineStr">
        <is>
          <t>https://www.audioreviews.org/ikko-itb03-review-kazi/</t>
        </is>
      </c>
      <c r="G1838" t="inlineStr">
        <is>
          <t>Caractéristique DSP/PEQ renseignée depuis la source produit consultée.</t>
        </is>
      </c>
      <c r="H1838" t="inlineStr">
        <is>
          <t>2026-08-10</t>
        </is>
      </c>
    </row>
    <row r="1839">
      <c r="A1839" t="n">
        <v>211</v>
      </c>
      <c r="B1839" t="inlineStr">
        <is>
          <t>TimeEar</t>
        </is>
      </c>
      <c r="C1839" t="inlineStr">
        <is>
          <t>BTE-9</t>
        </is>
      </c>
      <c r="D1839" t="inlineStr">
        <is>
          <t>Batterie</t>
        </is>
      </c>
      <c r="E1839" t="inlineStr">
        <is>
          <t>Oui</t>
        </is>
      </c>
      <c r="F1839" t="inlineStr">
        <is>
          <t>https://moonstarreviews.net/timeear-bte-9-review/</t>
        </is>
      </c>
      <c r="G1839" t="inlineStr">
        <is>
          <t>Caractéristique Batterie renseignée depuis la source produit consultée.</t>
        </is>
      </c>
      <c r="H1839" t="inlineStr">
        <is>
          <t>2026-08-10</t>
        </is>
      </c>
    </row>
    <row r="1840">
      <c r="A1840" t="n">
        <v>211</v>
      </c>
      <c r="B1840" t="inlineStr">
        <is>
          <t>TimeEar</t>
        </is>
      </c>
      <c r="C1840" t="inlineStr">
        <is>
          <t>BTE-9</t>
        </is>
      </c>
      <c r="D1840" t="inlineStr">
        <is>
          <t>Bluetooth</t>
        </is>
      </c>
      <c r="E1840" t="inlineStr">
        <is>
          <t>Oui</t>
        </is>
      </c>
      <c r="F1840" t="inlineStr">
        <is>
          <t>https://moonstarreviews.net/timeear-bte-9-review/</t>
        </is>
      </c>
      <c r="G1840" t="inlineStr">
        <is>
          <t>Caractéristique Bluetooth renseignée depuis la source produit consultée.</t>
        </is>
      </c>
      <c r="H1840" t="inlineStr">
        <is>
          <t>2026-08-10</t>
        </is>
      </c>
    </row>
    <row r="1841">
      <c r="A1841" t="n">
        <v>211</v>
      </c>
      <c r="B1841" t="inlineStr">
        <is>
          <t>TimeEar</t>
        </is>
      </c>
      <c r="C1841" t="inlineStr">
        <is>
          <t>BTE-9</t>
        </is>
      </c>
      <c r="D1841" t="inlineStr">
        <is>
          <t>3.5mm</t>
        </is>
      </c>
      <c r="E1841" t="inlineStr">
        <is>
          <t>Oui</t>
        </is>
      </c>
      <c r="F1841" t="inlineStr">
        <is>
          <t>https://moonstarreviews.net/timeear-bte-9-review/</t>
        </is>
      </c>
      <c r="G1841" t="inlineStr">
        <is>
          <t>Caractéristique 3.5mm renseignée depuis la source produit consultée.</t>
        </is>
      </c>
      <c r="H1841" t="inlineStr">
        <is>
          <t>2026-08-10</t>
        </is>
      </c>
    </row>
    <row r="1842">
      <c r="A1842" t="n">
        <v>211</v>
      </c>
      <c r="B1842" t="inlineStr">
        <is>
          <t>TimeEar</t>
        </is>
      </c>
      <c r="C1842" t="inlineStr">
        <is>
          <t>BTE-9</t>
        </is>
      </c>
      <c r="D1842" t="inlineStr">
        <is>
          <t>4.4mm</t>
        </is>
      </c>
      <c r="E1842" t="inlineStr">
        <is>
          <t>Oui</t>
        </is>
      </c>
      <c r="F1842" t="inlineStr">
        <is>
          <t>https://moonstarreviews.net/timeear-bte-9-review/</t>
        </is>
      </c>
      <c r="G1842" t="inlineStr">
        <is>
          <t>Caractéristique 4.4mm renseignée depuis la source produit consultée.</t>
        </is>
      </c>
      <c r="H1842" t="inlineStr">
        <is>
          <t>2026-08-10</t>
        </is>
      </c>
    </row>
    <row r="1843">
      <c r="A1843" t="n">
        <v>211</v>
      </c>
      <c r="B1843" t="inlineStr">
        <is>
          <t>TimeEar</t>
        </is>
      </c>
      <c r="C1843" t="inlineStr">
        <is>
          <t>BTE-9</t>
        </is>
      </c>
      <c r="D1843" t="inlineStr">
        <is>
          <t>2.5mm</t>
        </is>
      </c>
      <c r="E1843" t="inlineStr">
        <is>
          <t>Non</t>
        </is>
      </c>
      <c r="F1843" t="inlineStr">
        <is>
          <t>https://moonstarreviews.net/timeear-bte-9-review/</t>
        </is>
      </c>
      <c r="G1843" t="inlineStr">
        <is>
          <t>Caractéristique 2.5mm renseignée depuis la source produit consultée.</t>
        </is>
      </c>
      <c r="H1843" t="inlineStr">
        <is>
          <t>2026-08-10</t>
        </is>
      </c>
    </row>
    <row r="1844">
      <c r="A1844" t="n">
        <v>211</v>
      </c>
      <c r="B1844" t="inlineStr">
        <is>
          <t>TimeEar</t>
        </is>
      </c>
      <c r="C1844" t="inlineStr">
        <is>
          <t>BTE-9</t>
        </is>
      </c>
      <c r="D1844" t="inlineStr">
        <is>
          <t>6.35mm</t>
        </is>
      </c>
      <c r="E1844" t="inlineStr">
        <is>
          <t>Non</t>
        </is>
      </c>
      <c r="F1844" t="inlineStr">
        <is>
          <t>https://moonstarreviews.net/timeear-bte-9-review/</t>
        </is>
      </c>
      <c r="G1844" t="inlineStr">
        <is>
          <t>Caractéristique 6.35mm renseignée depuis la source produit consultée.</t>
        </is>
      </c>
      <c r="H1844" t="inlineStr">
        <is>
          <t>2026-08-10</t>
        </is>
      </c>
    </row>
    <row r="1845">
      <c r="A1845" t="n">
        <v>211</v>
      </c>
      <c r="B1845" t="inlineStr">
        <is>
          <t>TimeEar</t>
        </is>
      </c>
      <c r="C1845" t="inlineStr">
        <is>
          <t>BTE-9</t>
        </is>
      </c>
      <c r="D1845" t="inlineStr">
        <is>
          <t>XLR</t>
        </is>
      </c>
      <c r="E1845" t="inlineStr">
        <is>
          <t>Non</t>
        </is>
      </c>
      <c r="F1845" t="inlineStr">
        <is>
          <t>https://moonstarreviews.net/timeear-bte-9-review/</t>
        </is>
      </c>
      <c r="G1845" t="inlineStr">
        <is>
          <t>Caractéristique XLR renseignée depuis la source produit consultée.</t>
        </is>
      </c>
      <c r="H1845" t="inlineStr">
        <is>
          <t>2026-08-10</t>
        </is>
      </c>
    </row>
    <row r="1846">
      <c r="A1846" t="n">
        <v>211</v>
      </c>
      <c r="B1846" t="inlineStr">
        <is>
          <t>TimeEar</t>
        </is>
      </c>
      <c r="C1846" t="inlineStr">
        <is>
          <t>BTE-9</t>
        </is>
      </c>
      <c r="D1846" t="inlineStr">
        <is>
          <t>DSP/PEQ</t>
        </is>
      </c>
      <c r="E1846" t="inlineStr">
        <is>
          <t>Oui</t>
        </is>
      </c>
      <c r="F1846" t="inlineStr">
        <is>
          <t>https://moonstarreviews.net/timeear-bte-9-review/</t>
        </is>
      </c>
      <c r="G1846" t="inlineStr">
        <is>
          <t>Caractéristique DSP/PEQ renseignée depuis la source produit consultée.</t>
        </is>
      </c>
      <c r="H1846" t="inlineStr">
        <is>
          <t>2026-08-10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9"/>
  <sheetViews>
    <sheetView showGridLines="0" workbookViewId="0">
      <selection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s>
  <sheetData>
    <row r="1">
      <c r="A1" s="173" t="inlineStr">
        <is>
          <t>Profils de pondération</t>
        </is>
      </c>
    </row>
    <row r="2">
      <c r="A2" s="174" t="inlineStr">
        <is>
          <t>Choisis un profil en B4. « Pondérations » et tout le classement suivent automatiquement. La colonne « Personnalisé » est libre : édite-la pour ton propre jeu de poids.</t>
        </is>
      </c>
    </row>
    <row r="4">
      <c r="A4" s="28" t="inlineStr">
        <is>
          <t>Profil actif</t>
        </is>
      </c>
      <c r="B4" s="175" t="inlineStr">
        <is>
          <t>Personnalisé</t>
        </is>
      </c>
    </row>
    <row r="6">
      <c r="A6" s="176" t="inlineStr">
        <is>
          <t>Critère</t>
        </is>
      </c>
      <c r="B6" s="177" t="inlineStr">
        <is>
          <t>Personnalisé</t>
        </is>
      </c>
      <c r="C6" s="177" t="inlineStr">
        <is>
          <t>Profondeur &amp; holographie</t>
        </is>
      </c>
      <c r="D6" s="177" t="inlineStr">
        <is>
          <t>Nomade</t>
        </is>
      </c>
      <c r="E6" s="177" t="inlineStr">
        <is>
          <t>Polyvalent (tout casque)</t>
        </is>
      </c>
      <c r="F6" s="177" t="inlineStr">
        <is>
          <t>Complément desktop</t>
        </is>
      </c>
    </row>
    <row r="7">
      <c r="A7" s="178" t="inlineStr">
        <is>
          <t>Propreté / contrôle</t>
        </is>
      </c>
      <c r="B7" s="179" t="n">
        <v>14</v>
      </c>
      <c r="C7" s="180" t="n">
        <v>10</v>
      </c>
      <c r="D7" s="180" t="n">
        <v>12</v>
      </c>
      <c r="E7" s="180" t="n">
        <v>15</v>
      </c>
      <c r="F7" s="180" t="n">
        <v>4</v>
      </c>
    </row>
    <row r="8">
      <c r="A8" s="178" t="inlineStr">
        <is>
          <t>Microdétail</t>
        </is>
      </c>
      <c r="B8" s="179" t="n">
        <v>14</v>
      </c>
      <c r="C8" s="180" t="n">
        <v>12</v>
      </c>
      <c r="D8" s="180" t="n">
        <v>12</v>
      </c>
      <c r="E8" s="180" t="n">
        <v>10</v>
      </c>
      <c r="F8" s="180" t="n">
        <v>8</v>
      </c>
    </row>
    <row r="9">
      <c r="A9" s="178" t="inlineStr">
        <is>
          <t>Profondeur avant-arrière</t>
        </is>
      </c>
      <c r="B9" s="179" t="n">
        <v>18</v>
      </c>
      <c r="C9" s="180" t="n">
        <v>22</v>
      </c>
      <c r="D9" s="180" t="n">
        <v>10</v>
      </c>
      <c r="E9" s="180" t="n">
        <v>10</v>
      </c>
      <c r="F9" s="180" t="n">
        <v>18</v>
      </c>
    </row>
    <row r="10">
      <c r="A10" s="178" t="inlineStr">
        <is>
          <t>Holographie / 3D</t>
        </is>
      </c>
      <c r="B10" s="179" t="n">
        <v>14</v>
      </c>
      <c r="C10" s="180" t="n">
        <v>20</v>
      </c>
      <c r="D10" s="180" t="n">
        <v>8</v>
      </c>
      <c r="E10" s="180" t="n">
        <v>6</v>
      </c>
      <c r="F10" s="180" t="n">
        <v>16</v>
      </c>
    </row>
    <row r="11">
      <c r="A11" s="178" t="inlineStr">
        <is>
          <t>Layering</t>
        </is>
      </c>
      <c r="B11" s="179" t="n">
        <v>14</v>
      </c>
      <c r="C11" s="180" t="n">
        <v>16</v>
      </c>
      <c r="D11" s="180" t="n">
        <v>8</v>
      </c>
      <c r="E11" s="180" t="n">
        <v>8</v>
      </c>
      <c r="F11" s="180" t="n">
        <v>12</v>
      </c>
    </row>
    <row r="12">
      <c r="A12" s="178" t="inlineStr">
        <is>
          <t>Matière / timbres</t>
        </is>
      </c>
      <c r="B12" s="179" t="n">
        <v>10</v>
      </c>
      <c r="C12" s="180" t="n">
        <v>10</v>
      </c>
      <c r="D12" s="180" t="n">
        <v>8</v>
      </c>
      <c r="E12" s="180" t="n">
        <v>8</v>
      </c>
      <c r="F12" s="180" t="n">
        <v>14</v>
      </c>
    </row>
    <row r="13">
      <c r="A13" s="178" t="inlineStr">
        <is>
          <t>Dynamique / tenue</t>
        </is>
      </c>
      <c r="B13" s="179" t="n">
        <v>6</v>
      </c>
      <c r="C13" s="180" t="n">
        <v>4</v>
      </c>
      <c r="D13" s="180" t="n">
        <v>6</v>
      </c>
      <c r="E13" s="180" t="n">
        <v>12</v>
      </c>
      <c r="F13" s="180" t="n">
        <v>3</v>
      </c>
    </row>
    <row r="14">
      <c r="A14" s="178" t="inlineStr">
        <is>
          <t>Puissance / polyvalence</t>
        </is>
      </c>
      <c r="B14" s="179" t="n">
        <v>4</v>
      </c>
      <c r="C14" s="180" t="n">
        <v>3</v>
      </c>
      <c r="D14" s="180" t="n">
        <v>4</v>
      </c>
      <c r="E14" s="180" t="n">
        <v>25</v>
      </c>
      <c r="F14" s="180" t="n">
        <v>2</v>
      </c>
    </row>
    <row r="15">
      <c r="A15" s="178" t="inlineStr">
        <is>
          <t>Nomadisme</t>
        </is>
      </c>
      <c r="B15" s="179" t="n">
        <v>2</v>
      </c>
      <c r="C15" s="180" t="n">
        <v>1</v>
      </c>
      <c r="D15" s="180" t="n">
        <v>30</v>
      </c>
      <c r="E15" s="180" t="n">
        <v>4</v>
      </c>
      <c r="F15" s="180" t="n">
        <v>3</v>
      </c>
    </row>
    <row r="16">
      <c r="A16" s="178" t="inlineStr">
        <is>
          <t>Complémentarité N7/L70</t>
        </is>
      </c>
      <c r="B16" s="179" t="n">
        <v>4</v>
      </c>
      <c r="C16" s="180" t="n">
        <v>2</v>
      </c>
      <c r="D16" s="180" t="n">
        <v>2</v>
      </c>
      <c r="E16" s="180" t="n">
        <v>2</v>
      </c>
      <c r="F16" s="180" t="n">
        <v>20</v>
      </c>
    </row>
    <row r="17">
      <c r="A17" s="28" t="inlineStr">
        <is>
          <t>Total</t>
        </is>
      </c>
      <c r="B17" s="181">
        <f>SUM(B7:B16)</f>
        <v/>
      </c>
      <c r="C17" s="181">
        <f>SUM(C7:C16)</f>
        <v/>
      </c>
      <c r="D17" s="181">
        <f>SUM(D7:D16)</f>
        <v/>
      </c>
      <c r="E17" s="181">
        <f>SUM(E7:E16)</f>
        <v/>
      </c>
      <c r="F17" s="181">
        <f>SUM(F7:F16)</f>
        <v/>
      </c>
    </row>
    <row r="19">
      <c r="A19" s="174" t="inlineStr">
        <is>
          <t>Chaque profil totalise 100. Si tu édites « Personnalisé », le total n'a pas besoin de faire 100 : le score divise toujours par le total réel.</t>
        </is>
      </c>
    </row>
  </sheetData>
  <dataValidations count="1">
    <dataValidation sqref="B4" showDropDown="0" showInputMessage="0" showErrorMessage="0" allowBlank="0" type="list">
      <formula1>"Personnalisé,Profondeur &amp; holographie,Nomade,Polyvalent (tout casque),Complément du L70"</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6"/>
  <sheetViews>
    <sheetView showGridLines="0" workbookViewId="0">
      <pane ySplit="4" topLeftCell="A5" activePane="bottomLeft" state="frozen"/>
      <selection pane="bottomLeft" activeCell="A1" sqref="A1"/>
    </sheetView>
  </sheetViews>
  <sheetFormatPr baseColWidth="8" defaultRowHeight="15"/>
  <cols>
    <col width="30" customWidth="1" min="1" max="1"/>
    <col width="12" customWidth="1" min="2" max="2"/>
    <col width="25" customWidth="1" min="3" max="3"/>
    <col width="60" customWidth="1" min="4" max="4"/>
  </cols>
  <sheetData>
    <row r="1" ht="28" customHeight="1">
      <c r="A1" s="19" t="inlineStr">
        <is>
          <t>Pondérations du score personnalisé</t>
        </is>
      </c>
    </row>
    <row r="2" ht="32" customHeight="1">
      <c r="A2" s="2" t="inlineStr">
        <is>
          <t>Les poids viennent du profil sélectionné dans la feuille « Profils » (cellule B4). Pour des poids sur mesure, choisis le profil « Personnalisé » et édite sa colonne.</t>
        </is>
      </c>
    </row>
    <row r="4">
      <c r="A4" s="31" t="inlineStr">
        <is>
          <t>Critère</t>
        </is>
      </c>
      <c r="B4" s="31" t="inlineStr">
        <is>
          <t>Poids</t>
        </is>
      </c>
      <c r="C4" s="31" t="inlineStr">
        <is>
          <t>Échelle</t>
        </is>
      </c>
      <c r="D4" s="31" t="inlineStr">
        <is>
          <t>Pourquoi dans ton cas</t>
        </is>
      </c>
    </row>
    <row r="5">
      <c r="A5" s="26" t="inlineStr">
        <is>
          <t>Propreté / contrôle</t>
        </is>
      </c>
      <c r="B5" s="35">
        <f>INDEX(Profils!$B$7:$F$16,1,MATCH(Profils!$B$4,Profils!$B$6:$F$6,0))</f>
        <v/>
      </c>
      <c r="C5" s="26" t="inlineStr">
        <is>
          <t>1 = faible / 10 = excellent</t>
        </is>
      </c>
      <c r="D5" s="26" t="n"/>
    </row>
    <row r="6">
      <c r="A6" s="26" t="inlineStr">
        <is>
          <t>Microdétail</t>
        </is>
      </c>
      <c r="B6" s="35">
        <f>INDEX(Profils!$B$7:$F$16,2,MATCH(Profils!$B$4,Profils!$B$6:$F$6,0))</f>
        <v/>
      </c>
      <c r="C6" s="26" t="inlineStr">
        <is>
          <t>1 = faible / 10 = excellent</t>
        </is>
      </c>
      <c r="D6" s="26" t="n"/>
    </row>
    <row r="7">
      <c r="A7" s="26" t="inlineStr">
        <is>
          <t>Profondeur avant-arrière</t>
        </is>
      </c>
      <c r="B7" s="35">
        <f>INDEX(Profils!$B$7:$F$16,3,MATCH(Profils!$B$4,Profils!$B$6:$F$6,0))</f>
        <v/>
      </c>
      <c r="C7" s="26" t="inlineStr">
        <is>
          <t>1 = faible / 10 = excellent</t>
        </is>
      </c>
      <c r="D7" s="26" t="n"/>
    </row>
    <row r="8">
      <c r="A8" s="26" t="inlineStr">
        <is>
          <t>Holographie / 3D</t>
        </is>
      </c>
      <c r="B8" s="35">
        <f>INDEX(Profils!$B$7:$F$16,4,MATCH(Profils!$B$4,Profils!$B$6:$F$6,0))</f>
        <v/>
      </c>
      <c r="C8" s="26" t="inlineStr">
        <is>
          <t>1 = faible / 10 = excellent</t>
        </is>
      </c>
      <c r="D8" s="26" t="n"/>
    </row>
    <row r="9">
      <c r="A9" s="26" t="inlineStr">
        <is>
          <t>Layering</t>
        </is>
      </c>
      <c r="B9" s="35">
        <f>INDEX(Profils!$B$7:$F$16,5,MATCH(Profils!$B$4,Profils!$B$6:$F$6,0))</f>
        <v/>
      </c>
      <c r="C9" s="26" t="inlineStr">
        <is>
          <t>1 = faible / 10 = excellent</t>
        </is>
      </c>
      <c r="D9" s="26" t="n"/>
    </row>
    <row r="10">
      <c r="A10" s="26" t="inlineStr">
        <is>
          <t>Matière / timbres</t>
        </is>
      </c>
      <c r="B10" s="35">
        <f>INDEX(Profils!$B$7:$F$16,6,MATCH(Profils!$B$4,Profils!$B$6:$F$6,0))</f>
        <v/>
      </c>
      <c r="C10" s="26" t="inlineStr">
        <is>
          <t>1 = faible / 10 = excellent</t>
        </is>
      </c>
      <c r="D10" s="26" t="n"/>
    </row>
    <row r="11">
      <c r="A11" s="26" t="inlineStr">
        <is>
          <t>Dynamique / tenue</t>
        </is>
      </c>
      <c r="B11" s="35">
        <f>INDEX(Profils!$B$7:$F$16,7,MATCH(Profils!$B$4,Profils!$B$6:$F$6,0))</f>
        <v/>
      </c>
      <c r="C11" s="26" t="inlineStr">
        <is>
          <t>1 = faible / 10 = excellent</t>
        </is>
      </c>
      <c r="D11" s="26" t="n"/>
    </row>
    <row r="12">
      <c r="A12" s="26" t="inlineStr">
        <is>
          <t>Puissance / polyvalence</t>
        </is>
      </c>
      <c r="B12" s="35">
        <f>INDEX(Profils!$B$7:$F$16,8,MATCH(Profils!$B$4,Profils!$B$6:$F$6,0))</f>
        <v/>
      </c>
      <c r="C12" s="26" t="inlineStr">
        <is>
          <t>1 = faible / 10 = excellent</t>
        </is>
      </c>
      <c r="D12" s="26" t="n"/>
    </row>
    <row r="13">
      <c r="A13" s="26" t="inlineStr">
        <is>
          <t>Nomadisme</t>
        </is>
      </c>
      <c r="B13" s="35">
        <f>INDEX(Profils!$B$7:$F$16,9,MATCH(Profils!$B$4,Profils!$B$6:$F$6,0))</f>
        <v/>
      </c>
      <c r="C13" s="26" t="inlineStr">
        <is>
          <t>1 = faible / 10 = excellent</t>
        </is>
      </c>
      <c r="D13" s="26" t="n"/>
    </row>
    <row r="14">
      <c r="A14" s="26" t="inlineStr">
        <is>
          <t>Complémentarité N7/L70</t>
        </is>
      </c>
      <c r="B14" s="35">
        <f>INDEX(Profils!$B$7:$F$16,10,MATCH(Profils!$B$4,Profils!$B$6:$F$6,0))</f>
        <v/>
      </c>
      <c r="C14" s="26" t="inlineStr">
        <is>
          <t>1 = faible / 10 = excellent</t>
        </is>
      </c>
      <c r="D14" s="26" t="n"/>
    </row>
    <row r="16">
      <c r="A16" s="28" t="inlineStr">
        <is>
          <t>Total</t>
        </is>
      </c>
      <c r="B16" s="36">
        <f>SUM(B5:B14)</f>
        <v/>
      </c>
      <c r="D16" s="30" t="n"/>
    </row>
  </sheetData>
  <mergeCells count="2">
    <mergeCell ref="A1:D1"/>
    <mergeCell ref="A2:D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209"/>
  <sheetViews>
    <sheetView showGridLines="0" zoomScale="8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30" customWidth="1" min="2" max="2"/>
    <col width="18"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3" customWidth="1" min="15" max="15"/>
    <col width="13" customWidth="1" min="16" max="16"/>
    <col width="13" customWidth="1" min="17" max="17"/>
    <col width="13" customWidth="1" min="18" max="18"/>
    <col width="13" customWidth="1" min="19" max="19"/>
  </cols>
  <sheetData>
    <row r="1">
      <c r="A1" s="173" t="inlineStr">
        <is>
          <t>Classement paramétrique</t>
        </is>
      </c>
      <c r="C1" s="174" t="inlineStr">
        <is>
          <t>poids du profil actif →</t>
        </is>
      </c>
      <c r="E1" s="174">
        <f>Pondérations!$B$5</f>
        <v/>
      </c>
      <c r="F1" s="174">
        <f>Pondérations!$B$6</f>
        <v/>
      </c>
      <c r="G1" s="174">
        <f>Pondérations!$B$7</f>
        <v/>
      </c>
      <c r="H1" s="174">
        <f>Pondérations!$B$8</f>
        <v/>
      </c>
      <c r="I1" s="174">
        <f>Pondérations!$B$9</f>
        <v/>
      </c>
      <c r="J1" s="174">
        <f>Pondérations!$B$10</f>
        <v/>
      </c>
      <c r="K1" s="174">
        <f>Pondérations!$B$11</f>
        <v/>
      </c>
      <c r="L1" s="174">
        <f>Pondérations!$B$12</f>
        <v/>
      </c>
      <c r="M1" s="174">
        <f>Pondérations!$B$13</f>
        <v/>
      </c>
      <c r="N1" s="174">
        <f>Pondérations!$B$14</f>
        <v/>
      </c>
    </row>
    <row r="2">
      <c r="C2" s="174" t="inlineStr">
        <is>
          <t>min du critère →</t>
        </is>
      </c>
      <c r="E2" s="174">
        <f>MIN(Comparatif!G$7:G$178)</f>
        <v/>
      </c>
      <c r="F2" s="174">
        <f>MIN(Comparatif!H$7:H$178)</f>
        <v/>
      </c>
      <c r="G2" s="174">
        <f>MIN(Comparatif!I$7:I$178)</f>
        <v/>
      </c>
      <c r="H2" s="174">
        <f>MIN(Comparatif!J$7:J$178)</f>
        <v/>
      </c>
      <c r="I2" s="174">
        <f>MIN(Comparatif!K$7:K$178)</f>
        <v/>
      </c>
      <c r="J2" s="174">
        <f>MIN(Comparatif!L$7:L$178)</f>
        <v/>
      </c>
      <c r="K2" s="174">
        <f>MIN(Comparatif!M$7:M$178)</f>
        <v/>
      </c>
      <c r="L2" s="174">
        <f>MIN(Comparatif!N$7:N$178)</f>
        <v/>
      </c>
      <c r="M2" s="174">
        <f>MIN(Comparatif!O$7:O$178)</f>
        <v/>
      </c>
      <c r="N2" s="174">
        <f>MIN(Comparatif!P$7:P$178)</f>
        <v/>
      </c>
    </row>
    <row r="3">
      <c r="C3" s="174" t="inlineStr">
        <is>
          <t>max du critère →</t>
        </is>
      </c>
      <c r="E3" s="174">
        <f>MAX(Comparatif!G$7:G$178)</f>
        <v/>
      </c>
      <c r="F3" s="174">
        <f>MAX(Comparatif!H$7:H$178)</f>
        <v/>
      </c>
      <c r="G3" s="174">
        <f>MAX(Comparatif!I$7:I$178)</f>
        <v/>
      </c>
      <c r="H3" s="174">
        <f>MAX(Comparatif!J$7:J$178)</f>
        <v/>
      </c>
      <c r="I3" s="174">
        <f>MAX(Comparatif!K$7:K$178)</f>
        <v/>
      </c>
      <c r="J3" s="174">
        <f>MAX(Comparatif!L$7:L$178)</f>
        <v/>
      </c>
      <c r="K3" s="174">
        <f>MAX(Comparatif!M$7:M$178)</f>
        <v/>
      </c>
      <c r="L3" s="174">
        <f>MAX(Comparatif!N$7:N$178)</f>
        <v/>
      </c>
      <c r="M3" s="174">
        <f>MAX(Comparatif!O$7:O$178)</f>
        <v/>
      </c>
      <c r="N3" s="174">
        <f>MAX(Comparatif!P$7:P$178)</f>
        <v/>
      </c>
    </row>
    <row r="4" ht="46" customHeight="1">
      <c r="A4" s="177" t="inlineStr">
        <is>
          <t>Marque</t>
        </is>
      </c>
      <c r="B4" s="177" t="inlineStr">
        <is>
          <t>Modèle</t>
        </is>
      </c>
      <c r="C4" s="177" t="inlineStr">
        <is>
          <t>Format</t>
        </is>
      </c>
      <c r="D4" s="177" t="inlineStr">
        <is>
          <t>Prix (≈€)</t>
        </is>
      </c>
      <c r="E4" s="177" t="inlineStr">
        <is>
          <t>N. Propreté / contrôle</t>
        </is>
      </c>
      <c r="F4" s="177" t="inlineStr">
        <is>
          <t>N. Microdétail</t>
        </is>
      </c>
      <c r="G4" s="177" t="inlineStr">
        <is>
          <t>N. Profondeur avant-arrière</t>
        </is>
      </c>
      <c r="H4" s="177" t="inlineStr">
        <is>
          <t>N. Holographie / 3D</t>
        </is>
      </c>
      <c r="I4" s="177" t="inlineStr">
        <is>
          <t>N. Layering</t>
        </is>
      </c>
      <c r="J4" s="177" t="inlineStr">
        <is>
          <t>N. Matière / timbres</t>
        </is>
      </c>
      <c r="K4" s="177" t="inlineStr">
        <is>
          <t>N. Dynamique / tenue</t>
        </is>
      </c>
      <c r="L4" s="177" t="inlineStr">
        <is>
          <t>N. Puissance / polyvalence</t>
        </is>
      </c>
      <c r="M4" s="177" t="inlineStr">
        <is>
          <t>N. Nomadisme</t>
        </is>
      </c>
      <c r="N4" s="177" t="inlineStr">
        <is>
          <t>N. Complémentarité N7/L70</t>
        </is>
      </c>
      <c r="O4" s="177" t="inlineStr">
        <is>
          <t>Score /10</t>
        </is>
      </c>
      <c r="P4" s="177" t="inlineStr">
        <is>
          <t>Rang global</t>
        </is>
      </c>
      <c r="Q4" s="177" t="inlineStr">
        <is>
          <t>Rang format</t>
        </is>
      </c>
      <c r="R4" s="177" t="inlineStr">
        <is>
          <t>Stabilité</t>
        </is>
      </c>
      <c r="S4" s="177" t="inlineStr">
        <is>
          <t>Score / 100 €</t>
        </is>
      </c>
    </row>
    <row r="5">
      <c r="A5">
        <f>Comparatif!A7</f>
        <v/>
      </c>
      <c r="B5">
        <f>Comparatif!B7</f>
        <v/>
      </c>
      <c r="C5" t="inlineStr">
        <is>
          <t>Dongle</t>
        </is>
      </c>
      <c r="D5">
        <f>Comparatif!AF7</f>
        <v/>
      </c>
      <c r="E5">
        <f>ROUND(10*(Comparatif!G7-E$2)/(E$3-E$2),4)</f>
        <v/>
      </c>
      <c r="F5">
        <f>ROUND(10*(Comparatif!H7-F$2)/(F$3-F$2),4)</f>
        <v/>
      </c>
      <c r="G5">
        <f>ROUND(10*(Comparatif!I7-G$2)/(G$3-G$2),4)</f>
        <v/>
      </c>
      <c r="H5">
        <f>ROUND(10*(Comparatif!J7-H$2)/(H$3-H$2),4)</f>
        <v/>
      </c>
      <c r="I5">
        <f>ROUND(10*(Comparatif!K7-I$2)/(I$3-I$2),4)</f>
        <v/>
      </c>
      <c r="J5">
        <f>ROUND(10*(Comparatif!L7-J$2)/(J$3-J$2),4)</f>
        <v/>
      </c>
      <c r="K5">
        <f>ROUND(10*(Comparatif!M7-K$2)/(K$3-K$2),4)</f>
        <v/>
      </c>
      <c r="L5">
        <f>ROUND(10*(Comparatif!N7-L$2)/(L$3-L$2),4)</f>
        <v/>
      </c>
      <c r="M5">
        <f>ROUND(10*(Comparatif!O7-M$2)/(M$3-M$2),4)</f>
        <v/>
      </c>
      <c r="N5">
        <f>ROUND(10*(Comparatif!P7-N$2)/(N$3-N$2),4)</f>
        <v/>
      </c>
      <c r="O5">
        <f>ROUND(SUMPRODUCT(E5:N5,$E$1:$N$1)/Pondérations!$B$16,3)</f>
        <v/>
      </c>
      <c r="P5">
        <f>1+COUNTIF($O$5:$O$206,"&gt;"&amp;O5)+COUNTIF($O$5:$O5,O5)-1</f>
        <v/>
      </c>
      <c r="Q5">
        <f>1+COUNTIFS($C$5:$C$206,C5,$O$5:$O$206,"&gt;"&amp;O5)+COUNTIFS($C$5:$C5,C5,$O$5:$O5,O5)-1</f>
        <v/>
      </c>
      <c r="R5" s="182" t="n">
        <v>0.9975000000000001</v>
      </c>
      <c r="S5">
        <f>IFERROR(ROUND(O5/(D5/100),2),"")</f>
        <v/>
      </c>
    </row>
    <row r="6">
      <c r="A6">
        <f>Comparatif!A8</f>
        <v/>
      </c>
      <c r="B6">
        <f>Comparatif!B8</f>
        <v/>
      </c>
      <c r="C6" t="inlineStr">
        <is>
          <t>Portable batterie</t>
        </is>
      </c>
      <c r="D6">
        <f>Comparatif!AF8</f>
        <v/>
      </c>
      <c r="E6">
        <f>ROUND(10*(Comparatif!G8-E$2)/(E$3-E$2),4)</f>
        <v/>
      </c>
      <c r="F6">
        <f>ROUND(10*(Comparatif!H8-F$2)/(F$3-F$2),4)</f>
        <v/>
      </c>
      <c r="G6">
        <f>ROUND(10*(Comparatif!I8-G$2)/(G$3-G$2),4)</f>
        <v/>
      </c>
      <c r="H6">
        <f>ROUND(10*(Comparatif!J8-H$2)/(H$3-H$2),4)</f>
        <v/>
      </c>
      <c r="I6">
        <f>ROUND(10*(Comparatif!K8-I$2)/(I$3-I$2),4)</f>
        <v/>
      </c>
      <c r="J6">
        <f>ROUND(10*(Comparatif!L8-J$2)/(J$3-J$2),4)</f>
        <v/>
      </c>
      <c r="K6">
        <f>ROUND(10*(Comparatif!M8-K$2)/(K$3-K$2),4)</f>
        <v/>
      </c>
      <c r="L6">
        <f>ROUND(10*(Comparatif!N8-L$2)/(L$3-L$2),4)</f>
        <v/>
      </c>
      <c r="M6">
        <f>ROUND(10*(Comparatif!O8-M$2)/(M$3-M$2),4)</f>
        <v/>
      </c>
      <c r="N6">
        <f>ROUND(10*(Comparatif!P8-N$2)/(N$3-N$2),4)</f>
        <v/>
      </c>
      <c r="O6">
        <f>ROUND(SUMPRODUCT(E6:N6,$E$1:$N$1)/Pondérations!$B$16,3)</f>
        <v/>
      </c>
      <c r="P6">
        <f>1+COUNTIF($O$5:$O$206,"&gt;"&amp;O6)+COUNTIF($O$5:$O6,O6)-1</f>
        <v/>
      </c>
      <c r="Q6">
        <f>1+COUNTIFS($C$5:$C$206,C6,$O$5:$O$206,"&gt;"&amp;O6)+COUNTIFS($C$5:$C6,C6,$O$5:$O6,O6)-1</f>
        <v/>
      </c>
      <c r="R6" s="182" t="n">
        <v>1</v>
      </c>
      <c r="S6">
        <f>IFERROR(ROUND(O6/(D6/100),2),"")</f>
        <v/>
      </c>
    </row>
    <row r="7">
      <c r="A7">
        <f>Comparatif!A30</f>
        <v/>
      </c>
      <c r="B7">
        <f>Comparatif!B30</f>
        <v/>
      </c>
      <c r="C7" t="inlineStr">
        <is>
          <t>Dongle</t>
        </is>
      </c>
      <c r="D7">
        <f>Comparatif!AF30</f>
        <v/>
      </c>
      <c r="E7">
        <f>ROUND(10*(Comparatif!G30-E$2)/(E$3-E$2),4)</f>
        <v/>
      </c>
      <c r="F7">
        <f>ROUND(10*(Comparatif!H30-F$2)/(F$3-F$2),4)</f>
        <v/>
      </c>
      <c r="G7">
        <f>ROUND(10*(Comparatif!I30-G$2)/(G$3-G$2),4)</f>
        <v/>
      </c>
      <c r="H7">
        <f>ROUND(10*(Comparatif!J30-H$2)/(H$3-H$2),4)</f>
        <v/>
      </c>
      <c r="I7">
        <f>ROUND(10*(Comparatif!K30-I$2)/(I$3-I$2),4)</f>
        <v/>
      </c>
      <c r="J7">
        <f>ROUND(10*(Comparatif!L30-J$2)/(J$3-J$2),4)</f>
        <v/>
      </c>
      <c r="K7">
        <f>ROUND(10*(Comparatif!M30-K$2)/(K$3-K$2),4)</f>
        <v/>
      </c>
      <c r="L7">
        <f>ROUND(10*(Comparatif!N30-L$2)/(L$3-L$2),4)</f>
        <v/>
      </c>
      <c r="M7">
        <f>ROUND(10*(Comparatif!O30-M$2)/(M$3-M$2),4)</f>
        <v/>
      </c>
      <c r="N7">
        <f>ROUND(10*(Comparatif!P30-N$2)/(N$3-N$2),4)</f>
        <v/>
      </c>
      <c r="O7">
        <f>ROUND(SUMPRODUCT(E7:N7,$E$1:$N$1)/Pondérations!$B$16,3)</f>
        <v/>
      </c>
      <c r="P7">
        <f>1+COUNTIF($O$5:$O$206,"&gt;"&amp;O7)+COUNTIF($O$5:$O7,O7)-1</f>
        <v/>
      </c>
      <c r="Q7">
        <f>1+COUNTIFS($C$5:$C$206,C7,$O$5:$O$206,"&gt;"&amp;O7)+COUNTIFS($C$5:$C7,C7,$O$5:$O7,O7)-1</f>
        <v/>
      </c>
      <c r="R7" s="182" t="n">
        <v>0.9525</v>
      </c>
      <c r="S7">
        <f>IFERROR(ROUND(O7/(D7/100),2),"")</f>
        <v/>
      </c>
    </row>
    <row r="8">
      <c r="A8">
        <f>Comparatif!A115</f>
        <v/>
      </c>
      <c r="B8">
        <f>Comparatif!B115</f>
        <v/>
      </c>
      <c r="C8" t="inlineStr">
        <is>
          <t>Dongle</t>
        </is>
      </c>
      <c r="D8">
        <f>Comparatif!AF115</f>
        <v/>
      </c>
      <c r="E8">
        <f>ROUND(10*(Comparatif!G115-E$2)/(E$3-E$2),4)</f>
        <v/>
      </c>
      <c r="F8">
        <f>ROUND(10*(Comparatif!H115-F$2)/(F$3-F$2),4)</f>
        <v/>
      </c>
      <c r="G8">
        <f>ROUND(10*(Comparatif!I115-G$2)/(G$3-G$2),4)</f>
        <v/>
      </c>
      <c r="H8">
        <f>ROUND(10*(Comparatif!J115-H$2)/(H$3-H$2),4)</f>
        <v/>
      </c>
      <c r="I8">
        <f>ROUND(10*(Comparatif!K115-I$2)/(I$3-I$2),4)</f>
        <v/>
      </c>
      <c r="J8">
        <f>ROUND(10*(Comparatif!L115-J$2)/(J$3-J$2),4)</f>
        <v/>
      </c>
      <c r="K8">
        <f>ROUND(10*(Comparatif!M115-K$2)/(K$3-K$2),4)</f>
        <v/>
      </c>
      <c r="L8">
        <f>ROUND(10*(Comparatif!N115-L$2)/(L$3-L$2),4)</f>
        <v/>
      </c>
      <c r="M8">
        <f>ROUND(10*(Comparatif!O115-M$2)/(M$3-M$2),4)</f>
        <v/>
      </c>
      <c r="N8">
        <f>ROUND(10*(Comparatif!P115-N$2)/(N$3-N$2),4)</f>
        <v/>
      </c>
      <c r="O8">
        <f>ROUND(SUMPRODUCT(E8:N8,$E$1:$N$1)/Pondérations!$B$16,3)</f>
        <v/>
      </c>
      <c r="P8">
        <f>1+COUNTIF($O$5:$O$206,"&gt;"&amp;O8)+COUNTIF($O$5:$O8,O8)-1</f>
        <v/>
      </c>
      <c r="Q8">
        <f>1+COUNTIFS($C$5:$C$206,C8,$O$5:$O$206,"&gt;"&amp;O8)+COUNTIFS($C$5:$C8,C8,$O$5:$O8,O8)-1</f>
        <v/>
      </c>
      <c r="R8" s="182" t="n">
        <v>1</v>
      </c>
      <c r="S8">
        <f>IFERROR(ROUND(O8/(D8/100),2),"")</f>
        <v/>
      </c>
    </row>
    <row r="9">
      <c r="A9">
        <f>Comparatif!A13</f>
        <v/>
      </c>
      <c r="B9">
        <f>Comparatif!B13</f>
        <v/>
      </c>
      <c r="C9" t="inlineStr">
        <is>
          <t>Portable batterie</t>
        </is>
      </c>
      <c r="D9">
        <f>Comparatif!AF13</f>
        <v/>
      </c>
      <c r="E9">
        <f>ROUND(10*(Comparatif!G13-E$2)/(E$3-E$2),4)</f>
        <v/>
      </c>
      <c r="F9">
        <f>ROUND(10*(Comparatif!H13-F$2)/(F$3-F$2),4)</f>
        <v/>
      </c>
      <c r="G9">
        <f>ROUND(10*(Comparatif!I13-G$2)/(G$3-G$2),4)</f>
        <v/>
      </c>
      <c r="H9">
        <f>ROUND(10*(Comparatif!J13-H$2)/(H$3-H$2),4)</f>
        <v/>
      </c>
      <c r="I9">
        <f>ROUND(10*(Comparatif!K13-I$2)/(I$3-I$2),4)</f>
        <v/>
      </c>
      <c r="J9">
        <f>ROUND(10*(Comparatif!L13-J$2)/(J$3-J$2),4)</f>
        <v/>
      </c>
      <c r="K9">
        <f>ROUND(10*(Comparatif!M13-K$2)/(K$3-K$2),4)</f>
        <v/>
      </c>
      <c r="L9">
        <f>ROUND(10*(Comparatif!N13-L$2)/(L$3-L$2),4)</f>
        <v/>
      </c>
      <c r="M9">
        <f>ROUND(10*(Comparatif!O13-M$2)/(M$3-M$2),4)</f>
        <v/>
      </c>
      <c r="N9">
        <f>ROUND(10*(Comparatif!P13-N$2)/(N$3-N$2),4)</f>
        <v/>
      </c>
      <c r="O9">
        <f>ROUND(SUMPRODUCT(E9:N9,$E$1:$N$1)/Pondérations!$B$16,3)</f>
        <v/>
      </c>
      <c r="P9">
        <f>1+COUNTIF($O$5:$O$206,"&gt;"&amp;O9)+COUNTIF($O$5:$O9,O9)-1</f>
        <v/>
      </c>
      <c r="Q9">
        <f>1+COUNTIFS($C$5:$C$206,C9,$O$5:$O$206,"&gt;"&amp;O9)+COUNTIFS($C$5:$C9,C9,$O$5:$O9,O9)-1</f>
        <v/>
      </c>
      <c r="R9" s="182" t="n">
        <v>0.5095</v>
      </c>
      <c r="S9">
        <f>IFERROR(ROUND(O9/(D9/100),2),"")</f>
        <v/>
      </c>
    </row>
    <row r="10">
      <c r="A10">
        <f>Comparatif!A9</f>
        <v/>
      </c>
      <c r="B10">
        <f>Comparatif!B9</f>
        <v/>
      </c>
      <c r="C10" t="inlineStr">
        <is>
          <t>Dongle</t>
        </is>
      </c>
      <c r="D10">
        <f>Comparatif!AF9</f>
        <v/>
      </c>
      <c r="E10">
        <f>ROUND(10*(Comparatif!G9-E$2)/(E$3-E$2),4)</f>
        <v/>
      </c>
      <c r="F10">
        <f>ROUND(10*(Comparatif!H9-F$2)/(F$3-F$2),4)</f>
        <v/>
      </c>
      <c r="G10">
        <f>ROUND(10*(Comparatif!I9-G$2)/(G$3-G$2),4)</f>
        <v/>
      </c>
      <c r="H10">
        <f>ROUND(10*(Comparatif!J9-H$2)/(H$3-H$2),4)</f>
        <v/>
      </c>
      <c r="I10">
        <f>ROUND(10*(Comparatif!K9-I$2)/(I$3-I$2),4)</f>
        <v/>
      </c>
      <c r="J10">
        <f>ROUND(10*(Comparatif!L9-J$2)/(J$3-J$2),4)</f>
        <v/>
      </c>
      <c r="K10">
        <f>ROUND(10*(Comparatif!M9-K$2)/(K$3-K$2),4)</f>
        <v/>
      </c>
      <c r="L10">
        <f>ROUND(10*(Comparatif!N9-L$2)/(L$3-L$2),4)</f>
        <v/>
      </c>
      <c r="M10">
        <f>ROUND(10*(Comparatif!O9-M$2)/(M$3-M$2),4)</f>
        <v/>
      </c>
      <c r="N10">
        <f>ROUND(10*(Comparatif!P9-N$2)/(N$3-N$2),4)</f>
        <v/>
      </c>
      <c r="O10">
        <f>ROUND(SUMPRODUCT(E10:N10,$E$1:$N$1)/Pondérations!$B$16,3)</f>
        <v/>
      </c>
      <c r="P10">
        <f>1+COUNTIF($O$5:$O$206,"&gt;"&amp;O10)+COUNTIF($O$5:$O10,O10)-1</f>
        <v/>
      </c>
      <c r="Q10">
        <f>1+COUNTIFS($C$5:$C$206,C10,$O$5:$O$206,"&gt;"&amp;O10)+COUNTIFS($C$5:$C10,C10,$O$5:$O10,O10)-1</f>
        <v/>
      </c>
      <c r="R10" s="182" t="n">
        <v>0.584</v>
      </c>
      <c r="S10">
        <f>IFERROR(ROUND(O10/(D10/100),2),"")</f>
        <v/>
      </c>
    </row>
    <row r="11">
      <c r="A11">
        <f>Comparatif!A159</f>
        <v/>
      </c>
      <c r="B11">
        <f>Comparatif!B159</f>
        <v/>
      </c>
      <c r="C11" t="inlineStr">
        <is>
          <t>Dongle</t>
        </is>
      </c>
      <c r="D11">
        <f>Comparatif!AF159</f>
        <v/>
      </c>
      <c r="E11">
        <f>ROUND(10*(Comparatif!G159-E$2)/(E$3-E$2),4)</f>
        <v/>
      </c>
      <c r="F11">
        <f>ROUND(10*(Comparatif!H159-F$2)/(F$3-F$2),4)</f>
        <v/>
      </c>
      <c r="G11">
        <f>ROUND(10*(Comparatif!I159-G$2)/(G$3-G$2),4)</f>
        <v/>
      </c>
      <c r="H11">
        <f>ROUND(10*(Comparatif!J159-H$2)/(H$3-H$2),4)</f>
        <v/>
      </c>
      <c r="I11">
        <f>ROUND(10*(Comparatif!K159-I$2)/(I$3-I$2),4)</f>
        <v/>
      </c>
      <c r="J11">
        <f>ROUND(10*(Comparatif!L159-J$2)/(J$3-J$2),4)</f>
        <v/>
      </c>
      <c r="K11">
        <f>ROUND(10*(Comparatif!M159-K$2)/(K$3-K$2),4)</f>
        <v/>
      </c>
      <c r="L11">
        <f>ROUND(10*(Comparatif!N159-L$2)/(L$3-L$2),4)</f>
        <v/>
      </c>
      <c r="M11">
        <f>ROUND(10*(Comparatif!O159-M$2)/(M$3-M$2),4)</f>
        <v/>
      </c>
      <c r="N11">
        <f>ROUND(10*(Comparatif!P159-N$2)/(N$3-N$2),4)</f>
        <v/>
      </c>
      <c r="O11">
        <f>ROUND(SUMPRODUCT(E11:N11,$E$1:$N$1)/Pondérations!$B$16,3)</f>
        <v/>
      </c>
      <c r="P11">
        <f>1+COUNTIF($O$5:$O$206,"&gt;"&amp;O11)+COUNTIF($O$5:$O11,O11)-1</f>
        <v/>
      </c>
      <c r="Q11">
        <f>1+COUNTIFS($C$5:$C$206,C11,$O$5:$O$206,"&gt;"&amp;O11)+COUNTIFS($C$5:$C11,C11,$O$5:$O11,O11)-1</f>
        <v/>
      </c>
      <c r="R11" s="182" t="n">
        <v>0.788</v>
      </c>
      <c r="S11">
        <f>IFERROR(ROUND(O11/(D11/100),2),"")</f>
        <v/>
      </c>
    </row>
    <row r="12">
      <c r="A12">
        <f>Comparatif!A160</f>
        <v/>
      </c>
      <c r="B12">
        <f>Comparatif!B160</f>
        <v/>
      </c>
      <c r="C12" t="inlineStr">
        <is>
          <t>Portable batterie</t>
        </is>
      </c>
      <c r="D12">
        <f>Comparatif!AF160</f>
        <v/>
      </c>
      <c r="E12">
        <f>ROUND(10*(Comparatif!G160-E$2)/(E$3-E$2),4)</f>
        <v/>
      </c>
      <c r="F12">
        <f>ROUND(10*(Comparatif!H160-F$2)/(F$3-F$2),4)</f>
        <v/>
      </c>
      <c r="G12">
        <f>ROUND(10*(Comparatif!I160-G$2)/(G$3-G$2),4)</f>
        <v/>
      </c>
      <c r="H12">
        <f>ROUND(10*(Comparatif!J160-H$2)/(H$3-H$2),4)</f>
        <v/>
      </c>
      <c r="I12">
        <f>ROUND(10*(Comparatif!K160-I$2)/(I$3-I$2),4)</f>
        <v/>
      </c>
      <c r="J12">
        <f>ROUND(10*(Comparatif!L160-J$2)/(J$3-J$2),4)</f>
        <v/>
      </c>
      <c r="K12">
        <f>ROUND(10*(Comparatif!M160-K$2)/(K$3-K$2),4)</f>
        <v/>
      </c>
      <c r="L12">
        <f>ROUND(10*(Comparatif!N160-L$2)/(L$3-L$2),4)</f>
        <v/>
      </c>
      <c r="M12">
        <f>ROUND(10*(Comparatif!O160-M$2)/(M$3-M$2),4)</f>
        <v/>
      </c>
      <c r="N12">
        <f>ROUND(10*(Comparatif!P160-N$2)/(N$3-N$2),4)</f>
        <v/>
      </c>
      <c r="O12">
        <f>ROUND(SUMPRODUCT(E12:N12,$E$1:$N$1)/Pondérations!$B$16,3)</f>
        <v/>
      </c>
      <c r="P12">
        <f>1+COUNTIF($O$5:$O$206,"&gt;"&amp;O12)+COUNTIF($O$5:$O12,O12)-1</f>
        <v/>
      </c>
      <c r="Q12">
        <f>1+COUNTIFS($C$5:$C$206,C12,$O$5:$O$206,"&gt;"&amp;O12)+COUNTIFS($C$5:$C12,C12,$O$5:$O12,O12)-1</f>
        <v/>
      </c>
      <c r="R12" s="182" t="n">
        <v>0.159</v>
      </c>
      <c r="S12">
        <f>IFERROR(ROUND(O12/(D12/100),2),"")</f>
        <v/>
      </c>
    </row>
    <row r="13">
      <c r="A13">
        <f>Comparatif!A11</f>
        <v/>
      </c>
      <c r="B13">
        <f>Comparatif!B11</f>
        <v/>
      </c>
      <c r="C13" t="inlineStr">
        <is>
          <t>Dongle</t>
        </is>
      </c>
      <c r="D13">
        <f>Comparatif!AF11</f>
        <v/>
      </c>
      <c r="E13">
        <f>ROUND(10*(Comparatif!G11-E$2)/(E$3-E$2),4)</f>
        <v/>
      </c>
      <c r="F13">
        <f>ROUND(10*(Comparatif!H11-F$2)/(F$3-F$2),4)</f>
        <v/>
      </c>
      <c r="G13">
        <f>ROUND(10*(Comparatif!I11-G$2)/(G$3-G$2),4)</f>
        <v/>
      </c>
      <c r="H13">
        <f>ROUND(10*(Comparatif!J11-H$2)/(H$3-H$2),4)</f>
        <v/>
      </c>
      <c r="I13">
        <f>ROUND(10*(Comparatif!K11-I$2)/(I$3-I$2),4)</f>
        <v/>
      </c>
      <c r="J13">
        <f>ROUND(10*(Comparatif!L11-J$2)/(J$3-J$2),4)</f>
        <v/>
      </c>
      <c r="K13">
        <f>ROUND(10*(Comparatif!M11-K$2)/(K$3-K$2),4)</f>
        <v/>
      </c>
      <c r="L13">
        <f>ROUND(10*(Comparatif!N11-L$2)/(L$3-L$2),4)</f>
        <v/>
      </c>
      <c r="M13">
        <f>ROUND(10*(Comparatif!O11-M$2)/(M$3-M$2),4)</f>
        <v/>
      </c>
      <c r="N13">
        <f>ROUND(10*(Comparatif!P11-N$2)/(N$3-N$2),4)</f>
        <v/>
      </c>
      <c r="O13">
        <f>ROUND(SUMPRODUCT(E13:N13,$E$1:$N$1)/Pondérations!$B$16,3)</f>
        <v/>
      </c>
      <c r="P13">
        <f>1+COUNTIF($O$5:$O$206,"&gt;"&amp;O13)+COUNTIF($O$5:$O13,O13)-1</f>
        <v/>
      </c>
      <c r="Q13">
        <f>1+COUNTIFS($C$5:$C$206,C13,$O$5:$O$206,"&gt;"&amp;O13)+COUNTIFS($C$5:$C13,C13,$O$5:$O13,O13)-1</f>
        <v/>
      </c>
      <c r="R13" s="182" t="n">
        <v>0.9515</v>
      </c>
      <c r="S13">
        <f>IFERROR(ROUND(O13/(D13/100),2),"")</f>
        <v/>
      </c>
    </row>
    <row r="14">
      <c r="A14">
        <f>Comparatif!A133</f>
        <v/>
      </c>
      <c r="B14">
        <f>Comparatif!B133</f>
        <v/>
      </c>
      <c r="C14" t="inlineStr">
        <is>
          <t>Portable batterie</t>
        </is>
      </c>
      <c r="D14">
        <f>Comparatif!AF133</f>
        <v/>
      </c>
      <c r="E14">
        <f>ROUND(10*(Comparatif!G133-E$2)/(E$3-E$2),4)</f>
        <v/>
      </c>
      <c r="F14">
        <f>ROUND(10*(Comparatif!H133-F$2)/(F$3-F$2),4)</f>
        <v/>
      </c>
      <c r="G14">
        <f>ROUND(10*(Comparatif!I133-G$2)/(G$3-G$2),4)</f>
        <v/>
      </c>
      <c r="H14">
        <f>ROUND(10*(Comparatif!J133-H$2)/(H$3-H$2),4)</f>
        <v/>
      </c>
      <c r="I14">
        <f>ROUND(10*(Comparatif!K133-I$2)/(I$3-I$2),4)</f>
        <v/>
      </c>
      <c r="J14">
        <f>ROUND(10*(Comparatif!L133-J$2)/(J$3-J$2),4)</f>
        <v/>
      </c>
      <c r="K14">
        <f>ROUND(10*(Comparatif!M133-K$2)/(K$3-K$2),4)</f>
        <v/>
      </c>
      <c r="L14">
        <f>ROUND(10*(Comparatif!N133-L$2)/(L$3-L$2),4)</f>
        <v/>
      </c>
      <c r="M14">
        <f>ROUND(10*(Comparatif!O133-M$2)/(M$3-M$2),4)</f>
        <v/>
      </c>
      <c r="N14">
        <f>ROUND(10*(Comparatif!P133-N$2)/(N$3-N$2),4)</f>
        <v/>
      </c>
      <c r="O14">
        <f>ROUND(SUMPRODUCT(E14:N14,$E$1:$N$1)/Pondérations!$B$16,3)</f>
        <v/>
      </c>
      <c r="P14">
        <f>1+COUNTIF($O$5:$O$206,"&gt;"&amp;O14)+COUNTIF($O$5:$O14,O14)-1</f>
        <v/>
      </c>
      <c r="Q14">
        <f>1+COUNTIFS($C$5:$C$206,C14,$O$5:$O$206,"&gt;"&amp;O14)+COUNTIFS($C$5:$C14,C14,$O$5:$O14,O14)-1</f>
        <v/>
      </c>
      <c r="R14" s="182" t="n">
        <v>0.666</v>
      </c>
      <c r="S14">
        <f>IFERROR(ROUND(O14/(D14/100),2),"")</f>
        <v/>
      </c>
    </row>
    <row r="15">
      <c r="A15">
        <f>Comparatif!A67</f>
        <v/>
      </c>
      <c r="B15">
        <f>Comparatif!B67</f>
        <v/>
      </c>
      <c r="C15" t="inlineStr">
        <is>
          <t>À classer</t>
        </is>
      </c>
      <c r="D15">
        <f>Comparatif!AF67</f>
        <v/>
      </c>
      <c r="E15">
        <f>ROUND(10*(Comparatif!G67-E$2)/(E$3-E$2),4)</f>
        <v/>
      </c>
      <c r="F15">
        <f>ROUND(10*(Comparatif!H67-F$2)/(F$3-F$2),4)</f>
        <v/>
      </c>
      <c r="G15">
        <f>ROUND(10*(Comparatif!I67-G$2)/(G$3-G$2),4)</f>
        <v/>
      </c>
      <c r="H15">
        <f>ROUND(10*(Comparatif!J67-H$2)/(H$3-H$2),4)</f>
        <v/>
      </c>
      <c r="I15">
        <f>ROUND(10*(Comparatif!K67-I$2)/(I$3-I$2),4)</f>
        <v/>
      </c>
      <c r="J15">
        <f>ROUND(10*(Comparatif!L67-J$2)/(J$3-J$2),4)</f>
        <v/>
      </c>
      <c r="K15">
        <f>ROUND(10*(Comparatif!M67-K$2)/(K$3-K$2),4)</f>
        <v/>
      </c>
      <c r="L15">
        <f>ROUND(10*(Comparatif!N67-L$2)/(L$3-L$2),4)</f>
        <v/>
      </c>
      <c r="M15">
        <f>ROUND(10*(Comparatif!O67-M$2)/(M$3-M$2),4)</f>
        <v/>
      </c>
      <c r="N15">
        <f>ROUND(10*(Comparatif!P67-N$2)/(N$3-N$2),4)</f>
        <v/>
      </c>
      <c r="O15">
        <f>ROUND(SUMPRODUCT(E15:N15,$E$1:$N$1)/Pondérations!$B$16,3)</f>
        <v/>
      </c>
      <c r="P15">
        <f>1+COUNTIF($O$5:$O$206,"&gt;"&amp;O15)+COUNTIF($O$5:$O15,O15)-1</f>
        <v/>
      </c>
      <c r="Q15">
        <f>1+COUNTIFS($C$5:$C$206,C15,$O$5:$O$206,"&gt;"&amp;O15)+COUNTIFS($C$5:$C15,C15,$O$5:$O15,O15)-1</f>
        <v/>
      </c>
      <c r="R15" s="182" t="n">
        <v>0.714</v>
      </c>
      <c r="S15">
        <f>IFERROR(ROUND(O15/(D15/100),2),"")</f>
        <v/>
      </c>
    </row>
    <row r="16">
      <c r="A16">
        <f>Comparatif!A145</f>
        <v/>
      </c>
      <c r="B16">
        <f>Comparatif!B145</f>
        <v/>
      </c>
      <c r="C16" t="inlineStr">
        <is>
          <t>Dongle</t>
        </is>
      </c>
      <c r="D16">
        <f>Comparatif!AF145</f>
        <v/>
      </c>
      <c r="E16">
        <f>ROUND(10*(Comparatif!G145-E$2)/(E$3-E$2),4)</f>
        <v/>
      </c>
      <c r="F16">
        <f>ROUND(10*(Comparatif!H145-F$2)/(F$3-F$2),4)</f>
        <v/>
      </c>
      <c r="G16">
        <f>ROUND(10*(Comparatif!I145-G$2)/(G$3-G$2),4)</f>
        <v/>
      </c>
      <c r="H16">
        <f>ROUND(10*(Comparatif!J145-H$2)/(H$3-H$2),4)</f>
        <v/>
      </c>
      <c r="I16">
        <f>ROUND(10*(Comparatif!K145-I$2)/(I$3-I$2),4)</f>
        <v/>
      </c>
      <c r="J16">
        <f>ROUND(10*(Comparatif!L145-J$2)/(J$3-J$2),4)</f>
        <v/>
      </c>
      <c r="K16">
        <f>ROUND(10*(Comparatif!M145-K$2)/(K$3-K$2),4)</f>
        <v/>
      </c>
      <c r="L16">
        <f>ROUND(10*(Comparatif!N145-L$2)/(L$3-L$2),4)</f>
        <v/>
      </c>
      <c r="M16">
        <f>ROUND(10*(Comparatif!O145-M$2)/(M$3-M$2),4)</f>
        <v/>
      </c>
      <c r="N16">
        <f>ROUND(10*(Comparatif!P145-N$2)/(N$3-N$2),4)</f>
        <v/>
      </c>
      <c r="O16">
        <f>ROUND(SUMPRODUCT(E16:N16,$E$1:$N$1)/Pondérations!$B$16,3)</f>
        <v/>
      </c>
      <c r="P16">
        <f>1+COUNTIF($O$5:$O$206,"&gt;"&amp;O16)+COUNTIF($O$5:$O16,O16)-1</f>
        <v/>
      </c>
      <c r="Q16">
        <f>1+COUNTIFS($C$5:$C$206,C16,$O$5:$O$206,"&gt;"&amp;O16)+COUNTIFS($C$5:$C16,C16,$O$5:$O16,O16)-1</f>
        <v/>
      </c>
      <c r="R16" s="182" t="n">
        <v>0.9095</v>
      </c>
      <c r="S16">
        <f>IFERROR(ROUND(O16/(D16/100),2),"")</f>
        <v/>
      </c>
    </row>
    <row r="17">
      <c r="A17">
        <f>Comparatif!A157</f>
        <v/>
      </c>
      <c r="B17">
        <f>Comparatif!B157</f>
        <v/>
      </c>
      <c r="C17" t="inlineStr">
        <is>
          <t>Portable batterie</t>
        </is>
      </c>
      <c r="D17">
        <f>Comparatif!AF157</f>
        <v/>
      </c>
      <c r="E17">
        <f>ROUND(10*(Comparatif!G157-E$2)/(E$3-E$2),4)</f>
        <v/>
      </c>
      <c r="F17">
        <f>ROUND(10*(Comparatif!H157-F$2)/(F$3-F$2),4)</f>
        <v/>
      </c>
      <c r="G17">
        <f>ROUND(10*(Comparatif!I157-G$2)/(G$3-G$2),4)</f>
        <v/>
      </c>
      <c r="H17">
        <f>ROUND(10*(Comparatif!J157-H$2)/(H$3-H$2),4)</f>
        <v/>
      </c>
      <c r="I17">
        <f>ROUND(10*(Comparatif!K157-I$2)/(I$3-I$2),4)</f>
        <v/>
      </c>
      <c r="J17">
        <f>ROUND(10*(Comparatif!L157-J$2)/(J$3-J$2),4)</f>
        <v/>
      </c>
      <c r="K17">
        <f>ROUND(10*(Comparatif!M157-K$2)/(K$3-K$2),4)</f>
        <v/>
      </c>
      <c r="L17">
        <f>ROUND(10*(Comparatif!N157-L$2)/(L$3-L$2),4)</f>
        <v/>
      </c>
      <c r="M17">
        <f>ROUND(10*(Comparatif!O157-M$2)/(M$3-M$2),4)</f>
        <v/>
      </c>
      <c r="N17">
        <f>ROUND(10*(Comparatif!P157-N$2)/(N$3-N$2),4)</f>
        <v/>
      </c>
      <c r="O17">
        <f>ROUND(SUMPRODUCT(E17:N17,$E$1:$N$1)/Pondérations!$B$16,3)</f>
        <v/>
      </c>
      <c r="P17">
        <f>1+COUNTIF($O$5:$O$206,"&gt;"&amp;O17)+COUNTIF($O$5:$O17,O17)-1</f>
        <v/>
      </c>
      <c r="Q17">
        <f>1+COUNTIFS($C$5:$C$206,C17,$O$5:$O$206,"&gt;"&amp;O17)+COUNTIFS($C$5:$C17,C17,$O$5:$O17,O17)-1</f>
        <v/>
      </c>
      <c r="R17" s="182" t="n">
        <v>0.0115</v>
      </c>
      <c r="S17">
        <f>IFERROR(ROUND(O17/(D17/100),2),"")</f>
        <v/>
      </c>
    </row>
    <row r="18">
      <c r="A18">
        <f>Comparatif!A144</f>
        <v/>
      </c>
      <c r="B18">
        <f>Comparatif!B144</f>
        <v/>
      </c>
      <c r="C18" t="inlineStr">
        <is>
          <t>À classer</t>
        </is>
      </c>
      <c r="D18">
        <f>Comparatif!AF144</f>
        <v/>
      </c>
      <c r="E18">
        <f>ROUND(10*(Comparatif!G144-E$2)/(E$3-E$2),4)</f>
        <v/>
      </c>
      <c r="F18">
        <f>ROUND(10*(Comparatif!H144-F$2)/(F$3-F$2),4)</f>
        <v/>
      </c>
      <c r="G18">
        <f>ROUND(10*(Comparatif!I144-G$2)/(G$3-G$2),4)</f>
        <v/>
      </c>
      <c r="H18">
        <f>ROUND(10*(Comparatif!J144-H$2)/(H$3-H$2),4)</f>
        <v/>
      </c>
      <c r="I18">
        <f>ROUND(10*(Comparatif!K144-I$2)/(I$3-I$2),4)</f>
        <v/>
      </c>
      <c r="J18">
        <f>ROUND(10*(Comparatif!L144-J$2)/(J$3-J$2),4)</f>
        <v/>
      </c>
      <c r="K18">
        <f>ROUND(10*(Comparatif!M144-K$2)/(K$3-K$2),4)</f>
        <v/>
      </c>
      <c r="L18">
        <f>ROUND(10*(Comparatif!N144-L$2)/(L$3-L$2),4)</f>
        <v/>
      </c>
      <c r="M18">
        <f>ROUND(10*(Comparatif!O144-M$2)/(M$3-M$2),4)</f>
        <v/>
      </c>
      <c r="N18">
        <f>ROUND(10*(Comparatif!P144-N$2)/(N$3-N$2),4)</f>
        <v/>
      </c>
      <c r="O18">
        <f>ROUND(SUMPRODUCT(E18:N18,$E$1:$N$1)/Pondérations!$B$16,3)</f>
        <v/>
      </c>
      <c r="P18">
        <f>1+COUNTIF($O$5:$O$206,"&gt;"&amp;O18)+COUNTIF($O$5:$O18,O18)-1</f>
        <v/>
      </c>
      <c r="Q18">
        <f>1+COUNTIFS($C$5:$C$206,C18,$O$5:$O$206,"&gt;"&amp;O18)+COUNTIFS($C$5:$C18,C18,$O$5:$O18,O18)-1</f>
        <v/>
      </c>
      <c r="R18" s="182" t="n">
        <v>0.8425</v>
      </c>
      <c r="S18">
        <f>IFERROR(ROUND(O18/(D18/100),2),"")</f>
        <v/>
      </c>
    </row>
    <row r="19">
      <c r="A19">
        <f>Comparatif!A167</f>
        <v/>
      </c>
      <c r="B19">
        <f>Comparatif!B167</f>
        <v/>
      </c>
      <c r="C19" t="inlineStr">
        <is>
          <t>À classer</t>
        </is>
      </c>
      <c r="D19">
        <f>Comparatif!AF167</f>
        <v/>
      </c>
      <c r="E19">
        <f>ROUND(10*(Comparatif!G167-E$2)/(E$3-E$2),4)</f>
        <v/>
      </c>
      <c r="F19">
        <f>ROUND(10*(Comparatif!H167-F$2)/(F$3-F$2),4)</f>
        <v/>
      </c>
      <c r="G19">
        <f>ROUND(10*(Comparatif!I167-G$2)/(G$3-G$2),4)</f>
        <v/>
      </c>
      <c r="H19">
        <f>ROUND(10*(Comparatif!J167-H$2)/(H$3-H$2),4)</f>
        <v/>
      </c>
      <c r="I19">
        <f>ROUND(10*(Comparatif!K167-I$2)/(I$3-I$2),4)</f>
        <v/>
      </c>
      <c r="J19">
        <f>ROUND(10*(Comparatif!L167-J$2)/(J$3-J$2),4)</f>
        <v/>
      </c>
      <c r="K19">
        <f>ROUND(10*(Comparatif!M167-K$2)/(K$3-K$2),4)</f>
        <v/>
      </c>
      <c r="L19">
        <f>ROUND(10*(Comparatif!N167-L$2)/(L$3-L$2),4)</f>
        <v/>
      </c>
      <c r="M19">
        <f>ROUND(10*(Comparatif!O167-M$2)/(M$3-M$2),4)</f>
        <v/>
      </c>
      <c r="N19">
        <f>ROUND(10*(Comparatif!P167-N$2)/(N$3-N$2),4)</f>
        <v/>
      </c>
      <c r="O19">
        <f>ROUND(SUMPRODUCT(E19:N19,$E$1:$N$1)/Pondérations!$B$16,3)</f>
        <v/>
      </c>
      <c r="P19">
        <f>1+COUNTIF($O$5:$O$206,"&gt;"&amp;O19)+COUNTIF($O$5:$O19,O19)-1</f>
        <v/>
      </c>
      <c r="Q19">
        <f>1+COUNTIFS($C$5:$C$206,C19,$O$5:$O$206,"&gt;"&amp;O19)+COUNTIFS($C$5:$C19,C19,$O$5:$O19,O19)-1</f>
        <v/>
      </c>
      <c r="R19" s="182" t="n">
        <v>0.8355</v>
      </c>
      <c r="S19">
        <f>IFERROR(ROUND(O19/(D19/100),2),"")</f>
        <v/>
      </c>
    </row>
    <row r="20">
      <c r="A20">
        <f>Comparatif!A137</f>
        <v/>
      </c>
      <c r="B20">
        <f>Comparatif!B137</f>
        <v/>
      </c>
      <c r="C20" t="inlineStr">
        <is>
          <t>Portable batterie</t>
        </is>
      </c>
      <c r="D20">
        <f>Comparatif!AF137</f>
        <v/>
      </c>
      <c r="E20">
        <f>ROUND(10*(Comparatif!G137-E$2)/(E$3-E$2),4)</f>
        <v/>
      </c>
      <c r="F20">
        <f>ROUND(10*(Comparatif!H137-F$2)/(F$3-F$2),4)</f>
        <v/>
      </c>
      <c r="G20">
        <f>ROUND(10*(Comparatif!I137-G$2)/(G$3-G$2),4)</f>
        <v/>
      </c>
      <c r="H20">
        <f>ROUND(10*(Comparatif!J137-H$2)/(H$3-H$2),4)</f>
        <v/>
      </c>
      <c r="I20">
        <f>ROUND(10*(Comparatif!K137-I$2)/(I$3-I$2),4)</f>
        <v/>
      </c>
      <c r="J20">
        <f>ROUND(10*(Comparatif!L137-J$2)/(J$3-J$2),4)</f>
        <v/>
      </c>
      <c r="K20">
        <f>ROUND(10*(Comparatif!M137-K$2)/(K$3-K$2),4)</f>
        <v/>
      </c>
      <c r="L20">
        <f>ROUND(10*(Comparatif!N137-L$2)/(L$3-L$2),4)</f>
        <v/>
      </c>
      <c r="M20">
        <f>ROUND(10*(Comparatif!O137-M$2)/(M$3-M$2),4)</f>
        <v/>
      </c>
      <c r="N20">
        <f>ROUND(10*(Comparatif!P137-N$2)/(N$3-N$2),4)</f>
        <v/>
      </c>
      <c r="O20">
        <f>ROUND(SUMPRODUCT(E20:N20,$E$1:$N$1)/Pondérations!$B$16,3)</f>
        <v/>
      </c>
      <c r="P20">
        <f>1+COUNTIF($O$5:$O$206,"&gt;"&amp;O20)+COUNTIF($O$5:$O20,O20)-1</f>
        <v/>
      </c>
      <c r="Q20">
        <f>1+COUNTIFS($C$5:$C$206,C20,$O$5:$O$206,"&gt;"&amp;O20)+COUNTIFS($C$5:$C20,C20,$O$5:$O20,O20)-1</f>
        <v/>
      </c>
      <c r="R20" s="182" t="n">
        <v>0.6365</v>
      </c>
      <c r="S20">
        <f>IFERROR(ROUND(O20/(D20/100),2),"")</f>
        <v/>
      </c>
    </row>
    <row r="21">
      <c r="A21">
        <f>Comparatif!A10</f>
        <v/>
      </c>
      <c r="B21">
        <f>Comparatif!B10</f>
        <v/>
      </c>
      <c r="C21" t="inlineStr">
        <is>
          <t>Portable batterie</t>
        </is>
      </c>
      <c r="D21">
        <f>Comparatif!AF10</f>
        <v/>
      </c>
      <c r="E21">
        <f>ROUND(10*(Comparatif!G10-E$2)/(E$3-E$2),4)</f>
        <v/>
      </c>
      <c r="F21">
        <f>ROUND(10*(Comparatif!H10-F$2)/(F$3-F$2),4)</f>
        <v/>
      </c>
      <c r="G21">
        <f>ROUND(10*(Comparatif!I10-G$2)/(G$3-G$2),4)</f>
        <v/>
      </c>
      <c r="H21">
        <f>ROUND(10*(Comparatif!J10-H$2)/(H$3-H$2),4)</f>
        <v/>
      </c>
      <c r="I21">
        <f>ROUND(10*(Comparatif!K10-I$2)/(I$3-I$2),4)</f>
        <v/>
      </c>
      <c r="J21">
        <f>ROUND(10*(Comparatif!L10-J$2)/(J$3-J$2),4)</f>
        <v/>
      </c>
      <c r="K21">
        <f>ROUND(10*(Comparatif!M10-K$2)/(K$3-K$2),4)</f>
        <v/>
      </c>
      <c r="L21">
        <f>ROUND(10*(Comparatif!N10-L$2)/(L$3-L$2),4)</f>
        <v/>
      </c>
      <c r="M21">
        <f>ROUND(10*(Comparatif!O10-M$2)/(M$3-M$2),4)</f>
        <v/>
      </c>
      <c r="N21">
        <f>ROUND(10*(Comparatif!P10-N$2)/(N$3-N$2),4)</f>
        <v/>
      </c>
      <c r="O21">
        <f>ROUND(SUMPRODUCT(E21:N21,$E$1:$N$1)/Pondérations!$B$16,3)</f>
        <v/>
      </c>
      <c r="P21">
        <f>1+COUNTIF($O$5:$O$206,"&gt;"&amp;O21)+COUNTIF($O$5:$O21,O21)-1</f>
        <v/>
      </c>
      <c r="Q21">
        <f>1+COUNTIFS($C$5:$C$206,C21,$O$5:$O$206,"&gt;"&amp;O21)+COUNTIFS($C$5:$C21,C21,$O$5:$O21,O21)-1</f>
        <v/>
      </c>
      <c r="R21" s="182" t="n">
        <v>0.017</v>
      </c>
      <c r="S21">
        <f>IFERROR(ROUND(O21/(D21/100),2),"")</f>
        <v/>
      </c>
    </row>
    <row r="22">
      <c r="A22">
        <f>Comparatif!A83</f>
        <v/>
      </c>
      <c r="B22">
        <f>Comparatif!B83</f>
        <v/>
      </c>
      <c r="C22" t="inlineStr">
        <is>
          <t>Dongle</t>
        </is>
      </c>
      <c r="D22">
        <f>Comparatif!AF83</f>
        <v/>
      </c>
      <c r="E22">
        <f>ROUND(10*(Comparatif!G83-E$2)/(E$3-E$2),4)</f>
        <v/>
      </c>
      <c r="F22">
        <f>ROUND(10*(Comparatif!H83-F$2)/(F$3-F$2),4)</f>
        <v/>
      </c>
      <c r="G22">
        <f>ROUND(10*(Comparatif!I83-G$2)/(G$3-G$2),4)</f>
        <v/>
      </c>
      <c r="H22">
        <f>ROUND(10*(Comparatif!J83-H$2)/(H$3-H$2),4)</f>
        <v/>
      </c>
      <c r="I22">
        <f>ROUND(10*(Comparatif!K83-I$2)/(I$3-I$2),4)</f>
        <v/>
      </c>
      <c r="J22">
        <f>ROUND(10*(Comparatif!L83-J$2)/(J$3-J$2),4)</f>
        <v/>
      </c>
      <c r="K22">
        <f>ROUND(10*(Comparatif!M83-K$2)/(K$3-K$2),4)</f>
        <v/>
      </c>
      <c r="L22">
        <f>ROUND(10*(Comparatif!N83-L$2)/(L$3-L$2),4)</f>
        <v/>
      </c>
      <c r="M22">
        <f>ROUND(10*(Comparatif!O83-M$2)/(M$3-M$2),4)</f>
        <v/>
      </c>
      <c r="N22">
        <f>ROUND(10*(Comparatif!P83-N$2)/(N$3-N$2),4)</f>
        <v/>
      </c>
      <c r="O22">
        <f>ROUND(SUMPRODUCT(E22:N22,$E$1:$N$1)/Pondérations!$B$16,3)</f>
        <v/>
      </c>
      <c r="P22">
        <f>1+COUNTIF($O$5:$O$206,"&gt;"&amp;O22)+COUNTIF($O$5:$O22,O22)-1</f>
        <v/>
      </c>
      <c r="Q22">
        <f>1+COUNTIFS($C$5:$C$206,C22,$O$5:$O$206,"&gt;"&amp;O22)+COUNTIFS($C$5:$C22,C22,$O$5:$O22,O22)-1</f>
        <v/>
      </c>
      <c r="R22" s="182" t="n">
        <v>0.8845</v>
      </c>
      <c r="S22">
        <f>IFERROR(ROUND(O22/(D22/100),2),"")</f>
        <v/>
      </c>
    </row>
    <row r="23">
      <c r="A23">
        <f>Comparatif!A131</f>
        <v/>
      </c>
      <c r="B23">
        <f>Comparatif!B131</f>
        <v/>
      </c>
      <c r="C23" t="inlineStr">
        <is>
          <t>À classer</t>
        </is>
      </c>
      <c r="D23">
        <f>Comparatif!AF131</f>
        <v/>
      </c>
      <c r="E23">
        <f>ROUND(10*(Comparatif!G131-E$2)/(E$3-E$2),4)</f>
        <v/>
      </c>
      <c r="F23">
        <f>ROUND(10*(Comparatif!H131-F$2)/(F$3-F$2),4)</f>
        <v/>
      </c>
      <c r="G23">
        <f>ROUND(10*(Comparatif!I131-G$2)/(G$3-G$2),4)</f>
        <v/>
      </c>
      <c r="H23">
        <f>ROUND(10*(Comparatif!J131-H$2)/(H$3-H$2),4)</f>
        <v/>
      </c>
      <c r="I23">
        <f>ROUND(10*(Comparatif!K131-I$2)/(I$3-I$2),4)</f>
        <v/>
      </c>
      <c r="J23">
        <f>ROUND(10*(Comparatif!L131-J$2)/(J$3-J$2),4)</f>
        <v/>
      </c>
      <c r="K23">
        <f>ROUND(10*(Comparatif!M131-K$2)/(K$3-K$2),4)</f>
        <v/>
      </c>
      <c r="L23">
        <f>ROUND(10*(Comparatif!N131-L$2)/(L$3-L$2),4)</f>
        <v/>
      </c>
      <c r="M23">
        <f>ROUND(10*(Comparatif!O131-M$2)/(M$3-M$2),4)</f>
        <v/>
      </c>
      <c r="N23">
        <f>ROUND(10*(Comparatif!P131-N$2)/(N$3-N$2),4)</f>
        <v/>
      </c>
      <c r="O23">
        <f>ROUND(SUMPRODUCT(E23:N23,$E$1:$N$1)/Pondérations!$B$16,3)</f>
        <v/>
      </c>
      <c r="P23">
        <f>1+COUNTIF($O$5:$O$206,"&gt;"&amp;O23)+COUNTIF($O$5:$O23,O23)-1</f>
        <v/>
      </c>
      <c r="Q23">
        <f>1+COUNTIFS($C$5:$C$206,C23,$O$5:$O$206,"&gt;"&amp;O23)+COUNTIFS($C$5:$C23,C23,$O$5:$O23,O23)-1</f>
        <v/>
      </c>
      <c r="R23" s="182" t="n">
        <v>0.119</v>
      </c>
      <c r="S23">
        <f>IFERROR(ROUND(O23/(D23/100),2),"")</f>
        <v/>
      </c>
    </row>
    <row r="24">
      <c r="A24">
        <f>Comparatif!A14</f>
        <v/>
      </c>
      <c r="B24">
        <f>Comparatif!B14</f>
        <v/>
      </c>
      <c r="C24" t="inlineStr">
        <is>
          <t>Dongle</t>
        </is>
      </c>
      <c r="D24">
        <f>Comparatif!AF14</f>
        <v/>
      </c>
      <c r="E24">
        <f>ROUND(10*(Comparatif!G14-E$2)/(E$3-E$2),4)</f>
        <v/>
      </c>
      <c r="F24">
        <f>ROUND(10*(Comparatif!H14-F$2)/(F$3-F$2),4)</f>
        <v/>
      </c>
      <c r="G24">
        <f>ROUND(10*(Comparatif!I14-G$2)/(G$3-G$2),4)</f>
        <v/>
      </c>
      <c r="H24">
        <f>ROUND(10*(Comparatif!J14-H$2)/(H$3-H$2),4)</f>
        <v/>
      </c>
      <c r="I24">
        <f>ROUND(10*(Comparatif!K14-I$2)/(I$3-I$2),4)</f>
        <v/>
      </c>
      <c r="J24">
        <f>ROUND(10*(Comparatif!L14-J$2)/(J$3-J$2),4)</f>
        <v/>
      </c>
      <c r="K24">
        <f>ROUND(10*(Comparatif!M14-K$2)/(K$3-K$2),4)</f>
        <v/>
      </c>
      <c r="L24">
        <f>ROUND(10*(Comparatif!N14-L$2)/(L$3-L$2),4)</f>
        <v/>
      </c>
      <c r="M24">
        <f>ROUND(10*(Comparatif!O14-M$2)/(M$3-M$2),4)</f>
        <v/>
      </c>
      <c r="N24">
        <f>ROUND(10*(Comparatif!P14-N$2)/(N$3-N$2),4)</f>
        <v/>
      </c>
      <c r="O24">
        <f>ROUND(SUMPRODUCT(E24:N24,$E$1:$N$1)/Pondérations!$B$16,3)</f>
        <v/>
      </c>
      <c r="P24">
        <f>1+COUNTIF($O$5:$O$206,"&gt;"&amp;O24)+COUNTIF($O$5:$O24,O24)-1</f>
        <v/>
      </c>
      <c r="Q24">
        <f>1+COUNTIFS($C$5:$C$206,C24,$O$5:$O$206,"&gt;"&amp;O24)+COUNTIFS($C$5:$C24,C24,$O$5:$O24,O24)-1</f>
        <v/>
      </c>
      <c r="R24" s="182" t="n">
        <v>0.1625</v>
      </c>
      <c r="S24">
        <f>IFERROR(ROUND(O24/(D24/100),2),"")</f>
        <v/>
      </c>
    </row>
    <row r="25">
      <c r="A25">
        <f>Comparatif!A134</f>
        <v/>
      </c>
      <c r="B25">
        <f>Comparatif!B134</f>
        <v/>
      </c>
      <c r="C25" t="inlineStr">
        <is>
          <t>Dongle</t>
        </is>
      </c>
      <c r="D25">
        <f>Comparatif!AF134</f>
        <v/>
      </c>
      <c r="E25">
        <f>ROUND(10*(Comparatif!G134-E$2)/(E$3-E$2),4)</f>
        <v/>
      </c>
      <c r="F25">
        <f>ROUND(10*(Comparatif!H134-F$2)/(F$3-F$2),4)</f>
        <v/>
      </c>
      <c r="G25">
        <f>ROUND(10*(Comparatif!I134-G$2)/(G$3-G$2),4)</f>
        <v/>
      </c>
      <c r="H25">
        <f>ROUND(10*(Comparatif!J134-H$2)/(H$3-H$2),4)</f>
        <v/>
      </c>
      <c r="I25">
        <f>ROUND(10*(Comparatif!K134-I$2)/(I$3-I$2),4)</f>
        <v/>
      </c>
      <c r="J25">
        <f>ROUND(10*(Comparatif!L134-J$2)/(J$3-J$2),4)</f>
        <v/>
      </c>
      <c r="K25">
        <f>ROUND(10*(Comparatif!M134-K$2)/(K$3-K$2),4)</f>
        <v/>
      </c>
      <c r="L25">
        <f>ROUND(10*(Comparatif!N134-L$2)/(L$3-L$2),4)</f>
        <v/>
      </c>
      <c r="M25">
        <f>ROUND(10*(Comparatif!O134-M$2)/(M$3-M$2),4)</f>
        <v/>
      </c>
      <c r="N25">
        <f>ROUND(10*(Comparatif!P134-N$2)/(N$3-N$2),4)</f>
        <v/>
      </c>
      <c r="O25">
        <f>ROUND(SUMPRODUCT(E25:N25,$E$1:$N$1)/Pondérations!$B$16,3)</f>
        <v/>
      </c>
      <c r="P25">
        <f>1+COUNTIF($O$5:$O$206,"&gt;"&amp;O25)+COUNTIF($O$5:$O25,O25)-1</f>
        <v/>
      </c>
      <c r="Q25">
        <f>1+COUNTIFS($C$5:$C$206,C25,$O$5:$O$206,"&gt;"&amp;O25)+COUNTIFS($C$5:$C25,C25,$O$5:$O25,O25)-1</f>
        <v/>
      </c>
      <c r="R25" s="182" t="n">
        <v>0.4105</v>
      </c>
      <c r="S25">
        <f>IFERROR(ROUND(O25/(D25/100),2),"")</f>
        <v/>
      </c>
    </row>
    <row r="26">
      <c r="A26">
        <f>Comparatif!A147</f>
        <v/>
      </c>
      <c r="B26">
        <f>Comparatif!B147</f>
        <v/>
      </c>
      <c r="C26" t="inlineStr">
        <is>
          <t>Dongle</t>
        </is>
      </c>
      <c r="D26">
        <f>Comparatif!AF147</f>
        <v/>
      </c>
      <c r="E26">
        <f>ROUND(10*(Comparatif!G147-E$2)/(E$3-E$2),4)</f>
        <v/>
      </c>
      <c r="F26">
        <f>ROUND(10*(Comparatif!H147-F$2)/(F$3-F$2),4)</f>
        <v/>
      </c>
      <c r="G26">
        <f>ROUND(10*(Comparatif!I147-G$2)/(G$3-G$2),4)</f>
        <v/>
      </c>
      <c r="H26">
        <f>ROUND(10*(Comparatif!J147-H$2)/(H$3-H$2),4)</f>
        <v/>
      </c>
      <c r="I26">
        <f>ROUND(10*(Comparatif!K147-I$2)/(I$3-I$2),4)</f>
        <v/>
      </c>
      <c r="J26">
        <f>ROUND(10*(Comparatif!L147-J$2)/(J$3-J$2),4)</f>
        <v/>
      </c>
      <c r="K26">
        <f>ROUND(10*(Comparatif!M147-K$2)/(K$3-K$2),4)</f>
        <v/>
      </c>
      <c r="L26">
        <f>ROUND(10*(Comparatif!N147-L$2)/(L$3-L$2),4)</f>
        <v/>
      </c>
      <c r="M26">
        <f>ROUND(10*(Comparatif!O147-M$2)/(M$3-M$2),4)</f>
        <v/>
      </c>
      <c r="N26">
        <f>ROUND(10*(Comparatif!P147-N$2)/(N$3-N$2),4)</f>
        <v/>
      </c>
      <c r="O26">
        <f>ROUND(SUMPRODUCT(E26:N26,$E$1:$N$1)/Pondérations!$B$16,3)</f>
        <v/>
      </c>
      <c r="P26">
        <f>1+COUNTIF($O$5:$O$206,"&gt;"&amp;O26)+COUNTIF($O$5:$O26,O26)-1</f>
        <v/>
      </c>
      <c r="Q26">
        <f>1+COUNTIFS($C$5:$C$206,C26,$O$5:$O$206,"&gt;"&amp;O26)+COUNTIFS($C$5:$C26,C26,$O$5:$O26,O26)-1</f>
        <v/>
      </c>
      <c r="R26" s="182" t="n">
        <v>0.779</v>
      </c>
      <c r="S26">
        <f>IFERROR(ROUND(O26/(D26/100),2),"")</f>
        <v/>
      </c>
    </row>
    <row r="27">
      <c r="A27">
        <f>Comparatif!A37</f>
        <v/>
      </c>
      <c r="B27">
        <f>Comparatif!B37</f>
        <v/>
      </c>
      <c r="C27" t="inlineStr">
        <is>
          <t>Bluetooth</t>
        </is>
      </c>
      <c r="D27">
        <f>Comparatif!AF37</f>
        <v/>
      </c>
      <c r="E27">
        <f>ROUND(10*(Comparatif!G37-E$2)/(E$3-E$2),4)</f>
        <v/>
      </c>
      <c r="F27">
        <f>ROUND(10*(Comparatif!H37-F$2)/(F$3-F$2),4)</f>
        <v/>
      </c>
      <c r="G27">
        <f>ROUND(10*(Comparatif!I37-G$2)/(G$3-G$2),4)</f>
        <v/>
      </c>
      <c r="H27">
        <f>ROUND(10*(Comparatif!J37-H$2)/(H$3-H$2),4)</f>
        <v/>
      </c>
      <c r="I27">
        <f>ROUND(10*(Comparatif!K37-I$2)/(I$3-I$2),4)</f>
        <v/>
      </c>
      <c r="J27">
        <f>ROUND(10*(Comparatif!L37-J$2)/(J$3-J$2),4)</f>
        <v/>
      </c>
      <c r="K27">
        <f>ROUND(10*(Comparatif!M37-K$2)/(K$3-K$2),4)</f>
        <v/>
      </c>
      <c r="L27">
        <f>ROUND(10*(Comparatif!N37-L$2)/(L$3-L$2),4)</f>
        <v/>
      </c>
      <c r="M27">
        <f>ROUND(10*(Comparatif!O37-M$2)/(M$3-M$2),4)</f>
        <v/>
      </c>
      <c r="N27">
        <f>ROUND(10*(Comparatif!P37-N$2)/(N$3-N$2),4)</f>
        <v/>
      </c>
      <c r="O27">
        <f>ROUND(SUMPRODUCT(E27:N27,$E$1:$N$1)/Pondérations!$B$16,3)</f>
        <v/>
      </c>
      <c r="P27">
        <f>1+COUNTIF($O$5:$O$206,"&gt;"&amp;O27)+COUNTIF($O$5:$O27,O27)-1</f>
        <v/>
      </c>
      <c r="Q27">
        <f>1+COUNTIFS($C$5:$C$206,C27,$O$5:$O$206,"&gt;"&amp;O27)+COUNTIFS($C$5:$C27,C27,$O$5:$O27,O27)-1</f>
        <v/>
      </c>
      <c r="R27" s="182" t="n">
        <v>0.9945000000000001</v>
      </c>
      <c r="S27">
        <f>IFERROR(ROUND(O27/(D27/100),2),"")</f>
        <v/>
      </c>
    </row>
    <row r="28">
      <c r="A28">
        <f>Comparatif!A12</f>
        <v/>
      </c>
      <c r="B28">
        <f>Comparatif!B12</f>
        <v/>
      </c>
      <c r="C28" t="inlineStr">
        <is>
          <t>Dongle</t>
        </is>
      </c>
      <c r="D28">
        <f>Comparatif!AF12</f>
        <v/>
      </c>
      <c r="E28">
        <f>ROUND(10*(Comparatif!G12-E$2)/(E$3-E$2),4)</f>
        <v/>
      </c>
      <c r="F28">
        <f>ROUND(10*(Comparatif!H12-F$2)/(F$3-F$2),4)</f>
        <v/>
      </c>
      <c r="G28">
        <f>ROUND(10*(Comparatif!I12-G$2)/(G$3-G$2),4)</f>
        <v/>
      </c>
      <c r="H28">
        <f>ROUND(10*(Comparatif!J12-H$2)/(H$3-H$2),4)</f>
        <v/>
      </c>
      <c r="I28">
        <f>ROUND(10*(Comparatif!K12-I$2)/(I$3-I$2),4)</f>
        <v/>
      </c>
      <c r="J28">
        <f>ROUND(10*(Comparatif!L12-J$2)/(J$3-J$2),4)</f>
        <v/>
      </c>
      <c r="K28">
        <f>ROUND(10*(Comparatif!M12-K$2)/(K$3-K$2),4)</f>
        <v/>
      </c>
      <c r="L28">
        <f>ROUND(10*(Comparatif!N12-L$2)/(L$3-L$2),4)</f>
        <v/>
      </c>
      <c r="M28">
        <f>ROUND(10*(Comparatif!O12-M$2)/(M$3-M$2),4)</f>
        <v/>
      </c>
      <c r="N28">
        <f>ROUND(10*(Comparatif!P12-N$2)/(N$3-N$2),4)</f>
        <v/>
      </c>
      <c r="O28">
        <f>ROUND(SUMPRODUCT(E28:N28,$E$1:$N$1)/Pondérations!$B$16,3)</f>
        <v/>
      </c>
      <c r="P28">
        <f>1+COUNTIF($O$5:$O$206,"&gt;"&amp;O28)+COUNTIF($O$5:$O28,O28)-1</f>
        <v/>
      </c>
      <c r="Q28">
        <f>1+COUNTIFS($C$5:$C$206,C28,$O$5:$O$206,"&gt;"&amp;O28)+COUNTIFS($C$5:$C28,C28,$O$5:$O28,O28)-1</f>
        <v/>
      </c>
      <c r="R28" s="182" t="n">
        <v>0.1035</v>
      </c>
      <c r="S28">
        <f>IFERROR(ROUND(O28/(D28/100),2),"")</f>
        <v/>
      </c>
    </row>
    <row r="29">
      <c r="A29">
        <f>Comparatif!A151</f>
        <v/>
      </c>
      <c r="B29">
        <f>Comparatif!B151</f>
        <v/>
      </c>
      <c r="C29" t="inlineStr">
        <is>
          <t>Portable batterie</t>
        </is>
      </c>
      <c r="D29">
        <f>Comparatif!AF151</f>
        <v/>
      </c>
      <c r="E29">
        <f>ROUND(10*(Comparatif!G151-E$2)/(E$3-E$2),4)</f>
        <v/>
      </c>
      <c r="F29">
        <f>ROUND(10*(Comparatif!H151-F$2)/(F$3-F$2),4)</f>
        <v/>
      </c>
      <c r="G29">
        <f>ROUND(10*(Comparatif!I151-G$2)/(G$3-G$2),4)</f>
        <v/>
      </c>
      <c r="H29">
        <f>ROUND(10*(Comparatif!J151-H$2)/(H$3-H$2),4)</f>
        <v/>
      </c>
      <c r="I29">
        <f>ROUND(10*(Comparatif!K151-I$2)/(I$3-I$2),4)</f>
        <v/>
      </c>
      <c r="J29">
        <f>ROUND(10*(Comparatif!L151-J$2)/(J$3-J$2),4)</f>
        <v/>
      </c>
      <c r="K29">
        <f>ROUND(10*(Comparatif!M151-K$2)/(K$3-K$2),4)</f>
        <v/>
      </c>
      <c r="L29">
        <f>ROUND(10*(Comparatif!N151-L$2)/(L$3-L$2),4)</f>
        <v/>
      </c>
      <c r="M29">
        <f>ROUND(10*(Comparatif!O151-M$2)/(M$3-M$2),4)</f>
        <v/>
      </c>
      <c r="N29">
        <f>ROUND(10*(Comparatif!P151-N$2)/(N$3-N$2),4)</f>
        <v/>
      </c>
      <c r="O29">
        <f>ROUND(SUMPRODUCT(E29:N29,$E$1:$N$1)/Pondérations!$B$16,3)</f>
        <v/>
      </c>
      <c r="P29">
        <f>1+COUNTIF($O$5:$O$206,"&gt;"&amp;O29)+COUNTIF($O$5:$O29,O29)-1</f>
        <v/>
      </c>
      <c r="Q29">
        <f>1+COUNTIFS($C$5:$C$206,C29,$O$5:$O$206,"&gt;"&amp;O29)+COUNTIFS($C$5:$C29,C29,$O$5:$O29,O29)-1</f>
        <v/>
      </c>
      <c r="R29" s="182" t="n">
        <v>0</v>
      </c>
      <c r="S29">
        <f>IFERROR(ROUND(O29/(D29/100),2),"")</f>
        <v/>
      </c>
    </row>
    <row r="30">
      <c r="A30">
        <f>Comparatif!A103</f>
        <v/>
      </c>
      <c r="B30">
        <f>Comparatif!B103</f>
        <v/>
      </c>
      <c r="C30" t="inlineStr">
        <is>
          <t>Portable batterie</t>
        </is>
      </c>
      <c r="D30">
        <f>Comparatif!AF103</f>
        <v/>
      </c>
      <c r="E30">
        <f>ROUND(10*(Comparatif!G103-E$2)/(E$3-E$2),4)</f>
        <v/>
      </c>
      <c r="F30">
        <f>ROUND(10*(Comparatif!H103-F$2)/(F$3-F$2),4)</f>
        <v/>
      </c>
      <c r="G30">
        <f>ROUND(10*(Comparatif!I103-G$2)/(G$3-G$2),4)</f>
        <v/>
      </c>
      <c r="H30">
        <f>ROUND(10*(Comparatif!J103-H$2)/(H$3-H$2),4)</f>
        <v/>
      </c>
      <c r="I30">
        <f>ROUND(10*(Comparatif!K103-I$2)/(I$3-I$2),4)</f>
        <v/>
      </c>
      <c r="J30">
        <f>ROUND(10*(Comparatif!L103-J$2)/(J$3-J$2),4)</f>
        <v/>
      </c>
      <c r="K30">
        <f>ROUND(10*(Comparatif!M103-K$2)/(K$3-K$2),4)</f>
        <v/>
      </c>
      <c r="L30">
        <f>ROUND(10*(Comparatif!N103-L$2)/(L$3-L$2),4)</f>
        <v/>
      </c>
      <c r="M30">
        <f>ROUND(10*(Comparatif!O103-M$2)/(M$3-M$2),4)</f>
        <v/>
      </c>
      <c r="N30">
        <f>ROUND(10*(Comparatif!P103-N$2)/(N$3-N$2),4)</f>
        <v/>
      </c>
      <c r="O30">
        <f>ROUND(SUMPRODUCT(E30:N30,$E$1:$N$1)/Pondérations!$B$16,3)</f>
        <v/>
      </c>
      <c r="P30">
        <f>1+COUNTIF($O$5:$O$206,"&gt;"&amp;O30)+COUNTIF($O$5:$O30,O30)-1</f>
        <v/>
      </c>
      <c r="Q30">
        <f>1+COUNTIFS($C$5:$C$206,C30,$O$5:$O$206,"&gt;"&amp;O30)+COUNTIFS($C$5:$C30,C30,$O$5:$O30,O30)-1</f>
        <v/>
      </c>
      <c r="R30" s="182" t="n">
        <v>0</v>
      </c>
      <c r="S30">
        <f>IFERROR(ROUND(O30/(D30/100),2),"")</f>
        <v/>
      </c>
    </row>
    <row r="31">
      <c r="A31">
        <f>Comparatif!A174</f>
        <v/>
      </c>
      <c r="B31">
        <f>Comparatif!B174</f>
        <v/>
      </c>
      <c r="C31" t="inlineStr">
        <is>
          <t>Dongle</t>
        </is>
      </c>
      <c r="D31">
        <f>Comparatif!AF174</f>
        <v/>
      </c>
      <c r="E31">
        <f>ROUND(10*(Comparatif!G174-E$2)/(E$3-E$2),4)</f>
        <v/>
      </c>
      <c r="F31">
        <f>ROUND(10*(Comparatif!H174-F$2)/(F$3-F$2),4)</f>
        <v/>
      </c>
      <c r="G31">
        <f>ROUND(10*(Comparatif!I174-G$2)/(G$3-G$2),4)</f>
        <v/>
      </c>
      <c r="H31">
        <f>ROUND(10*(Comparatif!J174-H$2)/(H$3-H$2),4)</f>
        <v/>
      </c>
      <c r="I31">
        <f>ROUND(10*(Comparatif!K174-I$2)/(I$3-I$2),4)</f>
        <v/>
      </c>
      <c r="J31">
        <f>ROUND(10*(Comparatif!L174-J$2)/(J$3-J$2),4)</f>
        <v/>
      </c>
      <c r="K31">
        <f>ROUND(10*(Comparatif!M174-K$2)/(K$3-K$2),4)</f>
        <v/>
      </c>
      <c r="L31">
        <f>ROUND(10*(Comparatif!N174-L$2)/(L$3-L$2),4)</f>
        <v/>
      </c>
      <c r="M31">
        <f>ROUND(10*(Comparatif!O174-M$2)/(M$3-M$2),4)</f>
        <v/>
      </c>
      <c r="N31">
        <f>ROUND(10*(Comparatif!P174-N$2)/(N$3-N$2),4)</f>
        <v/>
      </c>
      <c r="O31">
        <f>ROUND(SUMPRODUCT(E31:N31,$E$1:$N$1)/Pondérations!$B$16,3)</f>
        <v/>
      </c>
      <c r="P31">
        <f>1+COUNTIF($O$5:$O$206,"&gt;"&amp;O31)+COUNTIF($O$5:$O31,O31)-1</f>
        <v/>
      </c>
      <c r="Q31">
        <f>1+COUNTIFS($C$5:$C$206,C31,$O$5:$O$206,"&gt;"&amp;O31)+COUNTIFS($C$5:$C31,C31,$O$5:$O31,O31)-1</f>
        <v/>
      </c>
      <c r="R31" s="182" t="n">
        <v>0.434</v>
      </c>
      <c r="S31">
        <f>IFERROR(ROUND(O31/(D31/100),2),"")</f>
        <v/>
      </c>
    </row>
    <row r="32">
      <c r="A32">
        <f>Comparatif!A34</f>
        <v/>
      </c>
      <c r="B32">
        <f>Comparatif!B34</f>
        <v/>
      </c>
      <c r="C32" t="inlineStr">
        <is>
          <t>Dongle</t>
        </is>
      </c>
      <c r="D32">
        <f>Comparatif!AF34</f>
        <v/>
      </c>
      <c r="E32">
        <f>ROUND(10*(Comparatif!G34-E$2)/(E$3-E$2),4)</f>
        <v/>
      </c>
      <c r="F32">
        <f>ROUND(10*(Comparatif!H34-F$2)/(F$3-F$2),4)</f>
        <v/>
      </c>
      <c r="G32">
        <f>ROUND(10*(Comparatif!I34-G$2)/(G$3-G$2),4)</f>
        <v/>
      </c>
      <c r="H32">
        <f>ROUND(10*(Comparatif!J34-H$2)/(H$3-H$2),4)</f>
        <v/>
      </c>
      <c r="I32">
        <f>ROUND(10*(Comparatif!K34-I$2)/(I$3-I$2),4)</f>
        <v/>
      </c>
      <c r="J32">
        <f>ROUND(10*(Comparatif!L34-J$2)/(J$3-J$2),4)</f>
        <v/>
      </c>
      <c r="K32">
        <f>ROUND(10*(Comparatif!M34-K$2)/(K$3-K$2),4)</f>
        <v/>
      </c>
      <c r="L32">
        <f>ROUND(10*(Comparatif!N34-L$2)/(L$3-L$2),4)</f>
        <v/>
      </c>
      <c r="M32">
        <f>ROUND(10*(Comparatif!O34-M$2)/(M$3-M$2),4)</f>
        <v/>
      </c>
      <c r="N32">
        <f>ROUND(10*(Comparatif!P34-N$2)/(N$3-N$2),4)</f>
        <v/>
      </c>
      <c r="O32">
        <f>ROUND(SUMPRODUCT(E32:N32,$E$1:$N$1)/Pondérations!$B$16,3)</f>
        <v/>
      </c>
      <c r="P32">
        <f>1+COUNTIF($O$5:$O$206,"&gt;"&amp;O32)+COUNTIF($O$5:$O32,O32)-1</f>
        <v/>
      </c>
      <c r="Q32">
        <f>1+COUNTIFS($C$5:$C$206,C32,$O$5:$O$206,"&gt;"&amp;O32)+COUNTIFS($C$5:$C32,C32,$O$5:$O32,O32)-1</f>
        <v/>
      </c>
      <c r="R32" s="182" t="n">
        <v>0.0945</v>
      </c>
      <c r="S32">
        <f>IFERROR(ROUND(O32/(D32/100),2),"")</f>
        <v/>
      </c>
    </row>
    <row r="33">
      <c r="A33">
        <f>Comparatif!A158</f>
        <v/>
      </c>
      <c r="B33">
        <f>Comparatif!B158</f>
        <v/>
      </c>
      <c r="C33" t="inlineStr">
        <is>
          <t>Dongle</t>
        </is>
      </c>
      <c r="D33">
        <f>Comparatif!AF158</f>
        <v/>
      </c>
      <c r="E33">
        <f>ROUND(10*(Comparatif!G158-E$2)/(E$3-E$2),4)</f>
        <v/>
      </c>
      <c r="F33">
        <f>ROUND(10*(Comparatif!H158-F$2)/(F$3-F$2),4)</f>
        <v/>
      </c>
      <c r="G33">
        <f>ROUND(10*(Comparatif!I158-G$2)/(G$3-G$2),4)</f>
        <v/>
      </c>
      <c r="H33">
        <f>ROUND(10*(Comparatif!J158-H$2)/(H$3-H$2),4)</f>
        <v/>
      </c>
      <c r="I33">
        <f>ROUND(10*(Comparatif!K158-I$2)/(I$3-I$2),4)</f>
        <v/>
      </c>
      <c r="J33">
        <f>ROUND(10*(Comparatif!L158-J$2)/(J$3-J$2),4)</f>
        <v/>
      </c>
      <c r="K33">
        <f>ROUND(10*(Comparatif!M158-K$2)/(K$3-K$2),4)</f>
        <v/>
      </c>
      <c r="L33">
        <f>ROUND(10*(Comparatif!N158-L$2)/(L$3-L$2),4)</f>
        <v/>
      </c>
      <c r="M33">
        <f>ROUND(10*(Comparatif!O158-M$2)/(M$3-M$2),4)</f>
        <v/>
      </c>
      <c r="N33">
        <f>ROUND(10*(Comparatif!P158-N$2)/(N$3-N$2),4)</f>
        <v/>
      </c>
      <c r="O33">
        <f>ROUND(SUMPRODUCT(E33:N33,$E$1:$N$1)/Pondérations!$B$16,3)</f>
        <v/>
      </c>
      <c r="P33">
        <f>1+COUNTIF($O$5:$O$206,"&gt;"&amp;O33)+COUNTIF($O$5:$O33,O33)-1</f>
        <v/>
      </c>
      <c r="Q33">
        <f>1+COUNTIFS($C$5:$C$206,C33,$O$5:$O$206,"&gt;"&amp;O33)+COUNTIFS($C$5:$C33,C33,$O$5:$O33,O33)-1</f>
        <v/>
      </c>
      <c r="R33" s="182" t="n">
        <v>0.504</v>
      </c>
      <c r="S33">
        <f>IFERROR(ROUND(O33/(D33/100),2),"")</f>
        <v/>
      </c>
    </row>
    <row r="34">
      <c r="A34">
        <f>Comparatif!A41</f>
        <v/>
      </c>
      <c r="B34">
        <f>Comparatif!B41</f>
        <v/>
      </c>
      <c r="C34" t="inlineStr">
        <is>
          <t>À classer</t>
        </is>
      </c>
      <c r="D34">
        <f>Comparatif!AF41</f>
        <v/>
      </c>
      <c r="E34">
        <f>ROUND(10*(Comparatif!G41-E$2)/(E$3-E$2),4)</f>
        <v/>
      </c>
      <c r="F34">
        <f>ROUND(10*(Comparatif!H41-F$2)/(F$3-F$2),4)</f>
        <v/>
      </c>
      <c r="G34">
        <f>ROUND(10*(Comparatif!I41-G$2)/(G$3-G$2),4)</f>
        <v/>
      </c>
      <c r="H34">
        <f>ROUND(10*(Comparatif!J41-H$2)/(H$3-H$2),4)</f>
        <v/>
      </c>
      <c r="I34">
        <f>ROUND(10*(Comparatif!K41-I$2)/(I$3-I$2),4)</f>
        <v/>
      </c>
      <c r="J34">
        <f>ROUND(10*(Comparatif!L41-J$2)/(J$3-J$2),4)</f>
        <v/>
      </c>
      <c r="K34">
        <f>ROUND(10*(Comparatif!M41-K$2)/(K$3-K$2),4)</f>
        <v/>
      </c>
      <c r="L34">
        <f>ROUND(10*(Comparatif!N41-L$2)/(L$3-L$2),4)</f>
        <v/>
      </c>
      <c r="M34">
        <f>ROUND(10*(Comparatif!O41-M$2)/(M$3-M$2),4)</f>
        <v/>
      </c>
      <c r="N34">
        <f>ROUND(10*(Comparatif!P41-N$2)/(N$3-N$2),4)</f>
        <v/>
      </c>
      <c r="O34">
        <f>ROUND(SUMPRODUCT(E34:N34,$E$1:$N$1)/Pondérations!$B$16,3)</f>
        <v/>
      </c>
      <c r="P34">
        <f>1+COUNTIF($O$5:$O$206,"&gt;"&amp;O34)+COUNTIF($O$5:$O34,O34)-1</f>
        <v/>
      </c>
      <c r="Q34">
        <f>1+COUNTIFS($C$5:$C$206,C34,$O$5:$O$206,"&gt;"&amp;O34)+COUNTIFS($C$5:$C34,C34,$O$5:$O34,O34)-1</f>
        <v/>
      </c>
      <c r="R34" s="182" t="n">
        <v>0.0505</v>
      </c>
      <c r="S34">
        <f>IFERROR(ROUND(O34/(D34/100),2),"")</f>
        <v/>
      </c>
    </row>
    <row r="35">
      <c r="A35">
        <f>Comparatif!A168</f>
        <v/>
      </c>
      <c r="B35">
        <f>Comparatif!B168</f>
        <v/>
      </c>
      <c r="C35" t="inlineStr">
        <is>
          <t>Dongle</t>
        </is>
      </c>
      <c r="D35">
        <f>Comparatif!AF168</f>
        <v/>
      </c>
      <c r="E35">
        <f>ROUND(10*(Comparatif!G168-E$2)/(E$3-E$2),4)</f>
        <v/>
      </c>
      <c r="F35">
        <f>ROUND(10*(Comparatif!H168-F$2)/(F$3-F$2),4)</f>
        <v/>
      </c>
      <c r="G35">
        <f>ROUND(10*(Comparatif!I168-G$2)/(G$3-G$2),4)</f>
        <v/>
      </c>
      <c r="H35">
        <f>ROUND(10*(Comparatif!J168-H$2)/(H$3-H$2),4)</f>
        <v/>
      </c>
      <c r="I35">
        <f>ROUND(10*(Comparatif!K168-I$2)/(I$3-I$2),4)</f>
        <v/>
      </c>
      <c r="J35">
        <f>ROUND(10*(Comparatif!L168-J$2)/(J$3-J$2),4)</f>
        <v/>
      </c>
      <c r="K35">
        <f>ROUND(10*(Comparatif!M168-K$2)/(K$3-K$2),4)</f>
        <v/>
      </c>
      <c r="L35">
        <f>ROUND(10*(Comparatif!N168-L$2)/(L$3-L$2),4)</f>
        <v/>
      </c>
      <c r="M35">
        <f>ROUND(10*(Comparatif!O168-M$2)/(M$3-M$2),4)</f>
        <v/>
      </c>
      <c r="N35">
        <f>ROUND(10*(Comparatif!P168-N$2)/(N$3-N$2),4)</f>
        <v/>
      </c>
      <c r="O35">
        <f>ROUND(SUMPRODUCT(E35:N35,$E$1:$N$1)/Pondérations!$B$16,3)</f>
        <v/>
      </c>
      <c r="P35">
        <f>1+COUNTIF($O$5:$O$206,"&gt;"&amp;O35)+COUNTIF($O$5:$O35,O35)-1</f>
        <v/>
      </c>
      <c r="Q35">
        <f>1+COUNTIFS($C$5:$C$206,C35,$O$5:$O$206,"&gt;"&amp;O35)+COUNTIFS($C$5:$C35,C35,$O$5:$O35,O35)-1</f>
        <v/>
      </c>
      <c r="R35" s="182" t="n">
        <v>0.161</v>
      </c>
      <c r="S35">
        <f>IFERROR(ROUND(O35/(D35/100),2),"")</f>
        <v/>
      </c>
    </row>
    <row r="36">
      <c r="A36">
        <f>Comparatif!A164</f>
        <v/>
      </c>
      <c r="B36">
        <f>Comparatif!B164</f>
        <v/>
      </c>
      <c r="C36" t="inlineStr">
        <is>
          <t>À classer</t>
        </is>
      </c>
      <c r="D36">
        <f>Comparatif!AF164</f>
        <v/>
      </c>
      <c r="E36">
        <f>ROUND(10*(Comparatif!G164-E$2)/(E$3-E$2),4)</f>
        <v/>
      </c>
      <c r="F36">
        <f>ROUND(10*(Comparatif!H164-F$2)/(F$3-F$2),4)</f>
        <v/>
      </c>
      <c r="G36">
        <f>ROUND(10*(Comparatif!I164-G$2)/(G$3-G$2),4)</f>
        <v/>
      </c>
      <c r="H36">
        <f>ROUND(10*(Comparatif!J164-H$2)/(H$3-H$2),4)</f>
        <v/>
      </c>
      <c r="I36">
        <f>ROUND(10*(Comparatif!K164-I$2)/(I$3-I$2),4)</f>
        <v/>
      </c>
      <c r="J36">
        <f>ROUND(10*(Comparatif!L164-J$2)/(J$3-J$2),4)</f>
        <v/>
      </c>
      <c r="K36">
        <f>ROUND(10*(Comparatif!M164-K$2)/(K$3-K$2),4)</f>
        <v/>
      </c>
      <c r="L36">
        <f>ROUND(10*(Comparatif!N164-L$2)/(L$3-L$2),4)</f>
        <v/>
      </c>
      <c r="M36">
        <f>ROUND(10*(Comparatif!O164-M$2)/(M$3-M$2),4)</f>
        <v/>
      </c>
      <c r="N36">
        <f>ROUND(10*(Comparatif!P164-N$2)/(N$3-N$2),4)</f>
        <v/>
      </c>
      <c r="O36">
        <f>ROUND(SUMPRODUCT(E36:N36,$E$1:$N$1)/Pondérations!$B$16,3)</f>
        <v/>
      </c>
      <c r="P36">
        <f>1+COUNTIF($O$5:$O$206,"&gt;"&amp;O36)+COUNTIF($O$5:$O36,O36)-1</f>
        <v/>
      </c>
      <c r="Q36">
        <f>1+COUNTIFS($C$5:$C$206,C36,$O$5:$O$206,"&gt;"&amp;O36)+COUNTIFS($C$5:$C36,C36,$O$5:$O36,O36)-1</f>
        <v/>
      </c>
      <c r="R36" s="182" t="n">
        <v>0.019</v>
      </c>
      <c r="S36">
        <f>IFERROR(ROUND(O36/(D36/100),2),"")</f>
        <v/>
      </c>
    </row>
    <row r="37">
      <c r="A37">
        <f>Comparatif!A64</f>
        <v/>
      </c>
      <c r="B37">
        <f>Comparatif!B64</f>
        <v/>
      </c>
      <c r="C37" t="inlineStr">
        <is>
          <t>À classer</t>
        </is>
      </c>
      <c r="D37">
        <f>Comparatif!AF64</f>
        <v/>
      </c>
      <c r="E37">
        <f>ROUND(10*(Comparatif!G64-E$2)/(E$3-E$2),4)</f>
        <v/>
      </c>
      <c r="F37">
        <f>ROUND(10*(Comparatif!H64-F$2)/(F$3-F$2),4)</f>
        <v/>
      </c>
      <c r="G37">
        <f>ROUND(10*(Comparatif!I64-G$2)/(G$3-G$2),4)</f>
        <v/>
      </c>
      <c r="H37">
        <f>ROUND(10*(Comparatif!J64-H$2)/(H$3-H$2),4)</f>
        <v/>
      </c>
      <c r="I37">
        <f>ROUND(10*(Comparatif!K64-I$2)/(I$3-I$2),4)</f>
        <v/>
      </c>
      <c r="J37">
        <f>ROUND(10*(Comparatif!L64-J$2)/(J$3-J$2),4)</f>
        <v/>
      </c>
      <c r="K37">
        <f>ROUND(10*(Comparatif!M64-K$2)/(K$3-K$2),4)</f>
        <v/>
      </c>
      <c r="L37">
        <f>ROUND(10*(Comparatif!N64-L$2)/(L$3-L$2),4)</f>
        <v/>
      </c>
      <c r="M37">
        <f>ROUND(10*(Comparatif!O64-M$2)/(M$3-M$2),4)</f>
        <v/>
      </c>
      <c r="N37">
        <f>ROUND(10*(Comparatif!P64-N$2)/(N$3-N$2),4)</f>
        <v/>
      </c>
      <c r="O37">
        <f>ROUND(SUMPRODUCT(E37:N37,$E$1:$N$1)/Pondérations!$B$16,3)</f>
        <v/>
      </c>
      <c r="P37">
        <f>1+COUNTIF($O$5:$O$206,"&gt;"&amp;O37)+COUNTIF($O$5:$O37,O37)-1</f>
        <v/>
      </c>
      <c r="Q37">
        <f>1+COUNTIFS($C$5:$C$206,C37,$O$5:$O$206,"&gt;"&amp;O37)+COUNTIFS($C$5:$C37,C37,$O$5:$O37,O37)-1</f>
        <v/>
      </c>
      <c r="R37" s="182" t="n">
        <v>0.1015</v>
      </c>
      <c r="S37">
        <f>IFERROR(ROUND(O37/(D37/100),2),"")</f>
        <v/>
      </c>
    </row>
    <row r="38">
      <c r="A38">
        <f>Comparatif!A74</f>
        <v/>
      </c>
      <c r="B38">
        <f>Comparatif!B74</f>
        <v/>
      </c>
      <c r="C38" t="inlineStr">
        <is>
          <t>Dongle</t>
        </is>
      </c>
      <c r="D38">
        <f>Comparatif!AF74</f>
        <v/>
      </c>
      <c r="E38">
        <f>ROUND(10*(Comparatif!G74-E$2)/(E$3-E$2),4)</f>
        <v/>
      </c>
      <c r="F38">
        <f>ROUND(10*(Comparatif!H74-F$2)/(F$3-F$2),4)</f>
        <v/>
      </c>
      <c r="G38">
        <f>ROUND(10*(Comparatif!I74-G$2)/(G$3-G$2),4)</f>
        <v/>
      </c>
      <c r="H38">
        <f>ROUND(10*(Comparatif!J74-H$2)/(H$3-H$2),4)</f>
        <v/>
      </c>
      <c r="I38">
        <f>ROUND(10*(Comparatif!K74-I$2)/(I$3-I$2),4)</f>
        <v/>
      </c>
      <c r="J38">
        <f>ROUND(10*(Comparatif!L74-J$2)/(J$3-J$2),4)</f>
        <v/>
      </c>
      <c r="K38">
        <f>ROUND(10*(Comparatif!M74-K$2)/(K$3-K$2),4)</f>
        <v/>
      </c>
      <c r="L38">
        <f>ROUND(10*(Comparatif!N74-L$2)/(L$3-L$2),4)</f>
        <v/>
      </c>
      <c r="M38">
        <f>ROUND(10*(Comparatif!O74-M$2)/(M$3-M$2),4)</f>
        <v/>
      </c>
      <c r="N38">
        <f>ROUND(10*(Comparatif!P74-N$2)/(N$3-N$2),4)</f>
        <v/>
      </c>
      <c r="O38">
        <f>ROUND(SUMPRODUCT(E38:N38,$E$1:$N$1)/Pondérations!$B$16,3)</f>
        <v/>
      </c>
      <c r="P38">
        <f>1+COUNTIF($O$5:$O$206,"&gt;"&amp;O38)+COUNTIF($O$5:$O38,O38)-1</f>
        <v/>
      </c>
      <c r="Q38">
        <f>1+COUNTIFS($C$5:$C$206,C38,$O$5:$O$206,"&gt;"&amp;O38)+COUNTIFS($C$5:$C38,C38,$O$5:$O38,O38)-1</f>
        <v/>
      </c>
      <c r="R38" s="182" t="n">
        <v>0.0035</v>
      </c>
      <c r="S38">
        <f>IFERROR(ROUND(O38/(D38/100),2),"")</f>
        <v/>
      </c>
    </row>
    <row r="39">
      <c r="A39">
        <f>Comparatif!A100</f>
        <v/>
      </c>
      <c r="B39">
        <f>Comparatif!B100</f>
        <v/>
      </c>
      <c r="C39" t="inlineStr">
        <is>
          <t>Portable batterie</t>
        </is>
      </c>
      <c r="D39">
        <f>Comparatif!AF100</f>
        <v/>
      </c>
      <c r="E39">
        <f>ROUND(10*(Comparatif!G100-E$2)/(E$3-E$2),4)</f>
        <v/>
      </c>
      <c r="F39">
        <f>ROUND(10*(Comparatif!H100-F$2)/(F$3-F$2),4)</f>
        <v/>
      </c>
      <c r="G39">
        <f>ROUND(10*(Comparatif!I100-G$2)/(G$3-G$2),4)</f>
        <v/>
      </c>
      <c r="H39">
        <f>ROUND(10*(Comparatif!J100-H$2)/(H$3-H$2),4)</f>
        <v/>
      </c>
      <c r="I39">
        <f>ROUND(10*(Comparatif!K100-I$2)/(I$3-I$2),4)</f>
        <v/>
      </c>
      <c r="J39">
        <f>ROUND(10*(Comparatif!L100-J$2)/(J$3-J$2),4)</f>
        <v/>
      </c>
      <c r="K39">
        <f>ROUND(10*(Comparatif!M100-K$2)/(K$3-K$2),4)</f>
        <v/>
      </c>
      <c r="L39">
        <f>ROUND(10*(Comparatif!N100-L$2)/(L$3-L$2),4)</f>
        <v/>
      </c>
      <c r="M39">
        <f>ROUND(10*(Comparatif!O100-M$2)/(M$3-M$2),4)</f>
        <v/>
      </c>
      <c r="N39">
        <f>ROUND(10*(Comparatif!P100-N$2)/(N$3-N$2),4)</f>
        <v/>
      </c>
      <c r="O39">
        <f>ROUND(SUMPRODUCT(E39:N39,$E$1:$N$1)/Pondérations!$B$16,3)</f>
        <v/>
      </c>
      <c r="P39">
        <f>1+COUNTIF($O$5:$O$206,"&gt;"&amp;O39)+COUNTIF($O$5:$O39,O39)-1</f>
        <v/>
      </c>
      <c r="Q39">
        <f>1+COUNTIFS($C$5:$C$206,C39,$O$5:$O$206,"&gt;"&amp;O39)+COUNTIFS($C$5:$C39,C39,$O$5:$O39,O39)-1</f>
        <v/>
      </c>
      <c r="R39" s="182" t="n">
        <v>0</v>
      </c>
      <c r="S39">
        <f>IFERROR(ROUND(O39/(D39/100),2),"")</f>
        <v/>
      </c>
    </row>
    <row r="40">
      <c r="A40">
        <f>Comparatif!A149</f>
        <v/>
      </c>
      <c r="B40">
        <f>Comparatif!B149</f>
        <v/>
      </c>
      <c r="C40" t="inlineStr">
        <is>
          <t>Dongle</t>
        </is>
      </c>
      <c r="D40">
        <f>Comparatif!AF149</f>
        <v/>
      </c>
      <c r="E40">
        <f>ROUND(10*(Comparatif!G149-E$2)/(E$3-E$2),4)</f>
        <v/>
      </c>
      <c r="F40">
        <f>ROUND(10*(Comparatif!H149-F$2)/(F$3-F$2),4)</f>
        <v/>
      </c>
      <c r="G40">
        <f>ROUND(10*(Comparatif!I149-G$2)/(G$3-G$2),4)</f>
        <v/>
      </c>
      <c r="H40">
        <f>ROUND(10*(Comparatif!J149-H$2)/(H$3-H$2),4)</f>
        <v/>
      </c>
      <c r="I40">
        <f>ROUND(10*(Comparatif!K149-I$2)/(I$3-I$2),4)</f>
        <v/>
      </c>
      <c r="J40">
        <f>ROUND(10*(Comparatif!L149-J$2)/(J$3-J$2),4)</f>
        <v/>
      </c>
      <c r="K40">
        <f>ROUND(10*(Comparatif!M149-K$2)/(K$3-K$2),4)</f>
        <v/>
      </c>
      <c r="L40">
        <f>ROUND(10*(Comparatif!N149-L$2)/(L$3-L$2),4)</f>
        <v/>
      </c>
      <c r="M40">
        <f>ROUND(10*(Comparatif!O149-M$2)/(M$3-M$2),4)</f>
        <v/>
      </c>
      <c r="N40">
        <f>ROUND(10*(Comparatif!P149-N$2)/(N$3-N$2),4)</f>
        <v/>
      </c>
      <c r="O40">
        <f>ROUND(SUMPRODUCT(E40:N40,$E$1:$N$1)/Pondérations!$B$16,3)</f>
        <v/>
      </c>
      <c r="P40">
        <f>1+COUNTIF($O$5:$O$206,"&gt;"&amp;O40)+COUNTIF($O$5:$O40,O40)-1</f>
        <v/>
      </c>
      <c r="Q40">
        <f>1+COUNTIFS($C$5:$C$206,C40,$O$5:$O$206,"&gt;"&amp;O40)+COUNTIFS($C$5:$C40,C40,$O$5:$O40,O40)-1</f>
        <v/>
      </c>
      <c r="R40" s="182" t="n">
        <v>0.001</v>
      </c>
      <c r="S40">
        <f>IFERROR(ROUND(O40/(D40/100),2),"")</f>
        <v/>
      </c>
    </row>
    <row r="41">
      <c r="A41">
        <f>Comparatif!A111</f>
        <v/>
      </c>
      <c r="B41">
        <f>Comparatif!B111</f>
        <v/>
      </c>
      <c r="C41" t="inlineStr">
        <is>
          <t>Dongle</t>
        </is>
      </c>
      <c r="D41">
        <f>Comparatif!AF111</f>
        <v/>
      </c>
      <c r="E41">
        <f>ROUND(10*(Comparatif!G111-E$2)/(E$3-E$2),4)</f>
        <v/>
      </c>
      <c r="F41">
        <f>ROUND(10*(Comparatif!H111-F$2)/(F$3-F$2),4)</f>
        <v/>
      </c>
      <c r="G41">
        <f>ROUND(10*(Comparatif!I111-G$2)/(G$3-G$2),4)</f>
        <v/>
      </c>
      <c r="H41">
        <f>ROUND(10*(Comparatif!J111-H$2)/(H$3-H$2),4)</f>
        <v/>
      </c>
      <c r="I41">
        <f>ROUND(10*(Comparatif!K111-I$2)/(I$3-I$2),4)</f>
        <v/>
      </c>
      <c r="J41">
        <f>ROUND(10*(Comparatif!L111-J$2)/(J$3-J$2),4)</f>
        <v/>
      </c>
      <c r="K41">
        <f>ROUND(10*(Comparatif!M111-K$2)/(K$3-K$2),4)</f>
        <v/>
      </c>
      <c r="L41">
        <f>ROUND(10*(Comparatif!N111-L$2)/(L$3-L$2),4)</f>
        <v/>
      </c>
      <c r="M41">
        <f>ROUND(10*(Comparatif!O111-M$2)/(M$3-M$2),4)</f>
        <v/>
      </c>
      <c r="N41">
        <f>ROUND(10*(Comparatif!P111-N$2)/(N$3-N$2),4)</f>
        <v/>
      </c>
      <c r="O41">
        <f>ROUND(SUMPRODUCT(E41:N41,$E$1:$N$1)/Pondérations!$B$16,3)</f>
        <v/>
      </c>
      <c r="P41">
        <f>1+COUNTIF($O$5:$O$206,"&gt;"&amp;O41)+COUNTIF($O$5:$O41,O41)-1</f>
        <v/>
      </c>
      <c r="Q41">
        <f>1+COUNTIFS($C$5:$C$206,C41,$O$5:$O$206,"&gt;"&amp;O41)+COUNTIFS($C$5:$C41,C41,$O$5:$O41,O41)-1</f>
        <v/>
      </c>
      <c r="R41" s="182" t="n">
        <v>0.044</v>
      </c>
      <c r="S41">
        <f>IFERROR(ROUND(O41/(D41/100),2),"")</f>
        <v/>
      </c>
    </row>
    <row r="42">
      <c r="A42">
        <f>Comparatif!A170</f>
        <v/>
      </c>
      <c r="B42">
        <f>Comparatif!B170</f>
        <v/>
      </c>
      <c r="C42" t="inlineStr">
        <is>
          <t>Dongle</t>
        </is>
      </c>
      <c r="D42">
        <f>Comparatif!AF170</f>
        <v/>
      </c>
      <c r="E42">
        <f>ROUND(10*(Comparatif!G170-E$2)/(E$3-E$2),4)</f>
        <v/>
      </c>
      <c r="F42">
        <f>ROUND(10*(Comparatif!H170-F$2)/(F$3-F$2),4)</f>
        <v/>
      </c>
      <c r="G42">
        <f>ROUND(10*(Comparatif!I170-G$2)/(G$3-G$2),4)</f>
        <v/>
      </c>
      <c r="H42">
        <f>ROUND(10*(Comparatif!J170-H$2)/(H$3-H$2),4)</f>
        <v/>
      </c>
      <c r="I42">
        <f>ROUND(10*(Comparatif!K170-I$2)/(I$3-I$2),4)</f>
        <v/>
      </c>
      <c r="J42">
        <f>ROUND(10*(Comparatif!L170-J$2)/(J$3-J$2),4)</f>
        <v/>
      </c>
      <c r="K42">
        <f>ROUND(10*(Comparatif!M170-K$2)/(K$3-K$2),4)</f>
        <v/>
      </c>
      <c r="L42">
        <f>ROUND(10*(Comparatif!N170-L$2)/(L$3-L$2),4)</f>
        <v/>
      </c>
      <c r="M42">
        <f>ROUND(10*(Comparatif!O170-M$2)/(M$3-M$2),4)</f>
        <v/>
      </c>
      <c r="N42">
        <f>ROUND(10*(Comparatif!P170-N$2)/(N$3-N$2),4)</f>
        <v/>
      </c>
      <c r="O42">
        <f>ROUND(SUMPRODUCT(E42:N42,$E$1:$N$1)/Pondérations!$B$16,3)</f>
        <v/>
      </c>
      <c r="P42">
        <f>1+COUNTIF($O$5:$O$206,"&gt;"&amp;O42)+COUNTIF($O$5:$O42,O42)-1</f>
        <v/>
      </c>
      <c r="Q42">
        <f>1+COUNTIFS($C$5:$C$206,C42,$O$5:$O$206,"&gt;"&amp;O42)+COUNTIFS($C$5:$C42,C42,$O$5:$O42,O42)-1</f>
        <v/>
      </c>
      <c r="R42" s="182" t="n">
        <v>0</v>
      </c>
      <c r="S42">
        <f>IFERROR(ROUND(O42/(D42/100),2),"")</f>
        <v/>
      </c>
    </row>
    <row r="43">
      <c r="A43">
        <f>Comparatif!A140</f>
        <v/>
      </c>
      <c r="B43">
        <f>Comparatif!B140</f>
        <v/>
      </c>
      <c r="C43" t="inlineStr">
        <is>
          <t>Portable batterie</t>
        </is>
      </c>
      <c r="D43">
        <f>Comparatif!AF140</f>
        <v/>
      </c>
      <c r="E43">
        <f>ROUND(10*(Comparatif!G140-E$2)/(E$3-E$2),4)</f>
        <v/>
      </c>
      <c r="F43">
        <f>ROUND(10*(Comparatif!H140-F$2)/(F$3-F$2),4)</f>
        <v/>
      </c>
      <c r="G43">
        <f>ROUND(10*(Comparatif!I140-G$2)/(G$3-G$2),4)</f>
        <v/>
      </c>
      <c r="H43">
        <f>ROUND(10*(Comparatif!J140-H$2)/(H$3-H$2),4)</f>
        <v/>
      </c>
      <c r="I43">
        <f>ROUND(10*(Comparatif!K140-I$2)/(I$3-I$2),4)</f>
        <v/>
      </c>
      <c r="J43">
        <f>ROUND(10*(Comparatif!L140-J$2)/(J$3-J$2),4)</f>
        <v/>
      </c>
      <c r="K43">
        <f>ROUND(10*(Comparatif!M140-K$2)/(K$3-K$2),4)</f>
        <v/>
      </c>
      <c r="L43">
        <f>ROUND(10*(Comparatif!N140-L$2)/(L$3-L$2),4)</f>
        <v/>
      </c>
      <c r="M43">
        <f>ROUND(10*(Comparatif!O140-M$2)/(M$3-M$2),4)</f>
        <v/>
      </c>
      <c r="N43">
        <f>ROUND(10*(Comparatif!P140-N$2)/(N$3-N$2),4)</f>
        <v/>
      </c>
      <c r="O43">
        <f>ROUND(SUMPRODUCT(E43:N43,$E$1:$N$1)/Pondérations!$B$16,3)</f>
        <v/>
      </c>
      <c r="P43">
        <f>1+COUNTIF($O$5:$O$206,"&gt;"&amp;O43)+COUNTIF($O$5:$O43,O43)-1</f>
        <v/>
      </c>
      <c r="Q43">
        <f>1+COUNTIFS($C$5:$C$206,C43,$O$5:$O$206,"&gt;"&amp;O43)+COUNTIFS($C$5:$C43,C43,$O$5:$O43,O43)-1</f>
        <v/>
      </c>
      <c r="R43" s="182" t="n">
        <v>0</v>
      </c>
      <c r="S43">
        <f>IFERROR(ROUND(O43/(D43/100),2),"")</f>
        <v/>
      </c>
    </row>
    <row r="44">
      <c r="A44">
        <f>Comparatif!A56</f>
        <v/>
      </c>
      <c r="B44">
        <f>Comparatif!B56</f>
        <v/>
      </c>
      <c r="C44" t="inlineStr">
        <is>
          <t>Dongle</t>
        </is>
      </c>
      <c r="D44">
        <f>Comparatif!AF56</f>
        <v/>
      </c>
      <c r="E44">
        <f>ROUND(10*(Comparatif!G56-E$2)/(E$3-E$2),4)</f>
        <v/>
      </c>
      <c r="F44">
        <f>ROUND(10*(Comparatif!H56-F$2)/(F$3-F$2),4)</f>
        <v/>
      </c>
      <c r="G44">
        <f>ROUND(10*(Comparatif!I56-G$2)/(G$3-G$2),4)</f>
        <v/>
      </c>
      <c r="H44">
        <f>ROUND(10*(Comparatif!J56-H$2)/(H$3-H$2),4)</f>
        <v/>
      </c>
      <c r="I44">
        <f>ROUND(10*(Comparatif!K56-I$2)/(I$3-I$2),4)</f>
        <v/>
      </c>
      <c r="J44">
        <f>ROUND(10*(Comparatif!L56-J$2)/(J$3-J$2),4)</f>
        <v/>
      </c>
      <c r="K44">
        <f>ROUND(10*(Comparatif!M56-K$2)/(K$3-K$2),4)</f>
        <v/>
      </c>
      <c r="L44">
        <f>ROUND(10*(Comparatif!N56-L$2)/(L$3-L$2),4)</f>
        <v/>
      </c>
      <c r="M44">
        <f>ROUND(10*(Comparatif!O56-M$2)/(M$3-M$2),4)</f>
        <v/>
      </c>
      <c r="N44">
        <f>ROUND(10*(Comparatif!P56-N$2)/(N$3-N$2),4)</f>
        <v/>
      </c>
      <c r="O44">
        <f>ROUND(SUMPRODUCT(E44:N44,$E$1:$N$1)/Pondérations!$B$16,3)</f>
        <v/>
      </c>
      <c r="P44">
        <f>1+COUNTIF($O$5:$O$206,"&gt;"&amp;O44)+COUNTIF($O$5:$O44,O44)-1</f>
        <v/>
      </c>
      <c r="Q44">
        <f>1+COUNTIFS($C$5:$C$206,C44,$O$5:$O$206,"&gt;"&amp;O44)+COUNTIFS($C$5:$C44,C44,$O$5:$O44,O44)-1</f>
        <v/>
      </c>
      <c r="R44" s="182" t="n">
        <v>0.0295</v>
      </c>
      <c r="S44">
        <f>IFERROR(ROUND(O44/(D44/100),2),"")</f>
        <v/>
      </c>
    </row>
    <row r="45">
      <c r="A45">
        <f>Comparatif!A81</f>
        <v/>
      </c>
      <c r="B45">
        <f>Comparatif!B81</f>
        <v/>
      </c>
      <c r="C45" t="inlineStr">
        <is>
          <t>Dongle</t>
        </is>
      </c>
      <c r="D45">
        <f>Comparatif!AF81</f>
        <v/>
      </c>
      <c r="E45">
        <f>ROUND(10*(Comparatif!G81-E$2)/(E$3-E$2),4)</f>
        <v/>
      </c>
      <c r="F45">
        <f>ROUND(10*(Comparatif!H81-F$2)/(F$3-F$2),4)</f>
        <v/>
      </c>
      <c r="G45">
        <f>ROUND(10*(Comparatif!I81-G$2)/(G$3-G$2),4)</f>
        <v/>
      </c>
      <c r="H45">
        <f>ROUND(10*(Comparatif!J81-H$2)/(H$3-H$2),4)</f>
        <v/>
      </c>
      <c r="I45">
        <f>ROUND(10*(Comparatif!K81-I$2)/(I$3-I$2),4)</f>
        <v/>
      </c>
      <c r="J45">
        <f>ROUND(10*(Comparatif!L81-J$2)/(J$3-J$2),4)</f>
        <v/>
      </c>
      <c r="K45">
        <f>ROUND(10*(Comparatif!M81-K$2)/(K$3-K$2),4)</f>
        <v/>
      </c>
      <c r="L45">
        <f>ROUND(10*(Comparatif!N81-L$2)/(L$3-L$2),4)</f>
        <v/>
      </c>
      <c r="M45">
        <f>ROUND(10*(Comparatif!O81-M$2)/(M$3-M$2),4)</f>
        <v/>
      </c>
      <c r="N45">
        <f>ROUND(10*(Comparatif!P81-N$2)/(N$3-N$2),4)</f>
        <v/>
      </c>
      <c r="O45">
        <f>ROUND(SUMPRODUCT(E45:N45,$E$1:$N$1)/Pondérations!$B$16,3)</f>
        <v/>
      </c>
      <c r="P45">
        <f>1+COUNTIF($O$5:$O$206,"&gt;"&amp;O45)+COUNTIF($O$5:$O45,O45)-1</f>
        <v/>
      </c>
      <c r="Q45">
        <f>1+COUNTIFS($C$5:$C$206,C45,$O$5:$O$206,"&gt;"&amp;O45)+COUNTIFS($C$5:$C45,C45,$O$5:$O45,O45)-1</f>
        <v/>
      </c>
      <c r="R45" s="182" t="n">
        <v>0.0025</v>
      </c>
      <c r="S45">
        <f>IFERROR(ROUND(O45/(D45/100),2),"")</f>
        <v/>
      </c>
    </row>
    <row r="46">
      <c r="A46">
        <f>Comparatif!A126</f>
        <v/>
      </c>
      <c r="B46">
        <f>Comparatif!B126</f>
        <v/>
      </c>
      <c r="C46" t="inlineStr">
        <is>
          <t>Dongle</t>
        </is>
      </c>
      <c r="D46">
        <f>Comparatif!AF126</f>
        <v/>
      </c>
      <c r="E46">
        <f>ROUND(10*(Comparatif!G126-E$2)/(E$3-E$2),4)</f>
        <v/>
      </c>
      <c r="F46">
        <f>ROUND(10*(Comparatif!H126-F$2)/(F$3-F$2),4)</f>
        <v/>
      </c>
      <c r="G46">
        <f>ROUND(10*(Comparatif!I126-G$2)/(G$3-G$2),4)</f>
        <v/>
      </c>
      <c r="H46">
        <f>ROUND(10*(Comparatif!J126-H$2)/(H$3-H$2),4)</f>
        <v/>
      </c>
      <c r="I46">
        <f>ROUND(10*(Comparatif!K126-I$2)/(I$3-I$2),4)</f>
        <v/>
      </c>
      <c r="J46">
        <f>ROUND(10*(Comparatif!L126-J$2)/(J$3-J$2),4)</f>
        <v/>
      </c>
      <c r="K46">
        <f>ROUND(10*(Comparatif!M126-K$2)/(K$3-K$2),4)</f>
        <v/>
      </c>
      <c r="L46">
        <f>ROUND(10*(Comparatif!N126-L$2)/(L$3-L$2),4)</f>
        <v/>
      </c>
      <c r="M46">
        <f>ROUND(10*(Comparatif!O126-M$2)/(M$3-M$2),4)</f>
        <v/>
      </c>
      <c r="N46">
        <f>ROUND(10*(Comparatif!P126-N$2)/(N$3-N$2),4)</f>
        <v/>
      </c>
      <c r="O46">
        <f>ROUND(SUMPRODUCT(E46:N46,$E$1:$N$1)/Pondérations!$B$16,3)</f>
        <v/>
      </c>
      <c r="P46">
        <f>1+COUNTIF($O$5:$O$206,"&gt;"&amp;O46)+COUNTIF($O$5:$O46,O46)-1</f>
        <v/>
      </c>
      <c r="Q46">
        <f>1+COUNTIFS($C$5:$C$206,C46,$O$5:$O$206,"&gt;"&amp;O46)+COUNTIFS($C$5:$C46,C46,$O$5:$O46,O46)-1</f>
        <v/>
      </c>
      <c r="R46" s="182" t="n">
        <v>0</v>
      </c>
      <c r="S46">
        <f>IFERROR(ROUND(O46/(D46/100),2),"")</f>
        <v/>
      </c>
    </row>
    <row r="47">
      <c r="A47">
        <f>Comparatif!A38</f>
        <v/>
      </c>
      <c r="B47">
        <f>Comparatif!B38</f>
        <v/>
      </c>
      <c r="C47" t="inlineStr">
        <is>
          <t>Portable batterie</t>
        </is>
      </c>
      <c r="D47">
        <f>Comparatif!AF38</f>
        <v/>
      </c>
      <c r="E47">
        <f>ROUND(10*(Comparatif!G38-E$2)/(E$3-E$2),4)</f>
        <v/>
      </c>
      <c r="F47">
        <f>ROUND(10*(Comparatif!H38-F$2)/(F$3-F$2),4)</f>
        <v/>
      </c>
      <c r="G47">
        <f>ROUND(10*(Comparatif!I38-G$2)/(G$3-G$2),4)</f>
        <v/>
      </c>
      <c r="H47">
        <f>ROUND(10*(Comparatif!J38-H$2)/(H$3-H$2),4)</f>
        <v/>
      </c>
      <c r="I47">
        <f>ROUND(10*(Comparatif!K38-I$2)/(I$3-I$2),4)</f>
        <v/>
      </c>
      <c r="J47">
        <f>ROUND(10*(Comparatif!L38-J$2)/(J$3-J$2),4)</f>
        <v/>
      </c>
      <c r="K47">
        <f>ROUND(10*(Comparatif!M38-K$2)/(K$3-K$2),4)</f>
        <v/>
      </c>
      <c r="L47">
        <f>ROUND(10*(Comparatif!N38-L$2)/(L$3-L$2),4)</f>
        <v/>
      </c>
      <c r="M47">
        <f>ROUND(10*(Comparatif!O38-M$2)/(M$3-M$2),4)</f>
        <v/>
      </c>
      <c r="N47">
        <f>ROUND(10*(Comparatif!P38-N$2)/(N$3-N$2),4)</f>
        <v/>
      </c>
      <c r="O47">
        <f>ROUND(SUMPRODUCT(E47:N47,$E$1:$N$1)/Pondérations!$B$16,3)</f>
        <v/>
      </c>
      <c r="P47">
        <f>1+COUNTIF($O$5:$O$206,"&gt;"&amp;O47)+COUNTIF($O$5:$O47,O47)-1</f>
        <v/>
      </c>
      <c r="Q47">
        <f>1+COUNTIFS($C$5:$C$206,C47,$O$5:$O$206,"&gt;"&amp;O47)+COUNTIFS($C$5:$C47,C47,$O$5:$O47,O47)-1</f>
        <v/>
      </c>
      <c r="R47" s="182" t="n">
        <v>0</v>
      </c>
      <c r="S47">
        <f>IFERROR(ROUND(O47/(D47/100),2),"")</f>
        <v/>
      </c>
    </row>
    <row r="48">
      <c r="A48">
        <f>Comparatif!A95</f>
        <v/>
      </c>
      <c r="B48">
        <f>Comparatif!B95</f>
        <v/>
      </c>
      <c r="C48" t="inlineStr">
        <is>
          <t>Dongle</t>
        </is>
      </c>
      <c r="D48">
        <f>Comparatif!AF95</f>
        <v/>
      </c>
      <c r="E48">
        <f>ROUND(10*(Comparatif!G95-E$2)/(E$3-E$2),4)</f>
        <v/>
      </c>
      <c r="F48">
        <f>ROUND(10*(Comparatif!H95-F$2)/(F$3-F$2),4)</f>
        <v/>
      </c>
      <c r="G48">
        <f>ROUND(10*(Comparatif!I95-G$2)/(G$3-G$2),4)</f>
        <v/>
      </c>
      <c r="H48">
        <f>ROUND(10*(Comparatif!J95-H$2)/(H$3-H$2),4)</f>
        <v/>
      </c>
      <c r="I48">
        <f>ROUND(10*(Comparatif!K95-I$2)/(I$3-I$2),4)</f>
        <v/>
      </c>
      <c r="J48">
        <f>ROUND(10*(Comparatif!L95-J$2)/(J$3-J$2),4)</f>
        <v/>
      </c>
      <c r="K48">
        <f>ROUND(10*(Comparatif!M95-K$2)/(K$3-K$2),4)</f>
        <v/>
      </c>
      <c r="L48">
        <f>ROUND(10*(Comparatif!N95-L$2)/(L$3-L$2),4)</f>
        <v/>
      </c>
      <c r="M48">
        <f>ROUND(10*(Comparatif!O95-M$2)/(M$3-M$2),4)</f>
        <v/>
      </c>
      <c r="N48">
        <f>ROUND(10*(Comparatif!P95-N$2)/(N$3-N$2),4)</f>
        <v/>
      </c>
      <c r="O48">
        <f>ROUND(SUMPRODUCT(E48:N48,$E$1:$N$1)/Pondérations!$B$16,3)</f>
        <v/>
      </c>
      <c r="P48">
        <f>1+COUNTIF($O$5:$O$206,"&gt;"&amp;O48)+COUNTIF($O$5:$O48,O48)-1</f>
        <v/>
      </c>
      <c r="Q48">
        <f>1+COUNTIFS($C$5:$C$206,C48,$O$5:$O$206,"&gt;"&amp;O48)+COUNTIFS($C$5:$C48,C48,$O$5:$O48,O48)-1</f>
        <v/>
      </c>
      <c r="R48" s="182" t="n">
        <v>0.02</v>
      </c>
      <c r="S48">
        <f>IFERROR(ROUND(O48/(D48/100),2),"")</f>
        <v/>
      </c>
    </row>
    <row r="49">
      <c r="A49">
        <f>Comparatif!A156</f>
        <v/>
      </c>
      <c r="B49">
        <f>Comparatif!B156</f>
        <v/>
      </c>
      <c r="C49" t="inlineStr">
        <is>
          <t>À classer</t>
        </is>
      </c>
      <c r="D49">
        <f>Comparatif!AF156</f>
        <v/>
      </c>
      <c r="E49">
        <f>ROUND(10*(Comparatif!G156-E$2)/(E$3-E$2),4)</f>
        <v/>
      </c>
      <c r="F49">
        <f>ROUND(10*(Comparatif!H156-F$2)/(F$3-F$2),4)</f>
        <v/>
      </c>
      <c r="G49">
        <f>ROUND(10*(Comparatif!I156-G$2)/(G$3-G$2),4)</f>
        <v/>
      </c>
      <c r="H49">
        <f>ROUND(10*(Comparatif!J156-H$2)/(H$3-H$2),4)</f>
        <v/>
      </c>
      <c r="I49">
        <f>ROUND(10*(Comparatif!K156-I$2)/(I$3-I$2),4)</f>
        <v/>
      </c>
      <c r="J49">
        <f>ROUND(10*(Comparatif!L156-J$2)/(J$3-J$2),4)</f>
        <v/>
      </c>
      <c r="K49">
        <f>ROUND(10*(Comparatif!M156-K$2)/(K$3-K$2),4)</f>
        <v/>
      </c>
      <c r="L49">
        <f>ROUND(10*(Comparatif!N156-L$2)/(L$3-L$2),4)</f>
        <v/>
      </c>
      <c r="M49">
        <f>ROUND(10*(Comparatif!O156-M$2)/(M$3-M$2),4)</f>
        <v/>
      </c>
      <c r="N49">
        <f>ROUND(10*(Comparatif!P156-N$2)/(N$3-N$2),4)</f>
        <v/>
      </c>
      <c r="O49">
        <f>ROUND(SUMPRODUCT(E49:N49,$E$1:$N$1)/Pondérations!$B$16,3)</f>
        <v/>
      </c>
      <c r="P49">
        <f>1+COUNTIF($O$5:$O$206,"&gt;"&amp;O49)+COUNTIF($O$5:$O49,O49)-1</f>
        <v/>
      </c>
      <c r="Q49">
        <f>1+COUNTIFS($C$5:$C$206,C49,$O$5:$O$206,"&gt;"&amp;O49)+COUNTIFS($C$5:$C49,C49,$O$5:$O49,O49)-1</f>
        <v/>
      </c>
      <c r="R49" s="182" t="n">
        <v>0</v>
      </c>
      <c r="S49">
        <f>IFERROR(ROUND(O49/(D49/100),2),"")</f>
        <v/>
      </c>
    </row>
    <row r="50">
      <c r="A50">
        <f>Comparatif!A46</f>
        <v/>
      </c>
      <c r="B50">
        <f>Comparatif!B46</f>
        <v/>
      </c>
      <c r="C50" t="inlineStr">
        <is>
          <t>Dongle</t>
        </is>
      </c>
      <c r="D50">
        <f>Comparatif!AF46</f>
        <v/>
      </c>
      <c r="E50">
        <f>ROUND(10*(Comparatif!G46-E$2)/(E$3-E$2),4)</f>
        <v/>
      </c>
      <c r="F50">
        <f>ROUND(10*(Comparatif!H46-F$2)/(F$3-F$2),4)</f>
        <v/>
      </c>
      <c r="G50">
        <f>ROUND(10*(Comparatif!I46-G$2)/(G$3-G$2),4)</f>
        <v/>
      </c>
      <c r="H50">
        <f>ROUND(10*(Comparatif!J46-H$2)/(H$3-H$2),4)</f>
        <v/>
      </c>
      <c r="I50">
        <f>ROUND(10*(Comparatif!K46-I$2)/(I$3-I$2),4)</f>
        <v/>
      </c>
      <c r="J50">
        <f>ROUND(10*(Comparatif!L46-J$2)/(J$3-J$2),4)</f>
        <v/>
      </c>
      <c r="K50">
        <f>ROUND(10*(Comparatif!M46-K$2)/(K$3-K$2),4)</f>
        <v/>
      </c>
      <c r="L50">
        <f>ROUND(10*(Comparatif!N46-L$2)/(L$3-L$2),4)</f>
        <v/>
      </c>
      <c r="M50">
        <f>ROUND(10*(Comparatif!O46-M$2)/(M$3-M$2),4)</f>
        <v/>
      </c>
      <c r="N50">
        <f>ROUND(10*(Comparatif!P46-N$2)/(N$3-N$2),4)</f>
        <v/>
      </c>
      <c r="O50">
        <f>ROUND(SUMPRODUCT(E50:N50,$E$1:$N$1)/Pondérations!$B$16,3)</f>
        <v/>
      </c>
      <c r="P50">
        <f>1+COUNTIF($O$5:$O$206,"&gt;"&amp;O50)+COUNTIF($O$5:$O50,O50)-1</f>
        <v/>
      </c>
      <c r="Q50">
        <f>1+COUNTIFS($C$5:$C$206,C50,$O$5:$O$206,"&gt;"&amp;O50)+COUNTIFS($C$5:$C50,C50,$O$5:$O50,O50)-1</f>
        <v/>
      </c>
      <c r="R50" s="182" t="n">
        <v>0</v>
      </c>
      <c r="S50">
        <f>IFERROR(ROUND(O50/(D50/100),2),"")</f>
        <v/>
      </c>
    </row>
    <row r="51">
      <c r="A51">
        <f>Comparatif!A161</f>
        <v/>
      </c>
      <c r="B51">
        <f>Comparatif!B161</f>
        <v/>
      </c>
      <c r="C51" t="inlineStr">
        <is>
          <t>Portable batterie</t>
        </is>
      </c>
      <c r="D51">
        <f>Comparatif!AF161</f>
        <v/>
      </c>
      <c r="E51">
        <f>ROUND(10*(Comparatif!G161-E$2)/(E$3-E$2),4)</f>
        <v/>
      </c>
      <c r="F51">
        <f>ROUND(10*(Comparatif!H161-F$2)/(F$3-F$2),4)</f>
        <v/>
      </c>
      <c r="G51">
        <f>ROUND(10*(Comparatif!I161-G$2)/(G$3-G$2),4)</f>
        <v/>
      </c>
      <c r="H51">
        <f>ROUND(10*(Comparatif!J161-H$2)/(H$3-H$2),4)</f>
        <v/>
      </c>
      <c r="I51">
        <f>ROUND(10*(Comparatif!K161-I$2)/(I$3-I$2),4)</f>
        <v/>
      </c>
      <c r="J51">
        <f>ROUND(10*(Comparatif!L161-J$2)/(J$3-J$2),4)</f>
        <v/>
      </c>
      <c r="K51">
        <f>ROUND(10*(Comparatif!M161-K$2)/(K$3-K$2),4)</f>
        <v/>
      </c>
      <c r="L51">
        <f>ROUND(10*(Comparatif!N161-L$2)/(L$3-L$2),4)</f>
        <v/>
      </c>
      <c r="M51">
        <f>ROUND(10*(Comparatif!O161-M$2)/(M$3-M$2),4)</f>
        <v/>
      </c>
      <c r="N51">
        <f>ROUND(10*(Comparatif!P161-N$2)/(N$3-N$2),4)</f>
        <v/>
      </c>
      <c r="O51">
        <f>ROUND(SUMPRODUCT(E51:N51,$E$1:$N$1)/Pondérations!$B$16,3)</f>
        <v/>
      </c>
      <c r="P51">
        <f>1+COUNTIF($O$5:$O$206,"&gt;"&amp;O51)+COUNTIF($O$5:$O51,O51)-1</f>
        <v/>
      </c>
      <c r="Q51">
        <f>1+COUNTIFS($C$5:$C$206,C51,$O$5:$O$206,"&gt;"&amp;O51)+COUNTIFS($C$5:$C51,C51,$O$5:$O51,O51)-1</f>
        <v/>
      </c>
      <c r="R51" s="182" t="n">
        <v>0</v>
      </c>
      <c r="S51">
        <f>IFERROR(ROUND(O51/(D51/100),2),"")</f>
        <v/>
      </c>
    </row>
    <row r="52">
      <c r="A52">
        <f>Comparatif!A178</f>
        <v/>
      </c>
      <c r="B52">
        <f>Comparatif!B178</f>
        <v/>
      </c>
      <c r="C52" t="inlineStr">
        <is>
          <t>Dongle</t>
        </is>
      </c>
      <c r="D52">
        <f>Comparatif!AF178</f>
        <v/>
      </c>
      <c r="E52">
        <f>ROUND(10*(Comparatif!G178-E$2)/(E$3-E$2),4)</f>
        <v/>
      </c>
      <c r="F52">
        <f>ROUND(10*(Comparatif!H178-F$2)/(F$3-F$2),4)</f>
        <v/>
      </c>
      <c r="G52">
        <f>ROUND(10*(Comparatif!I178-G$2)/(G$3-G$2),4)</f>
        <v/>
      </c>
      <c r="H52">
        <f>ROUND(10*(Comparatif!J178-H$2)/(H$3-H$2),4)</f>
        <v/>
      </c>
      <c r="I52">
        <f>ROUND(10*(Comparatif!K178-I$2)/(I$3-I$2),4)</f>
        <v/>
      </c>
      <c r="J52">
        <f>ROUND(10*(Comparatif!L178-J$2)/(J$3-J$2),4)</f>
        <v/>
      </c>
      <c r="K52">
        <f>ROUND(10*(Comparatif!M178-K$2)/(K$3-K$2),4)</f>
        <v/>
      </c>
      <c r="L52">
        <f>ROUND(10*(Comparatif!N178-L$2)/(L$3-L$2),4)</f>
        <v/>
      </c>
      <c r="M52">
        <f>ROUND(10*(Comparatif!O178-M$2)/(M$3-M$2),4)</f>
        <v/>
      </c>
      <c r="N52">
        <f>ROUND(10*(Comparatif!P178-N$2)/(N$3-N$2),4)</f>
        <v/>
      </c>
      <c r="O52">
        <f>ROUND(SUMPRODUCT(E52:N52,$E$1:$N$1)/Pondérations!$B$16,3)</f>
        <v/>
      </c>
      <c r="P52">
        <f>1+COUNTIF($O$5:$O$206,"&gt;"&amp;O52)+COUNTIF($O$5:$O52,O52)-1</f>
        <v/>
      </c>
      <c r="Q52">
        <f>1+COUNTIFS($C$5:$C$206,C52,$O$5:$O$206,"&gt;"&amp;O52)+COUNTIFS($C$5:$C52,C52,$O$5:$O52,O52)-1</f>
        <v/>
      </c>
      <c r="R52" s="182" t="n">
        <v>0.0005</v>
      </c>
      <c r="S52">
        <f>IFERROR(ROUND(O52/(D52/100),2),"")</f>
        <v/>
      </c>
    </row>
    <row r="53">
      <c r="A53">
        <f>Comparatif!A104</f>
        <v/>
      </c>
      <c r="B53">
        <f>Comparatif!B104</f>
        <v/>
      </c>
      <c r="C53" t="inlineStr">
        <is>
          <t>Dongle</t>
        </is>
      </c>
      <c r="D53">
        <f>Comparatif!AF104</f>
        <v/>
      </c>
      <c r="E53">
        <f>ROUND(10*(Comparatif!G104-E$2)/(E$3-E$2),4)</f>
        <v/>
      </c>
      <c r="F53">
        <f>ROUND(10*(Comparatif!H104-F$2)/(F$3-F$2),4)</f>
        <v/>
      </c>
      <c r="G53">
        <f>ROUND(10*(Comparatif!I104-G$2)/(G$3-G$2),4)</f>
        <v/>
      </c>
      <c r="H53">
        <f>ROUND(10*(Comparatif!J104-H$2)/(H$3-H$2),4)</f>
        <v/>
      </c>
      <c r="I53">
        <f>ROUND(10*(Comparatif!K104-I$2)/(I$3-I$2),4)</f>
        <v/>
      </c>
      <c r="J53">
        <f>ROUND(10*(Comparatif!L104-J$2)/(J$3-J$2),4)</f>
        <v/>
      </c>
      <c r="K53">
        <f>ROUND(10*(Comparatif!M104-K$2)/(K$3-K$2),4)</f>
        <v/>
      </c>
      <c r="L53">
        <f>ROUND(10*(Comparatif!N104-L$2)/(L$3-L$2),4)</f>
        <v/>
      </c>
      <c r="M53">
        <f>ROUND(10*(Comparatif!O104-M$2)/(M$3-M$2),4)</f>
        <v/>
      </c>
      <c r="N53">
        <f>ROUND(10*(Comparatif!P104-N$2)/(N$3-N$2),4)</f>
        <v/>
      </c>
      <c r="O53">
        <f>ROUND(SUMPRODUCT(E53:N53,$E$1:$N$1)/Pondérations!$B$16,3)</f>
        <v/>
      </c>
      <c r="P53">
        <f>1+COUNTIF($O$5:$O$206,"&gt;"&amp;O53)+COUNTIF($O$5:$O53,O53)-1</f>
        <v/>
      </c>
      <c r="Q53">
        <f>1+COUNTIFS($C$5:$C$206,C53,$O$5:$O$206,"&gt;"&amp;O53)+COUNTIFS($C$5:$C53,C53,$O$5:$O53,O53)-1</f>
        <v/>
      </c>
      <c r="R53" s="182" t="n">
        <v>0</v>
      </c>
      <c r="S53">
        <f>IFERROR(ROUND(O53/(D53/100),2),"")</f>
        <v/>
      </c>
    </row>
    <row r="54">
      <c r="A54">
        <f>Comparatif!A36</f>
        <v/>
      </c>
      <c r="B54">
        <f>Comparatif!B36</f>
        <v/>
      </c>
      <c r="C54" t="inlineStr">
        <is>
          <t>Dongle</t>
        </is>
      </c>
      <c r="D54">
        <f>Comparatif!AF36</f>
        <v/>
      </c>
      <c r="E54">
        <f>ROUND(10*(Comparatif!G36-E$2)/(E$3-E$2),4)</f>
        <v/>
      </c>
      <c r="F54">
        <f>ROUND(10*(Comparatif!H36-F$2)/(F$3-F$2),4)</f>
        <v/>
      </c>
      <c r="G54">
        <f>ROUND(10*(Comparatif!I36-G$2)/(G$3-G$2),4)</f>
        <v/>
      </c>
      <c r="H54">
        <f>ROUND(10*(Comparatif!J36-H$2)/(H$3-H$2),4)</f>
        <v/>
      </c>
      <c r="I54">
        <f>ROUND(10*(Comparatif!K36-I$2)/(I$3-I$2),4)</f>
        <v/>
      </c>
      <c r="J54">
        <f>ROUND(10*(Comparatif!L36-J$2)/(J$3-J$2),4)</f>
        <v/>
      </c>
      <c r="K54">
        <f>ROUND(10*(Comparatif!M36-K$2)/(K$3-K$2),4)</f>
        <v/>
      </c>
      <c r="L54">
        <f>ROUND(10*(Comparatif!N36-L$2)/(L$3-L$2),4)</f>
        <v/>
      </c>
      <c r="M54">
        <f>ROUND(10*(Comparatif!O36-M$2)/(M$3-M$2),4)</f>
        <v/>
      </c>
      <c r="N54">
        <f>ROUND(10*(Comparatif!P36-N$2)/(N$3-N$2),4)</f>
        <v/>
      </c>
      <c r="O54">
        <f>ROUND(SUMPRODUCT(E54:N54,$E$1:$N$1)/Pondérations!$B$16,3)</f>
        <v/>
      </c>
      <c r="P54">
        <f>1+COUNTIF($O$5:$O$206,"&gt;"&amp;O54)+COUNTIF($O$5:$O54,O54)-1</f>
        <v/>
      </c>
      <c r="Q54">
        <f>1+COUNTIFS($C$5:$C$206,C54,$O$5:$O$206,"&gt;"&amp;O54)+COUNTIFS($C$5:$C54,C54,$O$5:$O54,O54)-1</f>
        <v/>
      </c>
      <c r="R54" s="182" t="n">
        <v>0</v>
      </c>
      <c r="S54">
        <f>IFERROR(ROUND(O54/(D54/100),2),"")</f>
        <v/>
      </c>
    </row>
    <row r="55">
      <c r="A55">
        <f>Comparatif!A63</f>
        <v/>
      </c>
      <c r="B55">
        <f>Comparatif!B63</f>
        <v/>
      </c>
      <c r="C55" t="inlineStr">
        <is>
          <t>Dongle</t>
        </is>
      </c>
      <c r="D55">
        <f>Comparatif!AF63</f>
        <v/>
      </c>
      <c r="E55">
        <f>ROUND(10*(Comparatif!G63-E$2)/(E$3-E$2),4)</f>
        <v/>
      </c>
      <c r="F55">
        <f>ROUND(10*(Comparatif!H63-F$2)/(F$3-F$2),4)</f>
        <v/>
      </c>
      <c r="G55">
        <f>ROUND(10*(Comparatif!I63-G$2)/(G$3-G$2),4)</f>
        <v/>
      </c>
      <c r="H55">
        <f>ROUND(10*(Comparatif!J63-H$2)/(H$3-H$2),4)</f>
        <v/>
      </c>
      <c r="I55">
        <f>ROUND(10*(Comparatif!K63-I$2)/(I$3-I$2),4)</f>
        <v/>
      </c>
      <c r="J55">
        <f>ROUND(10*(Comparatif!L63-J$2)/(J$3-J$2),4)</f>
        <v/>
      </c>
      <c r="K55">
        <f>ROUND(10*(Comparatif!M63-K$2)/(K$3-K$2),4)</f>
        <v/>
      </c>
      <c r="L55">
        <f>ROUND(10*(Comparatif!N63-L$2)/(L$3-L$2),4)</f>
        <v/>
      </c>
      <c r="M55">
        <f>ROUND(10*(Comparatif!O63-M$2)/(M$3-M$2),4)</f>
        <v/>
      </c>
      <c r="N55">
        <f>ROUND(10*(Comparatif!P63-N$2)/(N$3-N$2),4)</f>
        <v/>
      </c>
      <c r="O55">
        <f>ROUND(SUMPRODUCT(E55:N55,$E$1:$N$1)/Pondérations!$B$16,3)</f>
        <v/>
      </c>
      <c r="P55">
        <f>1+COUNTIF($O$5:$O$206,"&gt;"&amp;O55)+COUNTIF($O$5:$O55,O55)-1</f>
        <v/>
      </c>
      <c r="Q55">
        <f>1+COUNTIFS($C$5:$C$206,C55,$O$5:$O$206,"&gt;"&amp;O55)+COUNTIFS($C$5:$C55,C55,$O$5:$O55,O55)-1</f>
        <v/>
      </c>
      <c r="R55" s="182" t="n">
        <v>0.003</v>
      </c>
      <c r="S55">
        <f>IFERROR(ROUND(O55/(D55/100),2),"")</f>
        <v/>
      </c>
    </row>
    <row r="56">
      <c r="A56">
        <f>Comparatif!A105</f>
        <v/>
      </c>
      <c r="B56">
        <f>Comparatif!B105</f>
        <v/>
      </c>
      <c r="C56" t="inlineStr">
        <is>
          <t>Dongle</t>
        </is>
      </c>
      <c r="D56">
        <f>Comparatif!AF105</f>
        <v/>
      </c>
      <c r="E56">
        <f>ROUND(10*(Comparatif!G105-E$2)/(E$3-E$2),4)</f>
        <v/>
      </c>
      <c r="F56">
        <f>ROUND(10*(Comparatif!H105-F$2)/(F$3-F$2),4)</f>
        <v/>
      </c>
      <c r="G56">
        <f>ROUND(10*(Comparatif!I105-G$2)/(G$3-G$2),4)</f>
        <v/>
      </c>
      <c r="H56">
        <f>ROUND(10*(Comparatif!J105-H$2)/(H$3-H$2),4)</f>
        <v/>
      </c>
      <c r="I56">
        <f>ROUND(10*(Comparatif!K105-I$2)/(I$3-I$2),4)</f>
        <v/>
      </c>
      <c r="J56">
        <f>ROUND(10*(Comparatif!L105-J$2)/(J$3-J$2),4)</f>
        <v/>
      </c>
      <c r="K56">
        <f>ROUND(10*(Comparatif!M105-K$2)/(K$3-K$2),4)</f>
        <v/>
      </c>
      <c r="L56">
        <f>ROUND(10*(Comparatif!N105-L$2)/(L$3-L$2),4)</f>
        <v/>
      </c>
      <c r="M56">
        <f>ROUND(10*(Comparatif!O105-M$2)/(M$3-M$2),4)</f>
        <v/>
      </c>
      <c r="N56">
        <f>ROUND(10*(Comparatif!P105-N$2)/(N$3-N$2),4)</f>
        <v/>
      </c>
      <c r="O56">
        <f>ROUND(SUMPRODUCT(E56:N56,$E$1:$N$1)/Pondérations!$B$16,3)</f>
        <v/>
      </c>
      <c r="P56">
        <f>1+COUNTIF($O$5:$O$206,"&gt;"&amp;O56)+COUNTIF($O$5:$O56,O56)-1</f>
        <v/>
      </c>
      <c r="Q56">
        <f>1+COUNTIFS($C$5:$C$206,C56,$O$5:$O$206,"&gt;"&amp;O56)+COUNTIFS($C$5:$C56,C56,$O$5:$O56,O56)-1</f>
        <v/>
      </c>
      <c r="R56" s="182" t="n">
        <v>0</v>
      </c>
      <c r="S56">
        <f>IFERROR(ROUND(O56/(D56/100),2),"")</f>
        <v/>
      </c>
    </row>
    <row r="57">
      <c r="A57">
        <f>Comparatif!A57</f>
        <v/>
      </c>
      <c r="B57">
        <f>Comparatif!B57</f>
        <v/>
      </c>
      <c r="C57" t="inlineStr">
        <is>
          <t>Dongle</t>
        </is>
      </c>
      <c r="D57">
        <f>Comparatif!AF57</f>
        <v/>
      </c>
      <c r="E57">
        <f>ROUND(10*(Comparatif!G57-E$2)/(E$3-E$2),4)</f>
        <v/>
      </c>
      <c r="F57">
        <f>ROUND(10*(Comparatif!H57-F$2)/(F$3-F$2),4)</f>
        <v/>
      </c>
      <c r="G57">
        <f>ROUND(10*(Comparatif!I57-G$2)/(G$3-G$2),4)</f>
        <v/>
      </c>
      <c r="H57">
        <f>ROUND(10*(Comparatif!J57-H$2)/(H$3-H$2),4)</f>
        <v/>
      </c>
      <c r="I57">
        <f>ROUND(10*(Comparatif!K57-I$2)/(I$3-I$2),4)</f>
        <v/>
      </c>
      <c r="J57">
        <f>ROUND(10*(Comparatif!L57-J$2)/(J$3-J$2),4)</f>
        <v/>
      </c>
      <c r="K57">
        <f>ROUND(10*(Comparatif!M57-K$2)/(K$3-K$2),4)</f>
        <v/>
      </c>
      <c r="L57">
        <f>ROUND(10*(Comparatif!N57-L$2)/(L$3-L$2),4)</f>
        <v/>
      </c>
      <c r="M57">
        <f>ROUND(10*(Comparatif!O57-M$2)/(M$3-M$2),4)</f>
        <v/>
      </c>
      <c r="N57">
        <f>ROUND(10*(Comparatif!P57-N$2)/(N$3-N$2),4)</f>
        <v/>
      </c>
      <c r="O57">
        <f>ROUND(SUMPRODUCT(E57:N57,$E$1:$N$1)/Pondérations!$B$16,3)</f>
        <v/>
      </c>
      <c r="P57">
        <f>1+COUNTIF($O$5:$O$206,"&gt;"&amp;O57)+COUNTIF($O$5:$O57,O57)-1</f>
        <v/>
      </c>
      <c r="Q57">
        <f>1+COUNTIFS($C$5:$C$206,C57,$O$5:$O$206,"&gt;"&amp;O57)+COUNTIFS($C$5:$C57,C57,$O$5:$O57,O57)-1</f>
        <v/>
      </c>
      <c r="R57" s="182" t="n">
        <v>0</v>
      </c>
      <c r="S57">
        <f>IFERROR(ROUND(O57/(D57/100),2),"")</f>
        <v/>
      </c>
    </row>
    <row r="58">
      <c r="A58">
        <f>Comparatif!A15</f>
        <v/>
      </c>
      <c r="B58">
        <f>Comparatif!B15</f>
        <v/>
      </c>
      <c r="C58" t="inlineStr">
        <is>
          <t>Dongle</t>
        </is>
      </c>
      <c r="D58">
        <f>Comparatif!AF15</f>
        <v/>
      </c>
      <c r="E58">
        <f>ROUND(10*(Comparatif!G15-E$2)/(E$3-E$2),4)</f>
        <v/>
      </c>
      <c r="F58">
        <f>ROUND(10*(Comparatif!H15-F$2)/(F$3-F$2),4)</f>
        <v/>
      </c>
      <c r="G58">
        <f>ROUND(10*(Comparatif!I15-G$2)/(G$3-G$2),4)</f>
        <v/>
      </c>
      <c r="H58">
        <f>ROUND(10*(Comparatif!J15-H$2)/(H$3-H$2),4)</f>
        <v/>
      </c>
      <c r="I58">
        <f>ROUND(10*(Comparatif!K15-I$2)/(I$3-I$2),4)</f>
        <v/>
      </c>
      <c r="J58">
        <f>ROUND(10*(Comparatif!L15-J$2)/(J$3-J$2),4)</f>
        <v/>
      </c>
      <c r="K58">
        <f>ROUND(10*(Comparatif!M15-K$2)/(K$3-K$2),4)</f>
        <v/>
      </c>
      <c r="L58">
        <f>ROUND(10*(Comparatif!N15-L$2)/(L$3-L$2),4)</f>
        <v/>
      </c>
      <c r="M58">
        <f>ROUND(10*(Comparatif!O15-M$2)/(M$3-M$2),4)</f>
        <v/>
      </c>
      <c r="N58">
        <f>ROUND(10*(Comparatif!P15-N$2)/(N$3-N$2),4)</f>
        <v/>
      </c>
      <c r="O58">
        <f>ROUND(SUMPRODUCT(E58:N58,$E$1:$N$1)/Pondérations!$B$16,3)</f>
        <v/>
      </c>
      <c r="P58">
        <f>1+COUNTIF($O$5:$O$206,"&gt;"&amp;O58)+COUNTIF($O$5:$O58,O58)-1</f>
        <v/>
      </c>
      <c r="Q58">
        <f>1+COUNTIFS($C$5:$C$206,C58,$O$5:$O$206,"&gt;"&amp;O58)+COUNTIFS($C$5:$C58,C58,$O$5:$O58,O58)-1</f>
        <v/>
      </c>
      <c r="R58" s="182" t="n">
        <v>0</v>
      </c>
      <c r="S58">
        <f>IFERROR(ROUND(O58/(D58/100),2),"")</f>
        <v/>
      </c>
    </row>
    <row r="59">
      <c r="A59">
        <f>Comparatif!A53</f>
        <v/>
      </c>
      <c r="B59">
        <f>Comparatif!B53</f>
        <v/>
      </c>
      <c r="C59" t="inlineStr">
        <is>
          <t>Dongle</t>
        </is>
      </c>
      <c r="D59">
        <f>Comparatif!AF53</f>
        <v/>
      </c>
      <c r="E59">
        <f>ROUND(10*(Comparatif!G53-E$2)/(E$3-E$2),4)</f>
        <v/>
      </c>
      <c r="F59">
        <f>ROUND(10*(Comparatif!H53-F$2)/(F$3-F$2),4)</f>
        <v/>
      </c>
      <c r="G59">
        <f>ROUND(10*(Comparatif!I53-G$2)/(G$3-G$2),4)</f>
        <v/>
      </c>
      <c r="H59">
        <f>ROUND(10*(Comparatif!J53-H$2)/(H$3-H$2),4)</f>
        <v/>
      </c>
      <c r="I59">
        <f>ROUND(10*(Comparatif!K53-I$2)/(I$3-I$2),4)</f>
        <v/>
      </c>
      <c r="J59">
        <f>ROUND(10*(Comparatif!L53-J$2)/(J$3-J$2),4)</f>
        <v/>
      </c>
      <c r="K59">
        <f>ROUND(10*(Comparatif!M53-K$2)/(K$3-K$2),4)</f>
        <v/>
      </c>
      <c r="L59">
        <f>ROUND(10*(Comparatif!N53-L$2)/(L$3-L$2),4)</f>
        <v/>
      </c>
      <c r="M59">
        <f>ROUND(10*(Comparatif!O53-M$2)/(M$3-M$2),4)</f>
        <v/>
      </c>
      <c r="N59">
        <f>ROUND(10*(Comparatif!P53-N$2)/(N$3-N$2),4)</f>
        <v/>
      </c>
      <c r="O59">
        <f>ROUND(SUMPRODUCT(E59:N59,$E$1:$N$1)/Pondérations!$B$16,3)</f>
        <v/>
      </c>
      <c r="P59">
        <f>1+COUNTIF($O$5:$O$206,"&gt;"&amp;O59)+COUNTIF($O$5:$O59,O59)-1</f>
        <v/>
      </c>
      <c r="Q59">
        <f>1+COUNTIFS($C$5:$C$206,C59,$O$5:$O$206,"&gt;"&amp;O59)+COUNTIFS($C$5:$C59,C59,$O$5:$O59,O59)-1</f>
        <v/>
      </c>
      <c r="R59" s="182" t="n">
        <v>0</v>
      </c>
      <c r="S59">
        <f>IFERROR(ROUND(O59/(D59/100),2),"")</f>
        <v/>
      </c>
    </row>
    <row r="60">
      <c r="A60">
        <f>Comparatif!A177</f>
        <v/>
      </c>
      <c r="B60">
        <f>Comparatif!B177</f>
        <v/>
      </c>
      <c r="C60" t="inlineStr">
        <is>
          <t>À classer</t>
        </is>
      </c>
      <c r="D60">
        <f>Comparatif!AF177</f>
        <v/>
      </c>
      <c r="E60">
        <f>ROUND(10*(Comparatif!G177-E$2)/(E$3-E$2),4)</f>
        <v/>
      </c>
      <c r="F60">
        <f>ROUND(10*(Comparatif!H177-F$2)/(F$3-F$2),4)</f>
        <v/>
      </c>
      <c r="G60">
        <f>ROUND(10*(Comparatif!I177-G$2)/(G$3-G$2),4)</f>
        <v/>
      </c>
      <c r="H60">
        <f>ROUND(10*(Comparatif!J177-H$2)/(H$3-H$2),4)</f>
        <v/>
      </c>
      <c r="I60">
        <f>ROUND(10*(Comparatif!K177-I$2)/(I$3-I$2),4)</f>
        <v/>
      </c>
      <c r="J60">
        <f>ROUND(10*(Comparatif!L177-J$2)/(J$3-J$2),4)</f>
        <v/>
      </c>
      <c r="K60">
        <f>ROUND(10*(Comparatif!M177-K$2)/(K$3-K$2),4)</f>
        <v/>
      </c>
      <c r="L60">
        <f>ROUND(10*(Comparatif!N177-L$2)/(L$3-L$2),4)</f>
        <v/>
      </c>
      <c r="M60">
        <f>ROUND(10*(Comparatif!O177-M$2)/(M$3-M$2),4)</f>
        <v/>
      </c>
      <c r="N60">
        <f>ROUND(10*(Comparatif!P177-N$2)/(N$3-N$2),4)</f>
        <v/>
      </c>
      <c r="O60">
        <f>ROUND(SUMPRODUCT(E60:N60,$E$1:$N$1)/Pondérations!$B$16,3)</f>
        <v/>
      </c>
      <c r="P60">
        <f>1+COUNTIF($O$5:$O$206,"&gt;"&amp;O60)+COUNTIF($O$5:$O60,O60)-1</f>
        <v/>
      </c>
      <c r="Q60">
        <f>1+COUNTIFS($C$5:$C$206,C60,$O$5:$O$206,"&gt;"&amp;O60)+COUNTIFS($C$5:$C60,C60,$O$5:$O60,O60)-1</f>
        <v/>
      </c>
      <c r="R60" s="182" t="n">
        <v>0.3035</v>
      </c>
      <c r="S60">
        <f>IFERROR(ROUND(O60/(D60/100),2),"")</f>
        <v/>
      </c>
    </row>
    <row r="61">
      <c r="A61">
        <f>Comparatif!A16</f>
        <v/>
      </c>
      <c r="B61">
        <f>Comparatif!B16</f>
        <v/>
      </c>
      <c r="C61" t="inlineStr">
        <is>
          <t>Dongle</t>
        </is>
      </c>
      <c r="D61">
        <f>Comparatif!AF16</f>
        <v/>
      </c>
      <c r="E61">
        <f>ROUND(10*(Comparatif!G16-E$2)/(E$3-E$2),4)</f>
        <v/>
      </c>
      <c r="F61">
        <f>ROUND(10*(Comparatif!H16-F$2)/(F$3-F$2),4)</f>
        <v/>
      </c>
      <c r="G61">
        <f>ROUND(10*(Comparatif!I16-G$2)/(G$3-G$2),4)</f>
        <v/>
      </c>
      <c r="H61">
        <f>ROUND(10*(Comparatif!J16-H$2)/(H$3-H$2),4)</f>
        <v/>
      </c>
      <c r="I61">
        <f>ROUND(10*(Comparatif!K16-I$2)/(I$3-I$2),4)</f>
        <v/>
      </c>
      <c r="J61">
        <f>ROUND(10*(Comparatif!L16-J$2)/(J$3-J$2),4)</f>
        <v/>
      </c>
      <c r="K61">
        <f>ROUND(10*(Comparatif!M16-K$2)/(K$3-K$2),4)</f>
        <v/>
      </c>
      <c r="L61">
        <f>ROUND(10*(Comparatif!N16-L$2)/(L$3-L$2),4)</f>
        <v/>
      </c>
      <c r="M61">
        <f>ROUND(10*(Comparatif!O16-M$2)/(M$3-M$2),4)</f>
        <v/>
      </c>
      <c r="N61">
        <f>ROUND(10*(Comparatif!P16-N$2)/(N$3-N$2),4)</f>
        <v/>
      </c>
      <c r="O61">
        <f>ROUND(SUMPRODUCT(E61:N61,$E$1:$N$1)/Pondérations!$B$16,3)</f>
        <v/>
      </c>
      <c r="P61">
        <f>1+COUNTIF($O$5:$O$206,"&gt;"&amp;O61)+COUNTIF($O$5:$O61,O61)-1</f>
        <v/>
      </c>
      <c r="Q61">
        <f>1+COUNTIFS($C$5:$C$206,C61,$O$5:$O$206,"&gt;"&amp;O61)+COUNTIFS($C$5:$C61,C61,$O$5:$O61,O61)-1</f>
        <v/>
      </c>
      <c r="R61" s="182" t="n">
        <v>0.0005</v>
      </c>
      <c r="S61">
        <f>IFERROR(ROUND(O61/(D61/100),2),"")</f>
        <v/>
      </c>
    </row>
    <row r="62">
      <c r="A62">
        <f>Comparatif!A124</f>
        <v/>
      </c>
      <c r="B62">
        <f>Comparatif!B124</f>
        <v/>
      </c>
      <c r="C62" t="inlineStr">
        <is>
          <t>Dongle</t>
        </is>
      </c>
      <c r="D62">
        <f>Comparatif!AF124</f>
        <v/>
      </c>
      <c r="E62">
        <f>ROUND(10*(Comparatif!G124-E$2)/(E$3-E$2),4)</f>
        <v/>
      </c>
      <c r="F62">
        <f>ROUND(10*(Comparatif!H124-F$2)/(F$3-F$2),4)</f>
        <v/>
      </c>
      <c r="G62">
        <f>ROUND(10*(Comparatif!I124-G$2)/(G$3-G$2),4)</f>
        <v/>
      </c>
      <c r="H62">
        <f>ROUND(10*(Comparatif!J124-H$2)/(H$3-H$2),4)</f>
        <v/>
      </c>
      <c r="I62">
        <f>ROUND(10*(Comparatif!K124-I$2)/(I$3-I$2),4)</f>
        <v/>
      </c>
      <c r="J62">
        <f>ROUND(10*(Comparatif!L124-J$2)/(J$3-J$2),4)</f>
        <v/>
      </c>
      <c r="K62">
        <f>ROUND(10*(Comparatif!M124-K$2)/(K$3-K$2),4)</f>
        <v/>
      </c>
      <c r="L62">
        <f>ROUND(10*(Comparatif!N124-L$2)/(L$3-L$2),4)</f>
        <v/>
      </c>
      <c r="M62">
        <f>ROUND(10*(Comparatif!O124-M$2)/(M$3-M$2),4)</f>
        <v/>
      </c>
      <c r="N62">
        <f>ROUND(10*(Comparatif!P124-N$2)/(N$3-N$2),4)</f>
        <v/>
      </c>
      <c r="O62">
        <f>ROUND(SUMPRODUCT(E62:N62,$E$1:$N$1)/Pondérations!$B$16,3)</f>
        <v/>
      </c>
      <c r="P62">
        <f>1+COUNTIF($O$5:$O$206,"&gt;"&amp;O62)+COUNTIF($O$5:$O62,O62)-1</f>
        <v/>
      </c>
      <c r="Q62">
        <f>1+COUNTIFS($C$5:$C$206,C62,$O$5:$O$206,"&gt;"&amp;O62)+COUNTIFS($C$5:$C62,C62,$O$5:$O62,O62)-1</f>
        <v/>
      </c>
      <c r="R62" s="182" t="n">
        <v>0.0005</v>
      </c>
      <c r="S62">
        <f>IFERROR(ROUND(O62/(D62/100),2),"")</f>
        <v/>
      </c>
    </row>
    <row r="63">
      <c r="A63">
        <f>Comparatif!A17</f>
        <v/>
      </c>
      <c r="B63">
        <f>Comparatif!B17</f>
        <v/>
      </c>
      <c r="C63" t="inlineStr">
        <is>
          <t>Dongle</t>
        </is>
      </c>
      <c r="D63">
        <f>Comparatif!AF17</f>
        <v/>
      </c>
      <c r="E63">
        <f>ROUND(10*(Comparatif!G17-E$2)/(E$3-E$2),4)</f>
        <v/>
      </c>
      <c r="F63">
        <f>ROUND(10*(Comparatif!H17-F$2)/(F$3-F$2),4)</f>
        <v/>
      </c>
      <c r="G63">
        <f>ROUND(10*(Comparatif!I17-G$2)/(G$3-G$2),4)</f>
        <v/>
      </c>
      <c r="H63">
        <f>ROUND(10*(Comparatif!J17-H$2)/(H$3-H$2),4)</f>
        <v/>
      </c>
      <c r="I63">
        <f>ROUND(10*(Comparatif!K17-I$2)/(I$3-I$2),4)</f>
        <v/>
      </c>
      <c r="J63">
        <f>ROUND(10*(Comparatif!L17-J$2)/(J$3-J$2),4)</f>
        <v/>
      </c>
      <c r="K63">
        <f>ROUND(10*(Comparatif!M17-K$2)/(K$3-K$2),4)</f>
        <v/>
      </c>
      <c r="L63">
        <f>ROUND(10*(Comparatif!N17-L$2)/(L$3-L$2),4)</f>
        <v/>
      </c>
      <c r="M63">
        <f>ROUND(10*(Comparatif!O17-M$2)/(M$3-M$2),4)</f>
        <v/>
      </c>
      <c r="N63">
        <f>ROUND(10*(Comparatif!P17-N$2)/(N$3-N$2),4)</f>
        <v/>
      </c>
      <c r="O63">
        <f>ROUND(SUMPRODUCT(E63:N63,$E$1:$N$1)/Pondérations!$B$16,3)</f>
        <v/>
      </c>
      <c r="P63">
        <f>1+COUNTIF($O$5:$O$206,"&gt;"&amp;O63)+COUNTIF($O$5:$O63,O63)-1</f>
        <v/>
      </c>
      <c r="Q63">
        <f>1+COUNTIFS($C$5:$C$206,C63,$O$5:$O$206,"&gt;"&amp;O63)+COUNTIFS($C$5:$C63,C63,$O$5:$O63,O63)-1</f>
        <v/>
      </c>
      <c r="R63" s="182" t="n">
        <v>0.008999999999999999</v>
      </c>
      <c r="S63">
        <f>IFERROR(ROUND(O63/(D63/100),2),"")</f>
        <v/>
      </c>
    </row>
    <row r="64">
      <c r="A64">
        <f>Comparatif!A139</f>
        <v/>
      </c>
      <c r="B64">
        <f>Comparatif!B139</f>
        <v/>
      </c>
      <c r="C64" t="inlineStr">
        <is>
          <t>Dongle</t>
        </is>
      </c>
      <c r="D64">
        <f>Comparatif!AF139</f>
        <v/>
      </c>
      <c r="E64">
        <f>ROUND(10*(Comparatif!G139-E$2)/(E$3-E$2),4)</f>
        <v/>
      </c>
      <c r="F64">
        <f>ROUND(10*(Comparatif!H139-F$2)/(F$3-F$2),4)</f>
        <v/>
      </c>
      <c r="G64">
        <f>ROUND(10*(Comparatif!I139-G$2)/(G$3-G$2),4)</f>
        <v/>
      </c>
      <c r="H64">
        <f>ROUND(10*(Comparatif!J139-H$2)/(H$3-H$2),4)</f>
        <v/>
      </c>
      <c r="I64">
        <f>ROUND(10*(Comparatif!K139-I$2)/(I$3-I$2),4)</f>
        <v/>
      </c>
      <c r="J64">
        <f>ROUND(10*(Comparatif!L139-J$2)/(J$3-J$2),4)</f>
        <v/>
      </c>
      <c r="K64">
        <f>ROUND(10*(Comparatif!M139-K$2)/(K$3-K$2),4)</f>
        <v/>
      </c>
      <c r="L64">
        <f>ROUND(10*(Comparatif!N139-L$2)/(L$3-L$2),4)</f>
        <v/>
      </c>
      <c r="M64">
        <f>ROUND(10*(Comparatif!O139-M$2)/(M$3-M$2),4)</f>
        <v/>
      </c>
      <c r="N64">
        <f>ROUND(10*(Comparatif!P139-N$2)/(N$3-N$2),4)</f>
        <v/>
      </c>
      <c r="O64">
        <f>ROUND(SUMPRODUCT(E64:N64,$E$1:$N$1)/Pondérations!$B$16,3)</f>
        <v/>
      </c>
      <c r="P64">
        <f>1+COUNTIF($O$5:$O$206,"&gt;"&amp;O64)+COUNTIF($O$5:$O64,O64)-1</f>
        <v/>
      </c>
      <c r="Q64">
        <f>1+COUNTIFS($C$5:$C$206,C64,$O$5:$O$206,"&gt;"&amp;O64)+COUNTIFS($C$5:$C64,C64,$O$5:$O64,O64)-1</f>
        <v/>
      </c>
      <c r="R64" s="182" t="n">
        <v>0</v>
      </c>
      <c r="S64">
        <f>IFERROR(ROUND(O64/(D64/100),2),"")</f>
        <v/>
      </c>
    </row>
    <row r="65">
      <c r="A65">
        <f>Comparatif!A31</f>
        <v/>
      </c>
      <c r="B65">
        <f>Comparatif!B31</f>
        <v/>
      </c>
      <c r="C65" t="inlineStr">
        <is>
          <t>Bluetooth</t>
        </is>
      </c>
      <c r="D65">
        <f>Comparatif!AF31</f>
        <v/>
      </c>
      <c r="E65">
        <f>ROUND(10*(Comparatif!G31-E$2)/(E$3-E$2),4)</f>
        <v/>
      </c>
      <c r="F65">
        <f>ROUND(10*(Comparatif!H31-F$2)/(F$3-F$2),4)</f>
        <v/>
      </c>
      <c r="G65">
        <f>ROUND(10*(Comparatif!I31-G$2)/(G$3-G$2),4)</f>
        <v/>
      </c>
      <c r="H65">
        <f>ROUND(10*(Comparatif!J31-H$2)/(H$3-H$2),4)</f>
        <v/>
      </c>
      <c r="I65">
        <f>ROUND(10*(Comparatif!K31-I$2)/(I$3-I$2),4)</f>
        <v/>
      </c>
      <c r="J65">
        <f>ROUND(10*(Comparatif!L31-J$2)/(J$3-J$2),4)</f>
        <v/>
      </c>
      <c r="K65">
        <f>ROUND(10*(Comparatif!M31-K$2)/(K$3-K$2),4)</f>
        <v/>
      </c>
      <c r="L65">
        <f>ROUND(10*(Comparatif!N31-L$2)/(L$3-L$2),4)</f>
        <v/>
      </c>
      <c r="M65">
        <f>ROUND(10*(Comparatif!O31-M$2)/(M$3-M$2),4)</f>
        <v/>
      </c>
      <c r="N65">
        <f>ROUND(10*(Comparatif!P31-N$2)/(N$3-N$2),4)</f>
        <v/>
      </c>
      <c r="O65">
        <f>ROUND(SUMPRODUCT(E65:N65,$E$1:$N$1)/Pondérations!$B$16,3)</f>
        <v/>
      </c>
      <c r="P65">
        <f>1+COUNTIF($O$5:$O$206,"&gt;"&amp;O65)+COUNTIF($O$5:$O65,O65)-1</f>
        <v/>
      </c>
      <c r="Q65">
        <f>1+COUNTIFS($C$5:$C$206,C65,$O$5:$O$206,"&gt;"&amp;O65)+COUNTIFS($C$5:$C65,C65,$O$5:$O65,O65)-1</f>
        <v/>
      </c>
      <c r="R65" s="182" t="n">
        <v>0.3445</v>
      </c>
      <c r="S65">
        <f>IFERROR(ROUND(O65/(D65/100),2),"")</f>
        <v/>
      </c>
    </row>
    <row r="66">
      <c r="A66">
        <f>Comparatif!A136</f>
        <v/>
      </c>
      <c r="B66">
        <f>Comparatif!B136</f>
        <v/>
      </c>
      <c r="C66" t="inlineStr">
        <is>
          <t>Dongle</t>
        </is>
      </c>
      <c r="D66">
        <f>Comparatif!AF136</f>
        <v/>
      </c>
      <c r="E66">
        <f>ROUND(10*(Comparatif!G136-E$2)/(E$3-E$2),4)</f>
        <v/>
      </c>
      <c r="F66">
        <f>ROUND(10*(Comparatif!H136-F$2)/(F$3-F$2),4)</f>
        <v/>
      </c>
      <c r="G66">
        <f>ROUND(10*(Comparatif!I136-G$2)/(G$3-G$2),4)</f>
        <v/>
      </c>
      <c r="H66">
        <f>ROUND(10*(Comparatif!J136-H$2)/(H$3-H$2),4)</f>
        <v/>
      </c>
      <c r="I66">
        <f>ROUND(10*(Comparatif!K136-I$2)/(I$3-I$2),4)</f>
        <v/>
      </c>
      <c r="J66">
        <f>ROUND(10*(Comparatif!L136-J$2)/(J$3-J$2),4)</f>
        <v/>
      </c>
      <c r="K66">
        <f>ROUND(10*(Comparatif!M136-K$2)/(K$3-K$2),4)</f>
        <v/>
      </c>
      <c r="L66">
        <f>ROUND(10*(Comparatif!N136-L$2)/(L$3-L$2),4)</f>
        <v/>
      </c>
      <c r="M66">
        <f>ROUND(10*(Comparatif!O136-M$2)/(M$3-M$2),4)</f>
        <v/>
      </c>
      <c r="N66">
        <f>ROUND(10*(Comparatif!P136-N$2)/(N$3-N$2),4)</f>
        <v/>
      </c>
      <c r="O66">
        <f>ROUND(SUMPRODUCT(E66:N66,$E$1:$N$1)/Pondérations!$B$16,3)</f>
        <v/>
      </c>
      <c r="P66">
        <f>1+COUNTIF($O$5:$O$206,"&gt;"&amp;O66)+COUNTIF($O$5:$O66,O66)-1</f>
        <v/>
      </c>
      <c r="Q66">
        <f>1+COUNTIFS($C$5:$C$206,C66,$O$5:$O$206,"&gt;"&amp;O66)+COUNTIFS($C$5:$C66,C66,$O$5:$O66,O66)-1</f>
        <v/>
      </c>
      <c r="R66" s="182" t="n">
        <v>0.004</v>
      </c>
      <c r="S66">
        <f>IFERROR(ROUND(O66/(D66/100),2),"")</f>
        <v/>
      </c>
    </row>
    <row r="67">
      <c r="A67">
        <f>Comparatif!A94</f>
        <v/>
      </c>
      <c r="B67">
        <f>Comparatif!B94</f>
        <v/>
      </c>
      <c r="C67" t="inlineStr">
        <is>
          <t>Dongle</t>
        </is>
      </c>
      <c r="D67">
        <f>Comparatif!AF94</f>
        <v/>
      </c>
      <c r="E67">
        <f>ROUND(10*(Comparatif!G94-E$2)/(E$3-E$2),4)</f>
        <v/>
      </c>
      <c r="F67">
        <f>ROUND(10*(Comparatif!H94-F$2)/(F$3-F$2),4)</f>
        <v/>
      </c>
      <c r="G67">
        <f>ROUND(10*(Comparatif!I94-G$2)/(G$3-G$2),4)</f>
        <v/>
      </c>
      <c r="H67">
        <f>ROUND(10*(Comparatif!J94-H$2)/(H$3-H$2),4)</f>
        <v/>
      </c>
      <c r="I67">
        <f>ROUND(10*(Comparatif!K94-I$2)/(I$3-I$2),4)</f>
        <v/>
      </c>
      <c r="J67">
        <f>ROUND(10*(Comparatif!L94-J$2)/(J$3-J$2),4)</f>
        <v/>
      </c>
      <c r="K67">
        <f>ROUND(10*(Comparatif!M94-K$2)/(K$3-K$2),4)</f>
        <v/>
      </c>
      <c r="L67">
        <f>ROUND(10*(Comparatif!N94-L$2)/(L$3-L$2),4)</f>
        <v/>
      </c>
      <c r="M67">
        <f>ROUND(10*(Comparatif!O94-M$2)/(M$3-M$2),4)</f>
        <v/>
      </c>
      <c r="N67">
        <f>ROUND(10*(Comparatif!P94-N$2)/(N$3-N$2),4)</f>
        <v/>
      </c>
      <c r="O67">
        <f>ROUND(SUMPRODUCT(E67:N67,$E$1:$N$1)/Pondérations!$B$16,3)</f>
        <v/>
      </c>
      <c r="P67">
        <f>1+COUNTIF($O$5:$O$206,"&gt;"&amp;O67)+COUNTIF($O$5:$O67,O67)-1</f>
        <v/>
      </c>
      <c r="Q67">
        <f>1+COUNTIFS($C$5:$C$206,C67,$O$5:$O$206,"&gt;"&amp;O67)+COUNTIFS($C$5:$C67,C67,$O$5:$O67,O67)-1</f>
        <v/>
      </c>
      <c r="R67" s="182" t="n">
        <v>0.028</v>
      </c>
      <c r="S67">
        <f>IFERROR(ROUND(O67/(D67/100),2),"")</f>
        <v/>
      </c>
    </row>
    <row r="68">
      <c r="A68">
        <f>Comparatif!A163</f>
        <v/>
      </c>
      <c r="B68">
        <f>Comparatif!B163</f>
        <v/>
      </c>
      <c r="C68" t="inlineStr">
        <is>
          <t>À classer</t>
        </is>
      </c>
      <c r="D68">
        <f>Comparatif!AF163</f>
        <v/>
      </c>
      <c r="E68">
        <f>ROUND(10*(Comparatif!G163-E$2)/(E$3-E$2),4)</f>
        <v/>
      </c>
      <c r="F68">
        <f>ROUND(10*(Comparatif!H163-F$2)/(F$3-F$2),4)</f>
        <v/>
      </c>
      <c r="G68">
        <f>ROUND(10*(Comparatif!I163-G$2)/(G$3-G$2),4)</f>
        <v/>
      </c>
      <c r="H68">
        <f>ROUND(10*(Comparatif!J163-H$2)/(H$3-H$2),4)</f>
        <v/>
      </c>
      <c r="I68">
        <f>ROUND(10*(Comparatif!K163-I$2)/(I$3-I$2),4)</f>
        <v/>
      </c>
      <c r="J68">
        <f>ROUND(10*(Comparatif!L163-J$2)/(J$3-J$2),4)</f>
        <v/>
      </c>
      <c r="K68">
        <f>ROUND(10*(Comparatif!M163-K$2)/(K$3-K$2),4)</f>
        <v/>
      </c>
      <c r="L68">
        <f>ROUND(10*(Comparatif!N163-L$2)/(L$3-L$2),4)</f>
        <v/>
      </c>
      <c r="M68">
        <f>ROUND(10*(Comparatif!O163-M$2)/(M$3-M$2),4)</f>
        <v/>
      </c>
      <c r="N68">
        <f>ROUND(10*(Comparatif!P163-N$2)/(N$3-N$2),4)</f>
        <v/>
      </c>
      <c r="O68">
        <f>ROUND(SUMPRODUCT(E68:N68,$E$1:$N$1)/Pondérations!$B$16,3)</f>
        <v/>
      </c>
      <c r="P68">
        <f>1+COUNTIF($O$5:$O$206,"&gt;"&amp;O68)+COUNTIF($O$5:$O68,O68)-1</f>
        <v/>
      </c>
      <c r="Q68">
        <f>1+COUNTIFS($C$5:$C$206,C68,$O$5:$O$206,"&gt;"&amp;O68)+COUNTIFS($C$5:$C68,C68,$O$5:$O68,O68)-1</f>
        <v/>
      </c>
      <c r="R68" s="182" t="n">
        <v>0.004</v>
      </c>
      <c r="S68">
        <f>IFERROR(ROUND(O68/(D68/100),2),"")</f>
        <v/>
      </c>
    </row>
    <row r="69">
      <c r="A69">
        <f>Comparatif!A51</f>
        <v/>
      </c>
      <c r="B69">
        <f>Comparatif!B51</f>
        <v/>
      </c>
      <c r="C69" t="inlineStr">
        <is>
          <t>Dongle</t>
        </is>
      </c>
      <c r="D69">
        <f>Comparatif!AF51</f>
        <v/>
      </c>
      <c r="E69">
        <f>ROUND(10*(Comparatif!G51-E$2)/(E$3-E$2),4)</f>
        <v/>
      </c>
      <c r="F69">
        <f>ROUND(10*(Comparatif!H51-F$2)/(F$3-F$2),4)</f>
        <v/>
      </c>
      <c r="G69">
        <f>ROUND(10*(Comparatif!I51-G$2)/(G$3-G$2),4)</f>
        <v/>
      </c>
      <c r="H69">
        <f>ROUND(10*(Comparatif!J51-H$2)/(H$3-H$2),4)</f>
        <v/>
      </c>
      <c r="I69">
        <f>ROUND(10*(Comparatif!K51-I$2)/(I$3-I$2),4)</f>
        <v/>
      </c>
      <c r="J69">
        <f>ROUND(10*(Comparatif!L51-J$2)/(J$3-J$2),4)</f>
        <v/>
      </c>
      <c r="K69">
        <f>ROUND(10*(Comparatif!M51-K$2)/(K$3-K$2),4)</f>
        <v/>
      </c>
      <c r="L69">
        <f>ROUND(10*(Comparatif!N51-L$2)/(L$3-L$2),4)</f>
        <v/>
      </c>
      <c r="M69">
        <f>ROUND(10*(Comparatif!O51-M$2)/(M$3-M$2),4)</f>
        <v/>
      </c>
      <c r="N69">
        <f>ROUND(10*(Comparatif!P51-N$2)/(N$3-N$2),4)</f>
        <v/>
      </c>
      <c r="O69">
        <f>ROUND(SUMPRODUCT(E69:N69,$E$1:$N$1)/Pondérations!$B$16,3)</f>
        <v/>
      </c>
      <c r="P69">
        <f>1+COUNTIF($O$5:$O$206,"&gt;"&amp;O69)+COUNTIF($O$5:$O69,O69)-1</f>
        <v/>
      </c>
      <c r="Q69">
        <f>1+COUNTIFS($C$5:$C$206,C69,$O$5:$O$206,"&gt;"&amp;O69)+COUNTIFS($C$5:$C69,C69,$O$5:$O69,O69)-1</f>
        <v/>
      </c>
      <c r="R69" s="182" t="n">
        <v>0</v>
      </c>
      <c r="S69">
        <f>IFERROR(ROUND(O69/(D69/100),2),"")</f>
        <v/>
      </c>
    </row>
    <row r="70">
      <c r="A70">
        <f>Comparatif!A43</f>
        <v/>
      </c>
      <c r="B70">
        <f>Comparatif!B43</f>
        <v/>
      </c>
      <c r="C70" t="inlineStr">
        <is>
          <t>Dongle</t>
        </is>
      </c>
      <c r="D70">
        <f>Comparatif!AF43</f>
        <v/>
      </c>
      <c r="E70">
        <f>ROUND(10*(Comparatif!G43-E$2)/(E$3-E$2),4)</f>
        <v/>
      </c>
      <c r="F70">
        <f>ROUND(10*(Comparatif!H43-F$2)/(F$3-F$2),4)</f>
        <v/>
      </c>
      <c r="G70">
        <f>ROUND(10*(Comparatif!I43-G$2)/(G$3-G$2),4)</f>
        <v/>
      </c>
      <c r="H70">
        <f>ROUND(10*(Comparatif!J43-H$2)/(H$3-H$2),4)</f>
        <v/>
      </c>
      <c r="I70">
        <f>ROUND(10*(Comparatif!K43-I$2)/(I$3-I$2),4)</f>
        <v/>
      </c>
      <c r="J70">
        <f>ROUND(10*(Comparatif!L43-J$2)/(J$3-J$2),4)</f>
        <v/>
      </c>
      <c r="K70">
        <f>ROUND(10*(Comparatif!M43-K$2)/(K$3-K$2),4)</f>
        <v/>
      </c>
      <c r="L70">
        <f>ROUND(10*(Comparatif!N43-L$2)/(L$3-L$2),4)</f>
        <v/>
      </c>
      <c r="M70">
        <f>ROUND(10*(Comparatif!O43-M$2)/(M$3-M$2),4)</f>
        <v/>
      </c>
      <c r="N70">
        <f>ROUND(10*(Comparatif!P43-N$2)/(N$3-N$2),4)</f>
        <v/>
      </c>
      <c r="O70">
        <f>ROUND(SUMPRODUCT(E70:N70,$E$1:$N$1)/Pondérations!$B$16,3)</f>
        <v/>
      </c>
      <c r="P70">
        <f>1+COUNTIF($O$5:$O$206,"&gt;"&amp;O70)+COUNTIF($O$5:$O70,O70)-1</f>
        <v/>
      </c>
      <c r="Q70">
        <f>1+COUNTIFS($C$5:$C$206,C70,$O$5:$O$206,"&gt;"&amp;O70)+COUNTIFS($C$5:$C70,C70,$O$5:$O70,O70)-1</f>
        <v/>
      </c>
      <c r="R70" s="182" t="n">
        <v>0</v>
      </c>
      <c r="S70">
        <f>IFERROR(ROUND(O70/(D70/100),2),"")</f>
        <v/>
      </c>
    </row>
    <row r="71">
      <c r="A71">
        <f>Comparatif!A76</f>
        <v/>
      </c>
      <c r="B71">
        <f>Comparatif!B76</f>
        <v/>
      </c>
      <c r="C71" t="inlineStr">
        <is>
          <t>Portable batterie</t>
        </is>
      </c>
      <c r="D71">
        <f>Comparatif!AF76</f>
        <v/>
      </c>
      <c r="E71">
        <f>ROUND(10*(Comparatif!G76-E$2)/(E$3-E$2),4)</f>
        <v/>
      </c>
      <c r="F71">
        <f>ROUND(10*(Comparatif!H76-F$2)/(F$3-F$2),4)</f>
        <v/>
      </c>
      <c r="G71">
        <f>ROUND(10*(Comparatif!I76-G$2)/(G$3-G$2),4)</f>
        <v/>
      </c>
      <c r="H71">
        <f>ROUND(10*(Comparatif!J76-H$2)/(H$3-H$2),4)</f>
        <v/>
      </c>
      <c r="I71">
        <f>ROUND(10*(Comparatif!K76-I$2)/(I$3-I$2),4)</f>
        <v/>
      </c>
      <c r="J71">
        <f>ROUND(10*(Comparatif!L76-J$2)/(J$3-J$2),4)</f>
        <v/>
      </c>
      <c r="K71">
        <f>ROUND(10*(Comparatif!M76-K$2)/(K$3-K$2),4)</f>
        <v/>
      </c>
      <c r="L71">
        <f>ROUND(10*(Comparatif!N76-L$2)/(L$3-L$2),4)</f>
        <v/>
      </c>
      <c r="M71">
        <f>ROUND(10*(Comparatif!O76-M$2)/(M$3-M$2),4)</f>
        <v/>
      </c>
      <c r="N71">
        <f>ROUND(10*(Comparatif!P76-N$2)/(N$3-N$2),4)</f>
        <v/>
      </c>
      <c r="O71">
        <f>ROUND(SUMPRODUCT(E71:N71,$E$1:$N$1)/Pondérations!$B$16,3)</f>
        <v/>
      </c>
      <c r="P71">
        <f>1+COUNTIF($O$5:$O$206,"&gt;"&amp;O71)+COUNTIF($O$5:$O71,O71)-1</f>
        <v/>
      </c>
      <c r="Q71">
        <f>1+COUNTIFS($C$5:$C$206,C71,$O$5:$O$206,"&gt;"&amp;O71)+COUNTIFS($C$5:$C71,C71,$O$5:$O71,O71)-1</f>
        <v/>
      </c>
      <c r="R71" s="182" t="n">
        <v>0</v>
      </c>
      <c r="S71">
        <f>IFERROR(ROUND(O71/(D71/100),2),"")</f>
        <v/>
      </c>
    </row>
    <row r="72">
      <c r="A72">
        <f>Comparatif!A127</f>
        <v/>
      </c>
      <c r="B72">
        <f>Comparatif!B127</f>
        <v/>
      </c>
      <c r="C72" t="inlineStr">
        <is>
          <t>Dongle</t>
        </is>
      </c>
      <c r="D72">
        <f>Comparatif!AF127</f>
        <v/>
      </c>
      <c r="E72">
        <f>ROUND(10*(Comparatif!G127-E$2)/(E$3-E$2),4)</f>
        <v/>
      </c>
      <c r="F72">
        <f>ROUND(10*(Comparatif!H127-F$2)/(F$3-F$2),4)</f>
        <v/>
      </c>
      <c r="G72">
        <f>ROUND(10*(Comparatif!I127-G$2)/(G$3-G$2),4)</f>
        <v/>
      </c>
      <c r="H72">
        <f>ROUND(10*(Comparatif!J127-H$2)/(H$3-H$2),4)</f>
        <v/>
      </c>
      <c r="I72">
        <f>ROUND(10*(Comparatif!K127-I$2)/(I$3-I$2),4)</f>
        <v/>
      </c>
      <c r="J72">
        <f>ROUND(10*(Comparatif!L127-J$2)/(J$3-J$2),4)</f>
        <v/>
      </c>
      <c r="K72">
        <f>ROUND(10*(Comparatif!M127-K$2)/(K$3-K$2),4)</f>
        <v/>
      </c>
      <c r="L72">
        <f>ROUND(10*(Comparatif!N127-L$2)/(L$3-L$2),4)</f>
        <v/>
      </c>
      <c r="M72">
        <f>ROUND(10*(Comparatif!O127-M$2)/(M$3-M$2),4)</f>
        <v/>
      </c>
      <c r="N72">
        <f>ROUND(10*(Comparatif!P127-N$2)/(N$3-N$2),4)</f>
        <v/>
      </c>
      <c r="O72">
        <f>ROUND(SUMPRODUCT(E72:N72,$E$1:$N$1)/Pondérations!$B$16,3)</f>
        <v/>
      </c>
      <c r="P72">
        <f>1+COUNTIF($O$5:$O$206,"&gt;"&amp;O72)+COUNTIF($O$5:$O72,O72)-1</f>
        <v/>
      </c>
      <c r="Q72">
        <f>1+COUNTIFS($C$5:$C$206,C72,$O$5:$O$206,"&gt;"&amp;O72)+COUNTIFS($C$5:$C72,C72,$O$5:$O72,O72)-1</f>
        <v/>
      </c>
      <c r="R72" s="182" t="n">
        <v>0</v>
      </c>
      <c r="S72">
        <f>IFERROR(ROUND(O72/(D72/100),2),"")</f>
        <v/>
      </c>
    </row>
    <row r="73">
      <c r="A73">
        <f>Comparatif!A114</f>
        <v/>
      </c>
      <c r="B73">
        <f>Comparatif!B114</f>
        <v/>
      </c>
      <c r="C73" t="inlineStr">
        <is>
          <t>Dongle</t>
        </is>
      </c>
      <c r="D73">
        <f>Comparatif!AF114</f>
        <v/>
      </c>
      <c r="E73">
        <f>ROUND(10*(Comparatif!G114-E$2)/(E$3-E$2),4)</f>
        <v/>
      </c>
      <c r="F73">
        <f>ROUND(10*(Comparatif!H114-F$2)/(F$3-F$2),4)</f>
        <v/>
      </c>
      <c r="G73">
        <f>ROUND(10*(Comparatif!I114-G$2)/(G$3-G$2),4)</f>
        <v/>
      </c>
      <c r="H73">
        <f>ROUND(10*(Comparatif!J114-H$2)/(H$3-H$2),4)</f>
        <v/>
      </c>
      <c r="I73">
        <f>ROUND(10*(Comparatif!K114-I$2)/(I$3-I$2),4)</f>
        <v/>
      </c>
      <c r="J73">
        <f>ROUND(10*(Comparatif!L114-J$2)/(J$3-J$2),4)</f>
        <v/>
      </c>
      <c r="K73">
        <f>ROUND(10*(Comparatif!M114-K$2)/(K$3-K$2),4)</f>
        <v/>
      </c>
      <c r="L73">
        <f>ROUND(10*(Comparatif!N114-L$2)/(L$3-L$2),4)</f>
        <v/>
      </c>
      <c r="M73">
        <f>ROUND(10*(Comparatif!O114-M$2)/(M$3-M$2),4)</f>
        <v/>
      </c>
      <c r="N73">
        <f>ROUND(10*(Comparatif!P114-N$2)/(N$3-N$2),4)</f>
        <v/>
      </c>
      <c r="O73">
        <f>ROUND(SUMPRODUCT(E73:N73,$E$1:$N$1)/Pondérations!$B$16,3)</f>
        <v/>
      </c>
      <c r="P73">
        <f>1+COUNTIF($O$5:$O$206,"&gt;"&amp;O73)+COUNTIF($O$5:$O73,O73)-1</f>
        <v/>
      </c>
      <c r="Q73">
        <f>1+COUNTIFS($C$5:$C$206,C73,$O$5:$O$206,"&gt;"&amp;O73)+COUNTIFS($C$5:$C73,C73,$O$5:$O73,O73)-1</f>
        <v/>
      </c>
      <c r="R73" s="182" t="n">
        <v>0</v>
      </c>
      <c r="S73">
        <f>IFERROR(ROUND(O73/(D73/100),2),"")</f>
        <v/>
      </c>
    </row>
    <row r="74">
      <c r="A74">
        <f>Comparatif!A132</f>
        <v/>
      </c>
      <c r="B74">
        <f>Comparatif!B132</f>
        <v/>
      </c>
      <c r="C74" t="inlineStr">
        <is>
          <t>Dongle</t>
        </is>
      </c>
      <c r="D74">
        <f>Comparatif!AF132</f>
        <v/>
      </c>
      <c r="E74">
        <f>ROUND(10*(Comparatif!G132-E$2)/(E$3-E$2),4)</f>
        <v/>
      </c>
      <c r="F74">
        <f>ROUND(10*(Comparatif!H132-F$2)/(F$3-F$2),4)</f>
        <v/>
      </c>
      <c r="G74">
        <f>ROUND(10*(Comparatif!I132-G$2)/(G$3-G$2),4)</f>
        <v/>
      </c>
      <c r="H74">
        <f>ROUND(10*(Comparatif!J132-H$2)/(H$3-H$2),4)</f>
        <v/>
      </c>
      <c r="I74">
        <f>ROUND(10*(Comparatif!K132-I$2)/(I$3-I$2),4)</f>
        <v/>
      </c>
      <c r="J74">
        <f>ROUND(10*(Comparatif!L132-J$2)/(J$3-J$2),4)</f>
        <v/>
      </c>
      <c r="K74">
        <f>ROUND(10*(Comparatif!M132-K$2)/(K$3-K$2),4)</f>
        <v/>
      </c>
      <c r="L74">
        <f>ROUND(10*(Comparatif!N132-L$2)/(L$3-L$2),4)</f>
        <v/>
      </c>
      <c r="M74">
        <f>ROUND(10*(Comparatif!O132-M$2)/(M$3-M$2),4)</f>
        <v/>
      </c>
      <c r="N74">
        <f>ROUND(10*(Comparatif!P132-N$2)/(N$3-N$2),4)</f>
        <v/>
      </c>
      <c r="O74">
        <f>ROUND(SUMPRODUCT(E74:N74,$E$1:$N$1)/Pondérations!$B$16,3)</f>
        <v/>
      </c>
      <c r="P74">
        <f>1+COUNTIF($O$5:$O$206,"&gt;"&amp;O74)+COUNTIF($O$5:$O74,O74)-1</f>
        <v/>
      </c>
      <c r="Q74">
        <f>1+COUNTIFS($C$5:$C$206,C74,$O$5:$O$206,"&gt;"&amp;O74)+COUNTIFS($C$5:$C74,C74,$O$5:$O74,O74)-1</f>
        <v/>
      </c>
      <c r="R74" s="182" t="n">
        <v>0</v>
      </c>
      <c r="S74">
        <f>IFERROR(ROUND(O74/(D74/100),2),"")</f>
        <v/>
      </c>
    </row>
    <row r="75">
      <c r="A75">
        <f>Comparatif!A119</f>
        <v/>
      </c>
      <c r="B75">
        <f>Comparatif!B119</f>
        <v/>
      </c>
      <c r="C75" t="inlineStr">
        <is>
          <t>Dongle</t>
        </is>
      </c>
      <c r="D75">
        <f>Comparatif!AF119</f>
        <v/>
      </c>
      <c r="E75">
        <f>ROUND(10*(Comparatif!G119-E$2)/(E$3-E$2),4)</f>
        <v/>
      </c>
      <c r="F75">
        <f>ROUND(10*(Comparatif!H119-F$2)/(F$3-F$2),4)</f>
        <v/>
      </c>
      <c r="G75">
        <f>ROUND(10*(Comparatif!I119-G$2)/(G$3-G$2),4)</f>
        <v/>
      </c>
      <c r="H75">
        <f>ROUND(10*(Comparatif!J119-H$2)/(H$3-H$2),4)</f>
        <v/>
      </c>
      <c r="I75">
        <f>ROUND(10*(Comparatif!K119-I$2)/(I$3-I$2),4)</f>
        <v/>
      </c>
      <c r="J75">
        <f>ROUND(10*(Comparatif!L119-J$2)/(J$3-J$2),4)</f>
        <v/>
      </c>
      <c r="K75">
        <f>ROUND(10*(Comparatif!M119-K$2)/(K$3-K$2),4)</f>
        <v/>
      </c>
      <c r="L75">
        <f>ROUND(10*(Comparatif!N119-L$2)/(L$3-L$2),4)</f>
        <v/>
      </c>
      <c r="M75">
        <f>ROUND(10*(Comparatif!O119-M$2)/(M$3-M$2),4)</f>
        <v/>
      </c>
      <c r="N75">
        <f>ROUND(10*(Comparatif!P119-N$2)/(N$3-N$2),4)</f>
        <v/>
      </c>
      <c r="O75">
        <f>ROUND(SUMPRODUCT(E75:N75,$E$1:$N$1)/Pondérations!$B$16,3)</f>
        <v/>
      </c>
      <c r="P75">
        <f>1+COUNTIF($O$5:$O$206,"&gt;"&amp;O75)+COUNTIF($O$5:$O75,O75)-1</f>
        <v/>
      </c>
      <c r="Q75">
        <f>1+COUNTIFS($C$5:$C$206,C75,$O$5:$O$206,"&gt;"&amp;O75)+COUNTIFS($C$5:$C75,C75,$O$5:$O75,O75)-1</f>
        <v/>
      </c>
      <c r="R75" s="182" t="n">
        <v>0</v>
      </c>
      <c r="S75">
        <f>IFERROR(ROUND(O75/(D75/100),2),"")</f>
        <v/>
      </c>
    </row>
    <row r="76">
      <c r="A76">
        <f>Comparatif!A35</f>
        <v/>
      </c>
      <c r="B76">
        <f>Comparatif!B35</f>
        <v/>
      </c>
      <c r="C76" t="inlineStr">
        <is>
          <t>À classer</t>
        </is>
      </c>
      <c r="D76">
        <f>Comparatif!AF35</f>
        <v/>
      </c>
      <c r="E76">
        <f>ROUND(10*(Comparatif!G35-E$2)/(E$3-E$2),4)</f>
        <v/>
      </c>
      <c r="F76">
        <f>ROUND(10*(Comparatif!H35-F$2)/(F$3-F$2),4)</f>
        <v/>
      </c>
      <c r="G76">
        <f>ROUND(10*(Comparatif!I35-G$2)/(G$3-G$2),4)</f>
        <v/>
      </c>
      <c r="H76">
        <f>ROUND(10*(Comparatif!J35-H$2)/(H$3-H$2),4)</f>
        <v/>
      </c>
      <c r="I76">
        <f>ROUND(10*(Comparatif!K35-I$2)/(I$3-I$2),4)</f>
        <v/>
      </c>
      <c r="J76">
        <f>ROUND(10*(Comparatif!L35-J$2)/(J$3-J$2),4)</f>
        <v/>
      </c>
      <c r="K76">
        <f>ROUND(10*(Comparatif!M35-K$2)/(K$3-K$2),4)</f>
        <v/>
      </c>
      <c r="L76">
        <f>ROUND(10*(Comparatif!N35-L$2)/(L$3-L$2),4)</f>
        <v/>
      </c>
      <c r="M76">
        <f>ROUND(10*(Comparatif!O35-M$2)/(M$3-M$2),4)</f>
        <v/>
      </c>
      <c r="N76">
        <f>ROUND(10*(Comparatif!P35-N$2)/(N$3-N$2),4)</f>
        <v/>
      </c>
      <c r="O76">
        <f>ROUND(SUMPRODUCT(E76:N76,$E$1:$N$1)/Pondérations!$B$16,3)</f>
        <v/>
      </c>
      <c r="P76">
        <f>1+COUNTIF($O$5:$O$206,"&gt;"&amp;O76)+COUNTIF($O$5:$O76,O76)-1</f>
        <v/>
      </c>
      <c r="Q76">
        <f>1+COUNTIFS($C$5:$C$206,C76,$O$5:$O$206,"&gt;"&amp;O76)+COUNTIFS($C$5:$C76,C76,$O$5:$O76,O76)-1</f>
        <v/>
      </c>
      <c r="R76" s="182" t="n">
        <v>0</v>
      </c>
      <c r="S76">
        <f>IFERROR(ROUND(O76/(D76/100),2),"")</f>
        <v/>
      </c>
    </row>
    <row r="77">
      <c r="A77">
        <f>Comparatif!A97</f>
        <v/>
      </c>
      <c r="B77">
        <f>Comparatif!B97</f>
        <v/>
      </c>
      <c r="C77" t="inlineStr">
        <is>
          <t>Dongle</t>
        </is>
      </c>
      <c r="D77">
        <f>Comparatif!AF97</f>
        <v/>
      </c>
      <c r="E77">
        <f>ROUND(10*(Comparatif!G97-E$2)/(E$3-E$2),4)</f>
        <v/>
      </c>
      <c r="F77">
        <f>ROUND(10*(Comparatif!H97-F$2)/(F$3-F$2),4)</f>
        <v/>
      </c>
      <c r="G77">
        <f>ROUND(10*(Comparatif!I97-G$2)/(G$3-G$2),4)</f>
        <v/>
      </c>
      <c r="H77">
        <f>ROUND(10*(Comparatif!J97-H$2)/(H$3-H$2),4)</f>
        <v/>
      </c>
      <c r="I77">
        <f>ROUND(10*(Comparatif!K97-I$2)/(I$3-I$2),4)</f>
        <v/>
      </c>
      <c r="J77">
        <f>ROUND(10*(Comparatif!L97-J$2)/(J$3-J$2),4)</f>
        <v/>
      </c>
      <c r="K77">
        <f>ROUND(10*(Comparatif!M97-K$2)/(K$3-K$2),4)</f>
        <v/>
      </c>
      <c r="L77">
        <f>ROUND(10*(Comparatif!N97-L$2)/(L$3-L$2),4)</f>
        <v/>
      </c>
      <c r="M77">
        <f>ROUND(10*(Comparatif!O97-M$2)/(M$3-M$2),4)</f>
        <v/>
      </c>
      <c r="N77">
        <f>ROUND(10*(Comparatif!P97-N$2)/(N$3-N$2),4)</f>
        <v/>
      </c>
      <c r="O77">
        <f>ROUND(SUMPRODUCT(E77:N77,$E$1:$N$1)/Pondérations!$B$16,3)</f>
        <v/>
      </c>
      <c r="P77">
        <f>1+COUNTIF($O$5:$O$206,"&gt;"&amp;O77)+COUNTIF($O$5:$O77,O77)-1</f>
        <v/>
      </c>
      <c r="Q77">
        <f>1+COUNTIFS($C$5:$C$206,C77,$O$5:$O$206,"&gt;"&amp;O77)+COUNTIFS($C$5:$C77,C77,$O$5:$O77,O77)-1</f>
        <v/>
      </c>
      <c r="R77" s="182" t="n">
        <v>0.0025</v>
      </c>
      <c r="S77">
        <f>IFERROR(ROUND(O77/(D77/100),2),"")</f>
        <v/>
      </c>
    </row>
    <row r="78">
      <c r="A78">
        <f>Comparatif!A129</f>
        <v/>
      </c>
      <c r="B78">
        <f>Comparatif!B129</f>
        <v/>
      </c>
      <c r="C78" t="inlineStr">
        <is>
          <t>À classer</t>
        </is>
      </c>
      <c r="D78">
        <f>Comparatif!AF129</f>
        <v/>
      </c>
      <c r="E78">
        <f>ROUND(10*(Comparatif!G129-E$2)/(E$3-E$2),4)</f>
        <v/>
      </c>
      <c r="F78">
        <f>ROUND(10*(Comparatif!H129-F$2)/(F$3-F$2),4)</f>
        <v/>
      </c>
      <c r="G78">
        <f>ROUND(10*(Comparatif!I129-G$2)/(G$3-G$2),4)</f>
        <v/>
      </c>
      <c r="H78">
        <f>ROUND(10*(Comparatif!J129-H$2)/(H$3-H$2),4)</f>
        <v/>
      </c>
      <c r="I78">
        <f>ROUND(10*(Comparatif!K129-I$2)/(I$3-I$2),4)</f>
        <v/>
      </c>
      <c r="J78">
        <f>ROUND(10*(Comparatif!L129-J$2)/(J$3-J$2),4)</f>
        <v/>
      </c>
      <c r="K78">
        <f>ROUND(10*(Comparatif!M129-K$2)/(K$3-K$2),4)</f>
        <v/>
      </c>
      <c r="L78">
        <f>ROUND(10*(Comparatif!N129-L$2)/(L$3-L$2),4)</f>
        <v/>
      </c>
      <c r="M78">
        <f>ROUND(10*(Comparatif!O129-M$2)/(M$3-M$2),4)</f>
        <v/>
      </c>
      <c r="N78">
        <f>ROUND(10*(Comparatif!P129-N$2)/(N$3-N$2),4)</f>
        <v/>
      </c>
      <c r="O78">
        <f>ROUND(SUMPRODUCT(E78:N78,$E$1:$N$1)/Pondérations!$B$16,3)</f>
        <v/>
      </c>
      <c r="P78">
        <f>1+COUNTIF($O$5:$O$206,"&gt;"&amp;O78)+COUNTIF($O$5:$O78,O78)-1</f>
        <v/>
      </c>
      <c r="Q78">
        <f>1+COUNTIFS($C$5:$C$206,C78,$O$5:$O$206,"&gt;"&amp;O78)+COUNTIFS($C$5:$C78,C78,$O$5:$O78,O78)-1</f>
        <v/>
      </c>
      <c r="R78" s="182" t="n">
        <v>0.001</v>
      </c>
      <c r="S78">
        <f>IFERROR(ROUND(O78/(D78/100),2),"")</f>
        <v/>
      </c>
    </row>
    <row r="79">
      <c r="A79">
        <f>Comparatif!A75</f>
        <v/>
      </c>
      <c r="B79">
        <f>Comparatif!B75</f>
        <v/>
      </c>
      <c r="C79" t="inlineStr">
        <is>
          <t>Dongle</t>
        </is>
      </c>
      <c r="D79">
        <f>Comparatif!AF75</f>
        <v/>
      </c>
      <c r="E79">
        <f>ROUND(10*(Comparatif!G75-E$2)/(E$3-E$2),4)</f>
        <v/>
      </c>
      <c r="F79">
        <f>ROUND(10*(Comparatif!H75-F$2)/(F$3-F$2),4)</f>
        <v/>
      </c>
      <c r="G79">
        <f>ROUND(10*(Comparatif!I75-G$2)/(G$3-G$2),4)</f>
        <v/>
      </c>
      <c r="H79">
        <f>ROUND(10*(Comparatif!J75-H$2)/(H$3-H$2),4)</f>
        <v/>
      </c>
      <c r="I79">
        <f>ROUND(10*(Comparatif!K75-I$2)/(I$3-I$2),4)</f>
        <v/>
      </c>
      <c r="J79">
        <f>ROUND(10*(Comparatif!L75-J$2)/(J$3-J$2),4)</f>
        <v/>
      </c>
      <c r="K79">
        <f>ROUND(10*(Comparatif!M75-K$2)/(K$3-K$2),4)</f>
        <v/>
      </c>
      <c r="L79">
        <f>ROUND(10*(Comparatif!N75-L$2)/(L$3-L$2),4)</f>
        <v/>
      </c>
      <c r="M79">
        <f>ROUND(10*(Comparatif!O75-M$2)/(M$3-M$2),4)</f>
        <v/>
      </c>
      <c r="N79">
        <f>ROUND(10*(Comparatif!P75-N$2)/(N$3-N$2),4)</f>
        <v/>
      </c>
      <c r="O79">
        <f>ROUND(SUMPRODUCT(E79:N79,$E$1:$N$1)/Pondérations!$B$16,3)</f>
        <v/>
      </c>
      <c r="P79">
        <f>1+COUNTIF($O$5:$O$206,"&gt;"&amp;O79)+COUNTIF($O$5:$O79,O79)-1</f>
        <v/>
      </c>
      <c r="Q79">
        <f>1+COUNTIFS($C$5:$C$206,C79,$O$5:$O$206,"&gt;"&amp;O79)+COUNTIFS($C$5:$C79,C79,$O$5:$O79,O79)-1</f>
        <v/>
      </c>
      <c r="R79" s="182" t="n">
        <v>0</v>
      </c>
      <c r="S79">
        <f>IFERROR(ROUND(O79/(D79/100),2),"")</f>
        <v/>
      </c>
    </row>
    <row r="80">
      <c r="A80">
        <f>Comparatif!A73</f>
        <v/>
      </c>
      <c r="B80">
        <f>Comparatif!B73</f>
        <v/>
      </c>
      <c r="C80" t="inlineStr">
        <is>
          <t>Dongle</t>
        </is>
      </c>
      <c r="D80">
        <f>Comparatif!AF73</f>
        <v/>
      </c>
      <c r="E80">
        <f>ROUND(10*(Comparatif!G73-E$2)/(E$3-E$2),4)</f>
        <v/>
      </c>
      <c r="F80">
        <f>ROUND(10*(Comparatif!H73-F$2)/(F$3-F$2),4)</f>
        <v/>
      </c>
      <c r="G80">
        <f>ROUND(10*(Comparatif!I73-G$2)/(G$3-G$2),4)</f>
        <v/>
      </c>
      <c r="H80">
        <f>ROUND(10*(Comparatif!J73-H$2)/(H$3-H$2),4)</f>
        <v/>
      </c>
      <c r="I80">
        <f>ROUND(10*(Comparatif!K73-I$2)/(I$3-I$2),4)</f>
        <v/>
      </c>
      <c r="J80">
        <f>ROUND(10*(Comparatif!L73-J$2)/(J$3-J$2),4)</f>
        <v/>
      </c>
      <c r="K80">
        <f>ROUND(10*(Comparatif!M73-K$2)/(K$3-K$2),4)</f>
        <v/>
      </c>
      <c r="L80">
        <f>ROUND(10*(Comparatif!N73-L$2)/(L$3-L$2),4)</f>
        <v/>
      </c>
      <c r="M80">
        <f>ROUND(10*(Comparatif!O73-M$2)/(M$3-M$2),4)</f>
        <v/>
      </c>
      <c r="N80">
        <f>ROUND(10*(Comparatif!P73-N$2)/(N$3-N$2),4)</f>
        <v/>
      </c>
      <c r="O80">
        <f>ROUND(SUMPRODUCT(E80:N80,$E$1:$N$1)/Pondérations!$B$16,3)</f>
        <v/>
      </c>
      <c r="P80">
        <f>1+COUNTIF($O$5:$O$206,"&gt;"&amp;O80)+COUNTIF($O$5:$O80,O80)-1</f>
        <v/>
      </c>
      <c r="Q80">
        <f>1+COUNTIFS($C$5:$C$206,C80,$O$5:$O$206,"&gt;"&amp;O80)+COUNTIFS($C$5:$C80,C80,$O$5:$O80,O80)-1</f>
        <v/>
      </c>
      <c r="R80" s="182" t="n">
        <v>0</v>
      </c>
      <c r="S80">
        <f>IFERROR(ROUND(O80/(D80/100),2),"")</f>
        <v/>
      </c>
    </row>
    <row r="81">
      <c r="A81">
        <f>Comparatif!A54</f>
        <v/>
      </c>
      <c r="B81">
        <f>Comparatif!B54</f>
        <v/>
      </c>
      <c r="C81" t="inlineStr">
        <is>
          <t>Dongle</t>
        </is>
      </c>
      <c r="D81">
        <f>Comparatif!AF54</f>
        <v/>
      </c>
      <c r="E81">
        <f>ROUND(10*(Comparatif!G54-E$2)/(E$3-E$2),4)</f>
        <v/>
      </c>
      <c r="F81">
        <f>ROUND(10*(Comparatif!H54-F$2)/(F$3-F$2),4)</f>
        <v/>
      </c>
      <c r="G81">
        <f>ROUND(10*(Comparatif!I54-G$2)/(G$3-G$2),4)</f>
        <v/>
      </c>
      <c r="H81">
        <f>ROUND(10*(Comparatif!J54-H$2)/(H$3-H$2),4)</f>
        <v/>
      </c>
      <c r="I81">
        <f>ROUND(10*(Comparatif!K54-I$2)/(I$3-I$2),4)</f>
        <v/>
      </c>
      <c r="J81">
        <f>ROUND(10*(Comparatif!L54-J$2)/(J$3-J$2),4)</f>
        <v/>
      </c>
      <c r="K81">
        <f>ROUND(10*(Comparatif!M54-K$2)/(K$3-K$2),4)</f>
        <v/>
      </c>
      <c r="L81">
        <f>ROUND(10*(Comparatif!N54-L$2)/(L$3-L$2),4)</f>
        <v/>
      </c>
      <c r="M81">
        <f>ROUND(10*(Comparatif!O54-M$2)/(M$3-M$2),4)</f>
        <v/>
      </c>
      <c r="N81">
        <f>ROUND(10*(Comparatif!P54-N$2)/(N$3-N$2),4)</f>
        <v/>
      </c>
      <c r="O81">
        <f>ROUND(SUMPRODUCT(E81:N81,$E$1:$N$1)/Pondérations!$B$16,3)</f>
        <v/>
      </c>
      <c r="P81">
        <f>1+COUNTIF($O$5:$O$206,"&gt;"&amp;O81)+COUNTIF($O$5:$O81,O81)-1</f>
        <v/>
      </c>
      <c r="Q81">
        <f>1+COUNTIFS($C$5:$C$206,C81,$O$5:$O$206,"&gt;"&amp;O81)+COUNTIFS($C$5:$C81,C81,$O$5:$O81,O81)-1</f>
        <v/>
      </c>
      <c r="R81" s="182" t="n">
        <v>0</v>
      </c>
      <c r="S81">
        <f>IFERROR(ROUND(O81/(D81/100),2),"")</f>
        <v/>
      </c>
    </row>
    <row r="82">
      <c r="A82">
        <f>Comparatif!A128</f>
        <v/>
      </c>
      <c r="B82">
        <f>Comparatif!B128</f>
        <v/>
      </c>
      <c r="C82" t="inlineStr">
        <is>
          <t>Dongle</t>
        </is>
      </c>
      <c r="D82">
        <f>Comparatif!AF128</f>
        <v/>
      </c>
      <c r="E82">
        <f>ROUND(10*(Comparatif!G128-E$2)/(E$3-E$2),4)</f>
        <v/>
      </c>
      <c r="F82">
        <f>ROUND(10*(Comparatif!H128-F$2)/(F$3-F$2),4)</f>
        <v/>
      </c>
      <c r="G82">
        <f>ROUND(10*(Comparatif!I128-G$2)/(G$3-G$2),4)</f>
        <v/>
      </c>
      <c r="H82">
        <f>ROUND(10*(Comparatif!J128-H$2)/(H$3-H$2),4)</f>
        <v/>
      </c>
      <c r="I82">
        <f>ROUND(10*(Comparatif!K128-I$2)/(I$3-I$2),4)</f>
        <v/>
      </c>
      <c r="J82">
        <f>ROUND(10*(Comparatif!L128-J$2)/(J$3-J$2),4)</f>
        <v/>
      </c>
      <c r="K82">
        <f>ROUND(10*(Comparatif!M128-K$2)/(K$3-K$2),4)</f>
        <v/>
      </c>
      <c r="L82">
        <f>ROUND(10*(Comparatif!N128-L$2)/(L$3-L$2),4)</f>
        <v/>
      </c>
      <c r="M82">
        <f>ROUND(10*(Comparatif!O128-M$2)/(M$3-M$2),4)</f>
        <v/>
      </c>
      <c r="N82">
        <f>ROUND(10*(Comparatif!P128-N$2)/(N$3-N$2),4)</f>
        <v/>
      </c>
      <c r="O82">
        <f>ROUND(SUMPRODUCT(E82:N82,$E$1:$N$1)/Pondérations!$B$16,3)</f>
        <v/>
      </c>
      <c r="P82">
        <f>1+COUNTIF($O$5:$O$206,"&gt;"&amp;O82)+COUNTIF($O$5:$O82,O82)-1</f>
        <v/>
      </c>
      <c r="Q82">
        <f>1+COUNTIFS($C$5:$C$206,C82,$O$5:$O$206,"&gt;"&amp;O82)+COUNTIFS($C$5:$C82,C82,$O$5:$O82,O82)-1</f>
        <v/>
      </c>
      <c r="R82" s="182" t="n">
        <v>0</v>
      </c>
      <c r="S82">
        <f>IFERROR(ROUND(O82/(D82/100),2),"")</f>
        <v/>
      </c>
    </row>
    <row r="83">
      <c r="A83">
        <f>Comparatif!A50</f>
        <v/>
      </c>
      <c r="B83">
        <f>Comparatif!B50</f>
        <v/>
      </c>
      <c r="C83" t="inlineStr">
        <is>
          <t>Bluetooth</t>
        </is>
      </c>
      <c r="D83">
        <f>Comparatif!AF50</f>
        <v/>
      </c>
      <c r="E83">
        <f>ROUND(10*(Comparatif!G50-E$2)/(E$3-E$2),4)</f>
        <v/>
      </c>
      <c r="F83">
        <f>ROUND(10*(Comparatif!H50-F$2)/(F$3-F$2),4)</f>
        <v/>
      </c>
      <c r="G83">
        <f>ROUND(10*(Comparatif!I50-G$2)/(G$3-G$2),4)</f>
        <v/>
      </c>
      <c r="H83">
        <f>ROUND(10*(Comparatif!J50-H$2)/(H$3-H$2),4)</f>
        <v/>
      </c>
      <c r="I83">
        <f>ROUND(10*(Comparatif!K50-I$2)/(I$3-I$2),4)</f>
        <v/>
      </c>
      <c r="J83">
        <f>ROUND(10*(Comparatif!L50-J$2)/(J$3-J$2),4)</f>
        <v/>
      </c>
      <c r="K83">
        <f>ROUND(10*(Comparatif!M50-K$2)/(K$3-K$2),4)</f>
        <v/>
      </c>
      <c r="L83">
        <f>ROUND(10*(Comparatif!N50-L$2)/(L$3-L$2),4)</f>
        <v/>
      </c>
      <c r="M83">
        <f>ROUND(10*(Comparatif!O50-M$2)/(M$3-M$2),4)</f>
        <v/>
      </c>
      <c r="N83">
        <f>ROUND(10*(Comparatif!P50-N$2)/(N$3-N$2),4)</f>
        <v/>
      </c>
      <c r="O83">
        <f>ROUND(SUMPRODUCT(E83:N83,$E$1:$N$1)/Pondérations!$B$16,3)</f>
        <v/>
      </c>
      <c r="P83">
        <f>1+COUNTIF($O$5:$O$206,"&gt;"&amp;O83)+COUNTIF($O$5:$O83,O83)-1</f>
        <v/>
      </c>
      <c r="Q83">
        <f>1+COUNTIFS($C$5:$C$206,C83,$O$5:$O$206,"&gt;"&amp;O83)+COUNTIFS($C$5:$C83,C83,$O$5:$O83,O83)-1</f>
        <v/>
      </c>
      <c r="R83" s="182" t="n">
        <v>0.5815</v>
      </c>
      <c r="S83">
        <f>IFERROR(ROUND(O83/(D83/100),2),"")</f>
        <v/>
      </c>
    </row>
    <row r="84">
      <c r="A84">
        <f>Comparatif!A82</f>
        <v/>
      </c>
      <c r="B84">
        <f>Comparatif!B82</f>
        <v/>
      </c>
      <c r="C84" t="inlineStr">
        <is>
          <t>Dongle</t>
        </is>
      </c>
      <c r="D84">
        <f>Comparatif!AF82</f>
        <v/>
      </c>
      <c r="E84">
        <f>ROUND(10*(Comparatif!G82-E$2)/(E$3-E$2),4)</f>
        <v/>
      </c>
      <c r="F84">
        <f>ROUND(10*(Comparatif!H82-F$2)/(F$3-F$2),4)</f>
        <v/>
      </c>
      <c r="G84">
        <f>ROUND(10*(Comparatif!I82-G$2)/(G$3-G$2),4)</f>
        <v/>
      </c>
      <c r="H84">
        <f>ROUND(10*(Comparatif!J82-H$2)/(H$3-H$2),4)</f>
        <v/>
      </c>
      <c r="I84">
        <f>ROUND(10*(Comparatif!K82-I$2)/(I$3-I$2),4)</f>
        <v/>
      </c>
      <c r="J84">
        <f>ROUND(10*(Comparatif!L82-J$2)/(J$3-J$2),4)</f>
        <v/>
      </c>
      <c r="K84">
        <f>ROUND(10*(Comparatif!M82-K$2)/(K$3-K$2),4)</f>
        <v/>
      </c>
      <c r="L84">
        <f>ROUND(10*(Comparatif!N82-L$2)/(L$3-L$2),4)</f>
        <v/>
      </c>
      <c r="M84">
        <f>ROUND(10*(Comparatif!O82-M$2)/(M$3-M$2),4)</f>
        <v/>
      </c>
      <c r="N84">
        <f>ROUND(10*(Comparatif!P82-N$2)/(N$3-N$2),4)</f>
        <v/>
      </c>
      <c r="O84">
        <f>ROUND(SUMPRODUCT(E84:N84,$E$1:$N$1)/Pondérations!$B$16,3)</f>
        <v/>
      </c>
      <c r="P84">
        <f>1+COUNTIF($O$5:$O$206,"&gt;"&amp;O84)+COUNTIF($O$5:$O84,O84)-1</f>
        <v/>
      </c>
      <c r="Q84">
        <f>1+COUNTIFS($C$5:$C$206,C84,$O$5:$O$206,"&gt;"&amp;O84)+COUNTIFS($C$5:$C84,C84,$O$5:$O84,O84)-1</f>
        <v/>
      </c>
      <c r="R84" s="182" t="n">
        <v>0</v>
      </c>
      <c r="S84">
        <f>IFERROR(ROUND(O84/(D84/100),2),"")</f>
        <v/>
      </c>
    </row>
    <row r="85">
      <c r="A85">
        <f>Comparatif!A130</f>
        <v/>
      </c>
      <c r="B85">
        <f>Comparatif!B130</f>
        <v/>
      </c>
      <c r="C85" t="inlineStr">
        <is>
          <t>Portable batterie</t>
        </is>
      </c>
      <c r="D85">
        <f>Comparatif!AF130</f>
        <v/>
      </c>
      <c r="E85">
        <f>ROUND(10*(Comparatif!G130-E$2)/(E$3-E$2),4)</f>
        <v/>
      </c>
      <c r="F85">
        <f>ROUND(10*(Comparatif!H130-F$2)/(F$3-F$2),4)</f>
        <v/>
      </c>
      <c r="G85">
        <f>ROUND(10*(Comparatif!I130-G$2)/(G$3-G$2),4)</f>
        <v/>
      </c>
      <c r="H85">
        <f>ROUND(10*(Comparatif!J130-H$2)/(H$3-H$2),4)</f>
        <v/>
      </c>
      <c r="I85">
        <f>ROUND(10*(Comparatif!K130-I$2)/(I$3-I$2),4)</f>
        <v/>
      </c>
      <c r="J85">
        <f>ROUND(10*(Comparatif!L130-J$2)/(J$3-J$2),4)</f>
        <v/>
      </c>
      <c r="K85">
        <f>ROUND(10*(Comparatif!M130-K$2)/(K$3-K$2),4)</f>
        <v/>
      </c>
      <c r="L85">
        <f>ROUND(10*(Comparatif!N130-L$2)/(L$3-L$2),4)</f>
        <v/>
      </c>
      <c r="M85">
        <f>ROUND(10*(Comparatif!O130-M$2)/(M$3-M$2),4)</f>
        <v/>
      </c>
      <c r="N85">
        <f>ROUND(10*(Comparatif!P130-N$2)/(N$3-N$2),4)</f>
        <v/>
      </c>
      <c r="O85">
        <f>ROUND(SUMPRODUCT(E85:N85,$E$1:$N$1)/Pondérations!$B$16,3)</f>
        <v/>
      </c>
      <c r="P85">
        <f>1+COUNTIF($O$5:$O$206,"&gt;"&amp;O85)+COUNTIF($O$5:$O85,O85)-1</f>
        <v/>
      </c>
      <c r="Q85">
        <f>1+COUNTIFS($C$5:$C$206,C85,$O$5:$O$206,"&gt;"&amp;O85)+COUNTIFS($C$5:$C85,C85,$O$5:$O85,O85)-1</f>
        <v/>
      </c>
      <c r="R85" s="182" t="n">
        <v>0</v>
      </c>
      <c r="S85">
        <f>IFERROR(ROUND(O85/(D85/100),2),"")</f>
        <v/>
      </c>
    </row>
    <row r="86">
      <c r="A86">
        <f>Comparatif!A165</f>
        <v/>
      </c>
      <c r="B86">
        <f>Comparatif!B165</f>
        <v/>
      </c>
      <c r="C86" t="inlineStr">
        <is>
          <t>À classer</t>
        </is>
      </c>
      <c r="D86">
        <f>Comparatif!AF165</f>
        <v/>
      </c>
      <c r="E86">
        <f>ROUND(10*(Comparatif!G165-E$2)/(E$3-E$2),4)</f>
        <v/>
      </c>
      <c r="F86">
        <f>ROUND(10*(Comparatif!H165-F$2)/(F$3-F$2),4)</f>
        <v/>
      </c>
      <c r="G86">
        <f>ROUND(10*(Comparatif!I165-G$2)/(G$3-G$2),4)</f>
        <v/>
      </c>
      <c r="H86">
        <f>ROUND(10*(Comparatif!J165-H$2)/(H$3-H$2),4)</f>
        <v/>
      </c>
      <c r="I86">
        <f>ROUND(10*(Comparatif!K165-I$2)/(I$3-I$2),4)</f>
        <v/>
      </c>
      <c r="J86">
        <f>ROUND(10*(Comparatif!L165-J$2)/(J$3-J$2),4)</f>
        <v/>
      </c>
      <c r="K86">
        <f>ROUND(10*(Comparatif!M165-K$2)/(K$3-K$2),4)</f>
        <v/>
      </c>
      <c r="L86">
        <f>ROUND(10*(Comparatif!N165-L$2)/(L$3-L$2),4)</f>
        <v/>
      </c>
      <c r="M86">
        <f>ROUND(10*(Comparatif!O165-M$2)/(M$3-M$2),4)</f>
        <v/>
      </c>
      <c r="N86">
        <f>ROUND(10*(Comparatif!P165-N$2)/(N$3-N$2),4)</f>
        <v/>
      </c>
      <c r="O86">
        <f>ROUND(SUMPRODUCT(E86:N86,$E$1:$N$1)/Pondérations!$B$16,3)</f>
        <v/>
      </c>
      <c r="P86">
        <f>1+COUNTIF($O$5:$O$206,"&gt;"&amp;O86)+COUNTIF($O$5:$O86,O86)-1</f>
        <v/>
      </c>
      <c r="Q86">
        <f>1+COUNTIFS($C$5:$C$206,C86,$O$5:$O$206,"&gt;"&amp;O86)+COUNTIFS($C$5:$C86,C86,$O$5:$O86,O86)-1</f>
        <v/>
      </c>
      <c r="R86" s="182" t="n">
        <v>0</v>
      </c>
      <c r="S86">
        <f>IFERROR(ROUND(O86/(D86/100),2),"")</f>
        <v/>
      </c>
    </row>
    <row r="87">
      <c r="A87">
        <f>Comparatif!A39</f>
        <v/>
      </c>
      <c r="B87">
        <f>Comparatif!B39</f>
        <v/>
      </c>
      <c r="C87" t="inlineStr">
        <is>
          <t>Bluetooth</t>
        </is>
      </c>
      <c r="D87">
        <f>Comparatif!AF39</f>
        <v/>
      </c>
      <c r="E87">
        <f>ROUND(10*(Comparatif!G39-E$2)/(E$3-E$2),4)</f>
        <v/>
      </c>
      <c r="F87">
        <f>ROUND(10*(Comparatif!H39-F$2)/(F$3-F$2),4)</f>
        <v/>
      </c>
      <c r="G87">
        <f>ROUND(10*(Comparatif!I39-G$2)/(G$3-G$2),4)</f>
        <v/>
      </c>
      <c r="H87">
        <f>ROUND(10*(Comparatif!J39-H$2)/(H$3-H$2),4)</f>
        <v/>
      </c>
      <c r="I87">
        <f>ROUND(10*(Comparatif!K39-I$2)/(I$3-I$2),4)</f>
        <v/>
      </c>
      <c r="J87">
        <f>ROUND(10*(Comparatif!L39-J$2)/(J$3-J$2),4)</f>
        <v/>
      </c>
      <c r="K87">
        <f>ROUND(10*(Comparatif!M39-K$2)/(K$3-K$2),4)</f>
        <v/>
      </c>
      <c r="L87">
        <f>ROUND(10*(Comparatif!N39-L$2)/(L$3-L$2),4)</f>
        <v/>
      </c>
      <c r="M87">
        <f>ROUND(10*(Comparatif!O39-M$2)/(M$3-M$2),4)</f>
        <v/>
      </c>
      <c r="N87">
        <f>ROUND(10*(Comparatif!P39-N$2)/(N$3-N$2),4)</f>
        <v/>
      </c>
      <c r="O87">
        <f>ROUND(SUMPRODUCT(E87:N87,$E$1:$N$1)/Pondérations!$B$16,3)</f>
        <v/>
      </c>
      <c r="P87">
        <f>1+COUNTIF($O$5:$O$206,"&gt;"&amp;O87)+COUNTIF($O$5:$O87,O87)-1</f>
        <v/>
      </c>
      <c r="Q87">
        <f>1+COUNTIFS($C$5:$C$206,C87,$O$5:$O$206,"&gt;"&amp;O87)+COUNTIFS($C$5:$C87,C87,$O$5:$O87,O87)-1</f>
        <v/>
      </c>
      <c r="R87" s="182" t="n">
        <v>0.645</v>
      </c>
      <c r="S87">
        <f>IFERROR(ROUND(O87/(D87/100),2),"")</f>
        <v/>
      </c>
    </row>
    <row r="88">
      <c r="A88">
        <f>Comparatif!A96</f>
        <v/>
      </c>
      <c r="B88">
        <f>Comparatif!B96</f>
        <v/>
      </c>
      <c r="C88" t="inlineStr">
        <is>
          <t>Dongle</t>
        </is>
      </c>
      <c r="D88">
        <f>Comparatif!AF96</f>
        <v/>
      </c>
      <c r="E88">
        <f>ROUND(10*(Comparatif!G96-E$2)/(E$3-E$2),4)</f>
        <v/>
      </c>
      <c r="F88">
        <f>ROUND(10*(Comparatif!H96-F$2)/(F$3-F$2),4)</f>
        <v/>
      </c>
      <c r="G88">
        <f>ROUND(10*(Comparatif!I96-G$2)/(G$3-G$2),4)</f>
        <v/>
      </c>
      <c r="H88">
        <f>ROUND(10*(Comparatif!J96-H$2)/(H$3-H$2),4)</f>
        <v/>
      </c>
      <c r="I88">
        <f>ROUND(10*(Comparatif!K96-I$2)/(I$3-I$2),4)</f>
        <v/>
      </c>
      <c r="J88">
        <f>ROUND(10*(Comparatif!L96-J$2)/(J$3-J$2),4)</f>
        <v/>
      </c>
      <c r="K88">
        <f>ROUND(10*(Comparatif!M96-K$2)/(K$3-K$2),4)</f>
        <v/>
      </c>
      <c r="L88">
        <f>ROUND(10*(Comparatif!N96-L$2)/(L$3-L$2),4)</f>
        <v/>
      </c>
      <c r="M88">
        <f>ROUND(10*(Comparatif!O96-M$2)/(M$3-M$2),4)</f>
        <v/>
      </c>
      <c r="N88">
        <f>ROUND(10*(Comparatif!P96-N$2)/(N$3-N$2),4)</f>
        <v/>
      </c>
      <c r="O88">
        <f>ROUND(SUMPRODUCT(E88:N88,$E$1:$N$1)/Pondérations!$B$16,3)</f>
        <v/>
      </c>
      <c r="P88">
        <f>1+COUNTIF($O$5:$O$206,"&gt;"&amp;O88)+COUNTIF($O$5:$O88,O88)-1</f>
        <v/>
      </c>
      <c r="Q88">
        <f>1+COUNTIFS($C$5:$C$206,C88,$O$5:$O$206,"&gt;"&amp;O88)+COUNTIFS($C$5:$C88,C88,$O$5:$O88,O88)-1</f>
        <v/>
      </c>
      <c r="R88" s="182" t="n">
        <v>0</v>
      </c>
      <c r="S88">
        <f>IFERROR(ROUND(O88/(D88/100),2),"")</f>
        <v/>
      </c>
    </row>
    <row r="89">
      <c r="A89">
        <f>Comparatif!A154</f>
        <v/>
      </c>
      <c r="B89">
        <f>Comparatif!B154</f>
        <v/>
      </c>
      <c r="C89" t="inlineStr">
        <is>
          <t>Portable batterie</t>
        </is>
      </c>
      <c r="D89">
        <f>Comparatif!AF154</f>
        <v/>
      </c>
      <c r="E89">
        <f>ROUND(10*(Comparatif!G154-E$2)/(E$3-E$2),4)</f>
        <v/>
      </c>
      <c r="F89">
        <f>ROUND(10*(Comparatif!H154-F$2)/(F$3-F$2),4)</f>
        <v/>
      </c>
      <c r="G89">
        <f>ROUND(10*(Comparatif!I154-G$2)/(G$3-G$2),4)</f>
        <v/>
      </c>
      <c r="H89">
        <f>ROUND(10*(Comparatif!J154-H$2)/(H$3-H$2),4)</f>
        <v/>
      </c>
      <c r="I89">
        <f>ROUND(10*(Comparatif!K154-I$2)/(I$3-I$2),4)</f>
        <v/>
      </c>
      <c r="J89">
        <f>ROUND(10*(Comparatif!L154-J$2)/(J$3-J$2),4)</f>
        <v/>
      </c>
      <c r="K89">
        <f>ROUND(10*(Comparatif!M154-K$2)/(K$3-K$2),4)</f>
        <v/>
      </c>
      <c r="L89">
        <f>ROUND(10*(Comparatif!N154-L$2)/(L$3-L$2),4)</f>
        <v/>
      </c>
      <c r="M89">
        <f>ROUND(10*(Comparatif!O154-M$2)/(M$3-M$2),4)</f>
        <v/>
      </c>
      <c r="N89">
        <f>ROUND(10*(Comparatif!P154-N$2)/(N$3-N$2),4)</f>
        <v/>
      </c>
      <c r="O89">
        <f>ROUND(SUMPRODUCT(E89:N89,$E$1:$N$1)/Pondérations!$B$16,3)</f>
        <v/>
      </c>
      <c r="P89">
        <f>1+COUNTIF($O$5:$O$206,"&gt;"&amp;O89)+COUNTIF($O$5:$O89,O89)-1</f>
        <v/>
      </c>
      <c r="Q89">
        <f>1+COUNTIFS($C$5:$C$206,C89,$O$5:$O$206,"&gt;"&amp;O89)+COUNTIFS($C$5:$C89,C89,$O$5:$O89,O89)-1</f>
        <v/>
      </c>
      <c r="R89" s="182" t="n">
        <v>0</v>
      </c>
      <c r="S89">
        <f>IFERROR(ROUND(O89/(D89/100),2),"")</f>
        <v/>
      </c>
    </row>
    <row r="90">
      <c r="A90">
        <f>Comparatif!A150</f>
        <v/>
      </c>
      <c r="B90">
        <f>Comparatif!B150</f>
        <v/>
      </c>
      <c r="C90" t="inlineStr">
        <is>
          <t>Portable batterie</t>
        </is>
      </c>
      <c r="D90">
        <f>Comparatif!AF150</f>
        <v/>
      </c>
      <c r="E90">
        <f>ROUND(10*(Comparatif!G150-E$2)/(E$3-E$2),4)</f>
        <v/>
      </c>
      <c r="F90">
        <f>ROUND(10*(Comparatif!H150-F$2)/(F$3-F$2),4)</f>
        <v/>
      </c>
      <c r="G90">
        <f>ROUND(10*(Comparatif!I150-G$2)/(G$3-G$2),4)</f>
        <v/>
      </c>
      <c r="H90">
        <f>ROUND(10*(Comparatif!J150-H$2)/(H$3-H$2),4)</f>
        <v/>
      </c>
      <c r="I90">
        <f>ROUND(10*(Comparatif!K150-I$2)/(I$3-I$2),4)</f>
        <v/>
      </c>
      <c r="J90">
        <f>ROUND(10*(Comparatif!L150-J$2)/(J$3-J$2),4)</f>
        <v/>
      </c>
      <c r="K90">
        <f>ROUND(10*(Comparatif!M150-K$2)/(K$3-K$2),4)</f>
        <v/>
      </c>
      <c r="L90">
        <f>ROUND(10*(Comparatif!N150-L$2)/(L$3-L$2),4)</f>
        <v/>
      </c>
      <c r="M90">
        <f>ROUND(10*(Comparatif!O150-M$2)/(M$3-M$2),4)</f>
        <v/>
      </c>
      <c r="N90">
        <f>ROUND(10*(Comparatif!P150-N$2)/(N$3-N$2),4)</f>
        <v/>
      </c>
      <c r="O90">
        <f>ROUND(SUMPRODUCT(E90:N90,$E$1:$N$1)/Pondérations!$B$16,3)</f>
        <v/>
      </c>
      <c r="P90">
        <f>1+COUNTIF($O$5:$O$206,"&gt;"&amp;O90)+COUNTIF($O$5:$O90,O90)-1</f>
        <v/>
      </c>
      <c r="Q90">
        <f>1+COUNTIFS($C$5:$C$206,C90,$O$5:$O$206,"&gt;"&amp;O90)+COUNTIFS($C$5:$C90,C90,$O$5:$O90,O90)-1</f>
        <v/>
      </c>
      <c r="R90" s="182" t="n">
        <v>0</v>
      </c>
      <c r="S90">
        <f>IFERROR(ROUND(O90/(D90/100),2),"")</f>
        <v/>
      </c>
    </row>
    <row r="91">
      <c r="A91">
        <f>Comparatif!A66</f>
        <v/>
      </c>
      <c r="B91">
        <f>Comparatif!B66</f>
        <v/>
      </c>
      <c r="C91" t="inlineStr">
        <is>
          <t>Dongle</t>
        </is>
      </c>
      <c r="D91">
        <f>Comparatif!AF66</f>
        <v/>
      </c>
      <c r="E91">
        <f>ROUND(10*(Comparatif!G66-E$2)/(E$3-E$2),4)</f>
        <v/>
      </c>
      <c r="F91">
        <f>ROUND(10*(Comparatif!H66-F$2)/(F$3-F$2),4)</f>
        <v/>
      </c>
      <c r="G91">
        <f>ROUND(10*(Comparatif!I66-G$2)/(G$3-G$2),4)</f>
        <v/>
      </c>
      <c r="H91">
        <f>ROUND(10*(Comparatif!J66-H$2)/(H$3-H$2),4)</f>
        <v/>
      </c>
      <c r="I91">
        <f>ROUND(10*(Comparatif!K66-I$2)/(I$3-I$2),4)</f>
        <v/>
      </c>
      <c r="J91">
        <f>ROUND(10*(Comparatif!L66-J$2)/(J$3-J$2),4)</f>
        <v/>
      </c>
      <c r="K91">
        <f>ROUND(10*(Comparatif!M66-K$2)/(K$3-K$2),4)</f>
        <v/>
      </c>
      <c r="L91">
        <f>ROUND(10*(Comparatif!N66-L$2)/(L$3-L$2),4)</f>
        <v/>
      </c>
      <c r="M91">
        <f>ROUND(10*(Comparatif!O66-M$2)/(M$3-M$2),4)</f>
        <v/>
      </c>
      <c r="N91">
        <f>ROUND(10*(Comparatif!P66-N$2)/(N$3-N$2),4)</f>
        <v/>
      </c>
      <c r="O91">
        <f>ROUND(SUMPRODUCT(E91:N91,$E$1:$N$1)/Pondérations!$B$16,3)</f>
        <v/>
      </c>
      <c r="P91">
        <f>1+COUNTIF($O$5:$O$206,"&gt;"&amp;O91)+COUNTIF($O$5:$O91,O91)-1</f>
        <v/>
      </c>
      <c r="Q91">
        <f>1+COUNTIFS($C$5:$C$206,C91,$O$5:$O$206,"&gt;"&amp;O91)+COUNTIFS($C$5:$C91,C91,$O$5:$O91,O91)-1</f>
        <v/>
      </c>
      <c r="R91" s="182" t="n">
        <v>0</v>
      </c>
      <c r="S91">
        <f>IFERROR(ROUND(O91/(D91/100),2),"")</f>
        <v/>
      </c>
    </row>
    <row r="92">
      <c r="A92">
        <f>Comparatif!A125</f>
        <v/>
      </c>
      <c r="B92">
        <f>Comparatif!B125</f>
        <v/>
      </c>
      <c r="C92" t="inlineStr">
        <is>
          <t>Dongle</t>
        </is>
      </c>
      <c r="D92">
        <f>Comparatif!AF125</f>
        <v/>
      </c>
      <c r="E92">
        <f>ROUND(10*(Comparatif!G125-E$2)/(E$3-E$2),4)</f>
        <v/>
      </c>
      <c r="F92">
        <f>ROUND(10*(Comparatif!H125-F$2)/(F$3-F$2),4)</f>
        <v/>
      </c>
      <c r="G92">
        <f>ROUND(10*(Comparatif!I125-G$2)/(G$3-G$2),4)</f>
        <v/>
      </c>
      <c r="H92">
        <f>ROUND(10*(Comparatif!J125-H$2)/(H$3-H$2),4)</f>
        <v/>
      </c>
      <c r="I92">
        <f>ROUND(10*(Comparatif!K125-I$2)/(I$3-I$2),4)</f>
        <v/>
      </c>
      <c r="J92">
        <f>ROUND(10*(Comparatif!L125-J$2)/(J$3-J$2),4)</f>
        <v/>
      </c>
      <c r="K92">
        <f>ROUND(10*(Comparatif!M125-K$2)/(K$3-K$2),4)</f>
        <v/>
      </c>
      <c r="L92">
        <f>ROUND(10*(Comparatif!N125-L$2)/(L$3-L$2),4)</f>
        <v/>
      </c>
      <c r="M92">
        <f>ROUND(10*(Comparatif!O125-M$2)/(M$3-M$2),4)</f>
        <v/>
      </c>
      <c r="N92">
        <f>ROUND(10*(Comparatif!P125-N$2)/(N$3-N$2),4)</f>
        <v/>
      </c>
      <c r="O92">
        <f>ROUND(SUMPRODUCT(E92:N92,$E$1:$N$1)/Pondérations!$B$16,3)</f>
        <v/>
      </c>
      <c r="P92">
        <f>1+COUNTIF($O$5:$O$206,"&gt;"&amp;O92)+COUNTIF($O$5:$O92,O92)-1</f>
        <v/>
      </c>
      <c r="Q92">
        <f>1+COUNTIFS($C$5:$C$206,C92,$O$5:$O$206,"&gt;"&amp;O92)+COUNTIFS($C$5:$C92,C92,$O$5:$O92,O92)-1</f>
        <v/>
      </c>
      <c r="R92" s="182" t="n">
        <v>0</v>
      </c>
      <c r="S92">
        <f>IFERROR(ROUND(O92/(D92/100),2),"")</f>
        <v/>
      </c>
    </row>
    <row r="93">
      <c r="A93">
        <f>Comparatif!A135</f>
        <v/>
      </c>
      <c r="B93">
        <f>Comparatif!B135</f>
        <v/>
      </c>
      <c r="C93" t="inlineStr">
        <is>
          <t>Dongle</t>
        </is>
      </c>
      <c r="D93">
        <f>Comparatif!AF135</f>
        <v/>
      </c>
      <c r="E93">
        <f>ROUND(10*(Comparatif!G135-E$2)/(E$3-E$2),4)</f>
        <v/>
      </c>
      <c r="F93">
        <f>ROUND(10*(Comparatif!H135-F$2)/(F$3-F$2),4)</f>
        <v/>
      </c>
      <c r="G93">
        <f>ROUND(10*(Comparatif!I135-G$2)/(G$3-G$2),4)</f>
        <v/>
      </c>
      <c r="H93">
        <f>ROUND(10*(Comparatif!J135-H$2)/(H$3-H$2),4)</f>
        <v/>
      </c>
      <c r="I93">
        <f>ROUND(10*(Comparatif!K135-I$2)/(I$3-I$2),4)</f>
        <v/>
      </c>
      <c r="J93">
        <f>ROUND(10*(Comparatif!L135-J$2)/(J$3-J$2),4)</f>
        <v/>
      </c>
      <c r="K93">
        <f>ROUND(10*(Comparatif!M135-K$2)/(K$3-K$2),4)</f>
        <v/>
      </c>
      <c r="L93">
        <f>ROUND(10*(Comparatif!N135-L$2)/(L$3-L$2),4)</f>
        <v/>
      </c>
      <c r="M93">
        <f>ROUND(10*(Comparatif!O135-M$2)/(M$3-M$2),4)</f>
        <v/>
      </c>
      <c r="N93">
        <f>ROUND(10*(Comparatif!P135-N$2)/(N$3-N$2),4)</f>
        <v/>
      </c>
      <c r="O93">
        <f>ROUND(SUMPRODUCT(E93:N93,$E$1:$N$1)/Pondérations!$B$16,3)</f>
        <v/>
      </c>
      <c r="P93">
        <f>1+COUNTIF($O$5:$O$206,"&gt;"&amp;O93)+COUNTIF($O$5:$O93,O93)-1</f>
        <v/>
      </c>
      <c r="Q93">
        <f>1+COUNTIFS($C$5:$C$206,C93,$O$5:$O$206,"&gt;"&amp;O93)+COUNTIFS($C$5:$C93,C93,$O$5:$O93,O93)-1</f>
        <v/>
      </c>
      <c r="R93" s="182" t="n">
        <v>0</v>
      </c>
      <c r="S93">
        <f>IFERROR(ROUND(O93/(D93/100),2),"")</f>
        <v/>
      </c>
    </row>
    <row r="94">
      <c r="A94">
        <f>Comparatif!A148</f>
        <v/>
      </c>
      <c r="B94">
        <f>Comparatif!B148</f>
        <v/>
      </c>
      <c r="C94" t="inlineStr">
        <is>
          <t>Dongle</t>
        </is>
      </c>
      <c r="D94">
        <f>Comparatif!AF148</f>
        <v/>
      </c>
      <c r="E94">
        <f>ROUND(10*(Comparatif!G148-E$2)/(E$3-E$2),4)</f>
        <v/>
      </c>
      <c r="F94">
        <f>ROUND(10*(Comparatif!H148-F$2)/(F$3-F$2),4)</f>
        <v/>
      </c>
      <c r="G94">
        <f>ROUND(10*(Comparatif!I148-G$2)/(G$3-G$2),4)</f>
        <v/>
      </c>
      <c r="H94">
        <f>ROUND(10*(Comparatif!J148-H$2)/(H$3-H$2),4)</f>
        <v/>
      </c>
      <c r="I94">
        <f>ROUND(10*(Comparatif!K148-I$2)/(I$3-I$2),4)</f>
        <v/>
      </c>
      <c r="J94">
        <f>ROUND(10*(Comparatif!L148-J$2)/(J$3-J$2),4)</f>
        <v/>
      </c>
      <c r="K94">
        <f>ROUND(10*(Comparatif!M148-K$2)/(K$3-K$2),4)</f>
        <v/>
      </c>
      <c r="L94">
        <f>ROUND(10*(Comparatif!N148-L$2)/(L$3-L$2),4)</f>
        <v/>
      </c>
      <c r="M94">
        <f>ROUND(10*(Comparatif!O148-M$2)/(M$3-M$2),4)</f>
        <v/>
      </c>
      <c r="N94">
        <f>ROUND(10*(Comparatif!P148-N$2)/(N$3-N$2),4)</f>
        <v/>
      </c>
      <c r="O94">
        <f>ROUND(SUMPRODUCT(E94:N94,$E$1:$N$1)/Pondérations!$B$16,3)</f>
        <v/>
      </c>
      <c r="P94">
        <f>1+COUNTIF($O$5:$O$206,"&gt;"&amp;O94)+COUNTIF($O$5:$O94,O94)-1</f>
        <v/>
      </c>
      <c r="Q94">
        <f>1+COUNTIFS($C$5:$C$206,C94,$O$5:$O$206,"&gt;"&amp;O94)+COUNTIFS($C$5:$C94,C94,$O$5:$O94,O94)-1</f>
        <v/>
      </c>
      <c r="R94" s="182" t="n">
        <v>0</v>
      </c>
      <c r="S94">
        <f>IFERROR(ROUND(O94/(D94/100),2),"")</f>
        <v/>
      </c>
    </row>
    <row r="95">
      <c r="A95">
        <f>Comparatif!A88</f>
        <v/>
      </c>
      <c r="B95">
        <f>Comparatif!B88</f>
        <v/>
      </c>
      <c r="C95" t="inlineStr">
        <is>
          <t>Portable batterie</t>
        </is>
      </c>
      <c r="D95">
        <f>Comparatif!AF88</f>
        <v/>
      </c>
      <c r="E95">
        <f>ROUND(10*(Comparatif!G88-E$2)/(E$3-E$2),4)</f>
        <v/>
      </c>
      <c r="F95">
        <f>ROUND(10*(Comparatif!H88-F$2)/(F$3-F$2),4)</f>
        <v/>
      </c>
      <c r="G95">
        <f>ROUND(10*(Comparatif!I88-G$2)/(G$3-G$2),4)</f>
        <v/>
      </c>
      <c r="H95">
        <f>ROUND(10*(Comparatif!J88-H$2)/(H$3-H$2),4)</f>
        <v/>
      </c>
      <c r="I95">
        <f>ROUND(10*(Comparatif!K88-I$2)/(I$3-I$2),4)</f>
        <v/>
      </c>
      <c r="J95">
        <f>ROUND(10*(Comparatif!L88-J$2)/(J$3-J$2),4)</f>
        <v/>
      </c>
      <c r="K95">
        <f>ROUND(10*(Comparatif!M88-K$2)/(K$3-K$2),4)</f>
        <v/>
      </c>
      <c r="L95">
        <f>ROUND(10*(Comparatif!N88-L$2)/(L$3-L$2),4)</f>
        <v/>
      </c>
      <c r="M95">
        <f>ROUND(10*(Comparatif!O88-M$2)/(M$3-M$2),4)</f>
        <v/>
      </c>
      <c r="N95">
        <f>ROUND(10*(Comparatif!P88-N$2)/(N$3-N$2),4)</f>
        <v/>
      </c>
      <c r="O95">
        <f>ROUND(SUMPRODUCT(E95:N95,$E$1:$N$1)/Pondérations!$B$16,3)</f>
        <v/>
      </c>
      <c r="P95">
        <f>1+COUNTIF($O$5:$O$206,"&gt;"&amp;O95)+COUNTIF($O$5:$O95,O95)-1</f>
        <v/>
      </c>
      <c r="Q95">
        <f>1+COUNTIFS($C$5:$C$206,C95,$O$5:$O$206,"&gt;"&amp;O95)+COUNTIFS($C$5:$C95,C95,$O$5:$O95,O95)-1</f>
        <v/>
      </c>
      <c r="R95" s="182" t="n">
        <v>0</v>
      </c>
      <c r="S95">
        <f>IFERROR(ROUND(O95/(D95/100),2),"")</f>
        <v/>
      </c>
    </row>
    <row r="96">
      <c r="A96">
        <f>Comparatif!A171</f>
        <v/>
      </c>
      <c r="B96">
        <f>Comparatif!B171</f>
        <v/>
      </c>
      <c r="C96" t="inlineStr">
        <is>
          <t>Dongle</t>
        </is>
      </c>
      <c r="D96">
        <f>Comparatif!AF171</f>
        <v/>
      </c>
      <c r="E96">
        <f>ROUND(10*(Comparatif!G171-E$2)/(E$3-E$2),4)</f>
        <v/>
      </c>
      <c r="F96">
        <f>ROUND(10*(Comparatif!H171-F$2)/(F$3-F$2),4)</f>
        <v/>
      </c>
      <c r="G96">
        <f>ROUND(10*(Comparatif!I171-G$2)/(G$3-G$2),4)</f>
        <v/>
      </c>
      <c r="H96">
        <f>ROUND(10*(Comparatif!J171-H$2)/(H$3-H$2),4)</f>
        <v/>
      </c>
      <c r="I96">
        <f>ROUND(10*(Comparatif!K171-I$2)/(I$3-I$2),4)</f>
        <v/>
      </c>
      <c r="J96">
        <f>ROUND(10*(Comparatif!L171-J$2)/(J$3-J$2),4)</f>
        <v/>
      </c>
      <c r="K96">
        <f>ROUND(10*(Comparatif!M171-K$2)/(K$3-K$2),4)</f>
        <v/>
      </c>
      <c r="L96">
        <f>ROUND(10*(Comparatif!N171-L$2)/(L$3-L$2),4)</f>
        <v/>
      </c>
      <c r="M96">
        <f>ROUND(10*(Comparatif!O171-M$2)/(M$3-M$2),4)</f>
        <v/>
      </c>
      <c r="N96">
        <f>ROUND(10*(Comparatif!P171-N$2)/(N$3-N$2),4)</f>
        <v/>
      </c>
      <c r="O96">
        <f>ROUND(SUMPRODUCT(E96:N96,$E$1:$N$1)/Pondérations!$B$16,3)</f>
        <v/>
      </c>
      <c r="P96">
        <f>1+COUNTIF($O$5:$O$206,"&gt;"&amp;O96)+COUNTIF($O$5:$O96,O96)-1</f>
        <v/>
      </c>
      <c r="Q96">
        <f>1+COUNTIFS($C$5:$C$206,C96,$O$5:$O$206,"&gt;"&amp;O96)+COUNTIFS($C$5:$C96,C96,$O$5:$O96,O96)-1</f>
        <v/>
      </c>
      <c r="R96" s="182" t="n">
        <v>0.0155</v>
      </c>
      <c r="S96">
        <f>IFERROR(ROUND(O96/(D96/100),2),"")</f>
        <v/>
      </c>
    </row>
    <row r="97">
      <c r="A97">
        <f>Comparatif!A47</f>
        <v/>
      </c>
      <c r="B97">
        <f>Comparatif!B47</f>
        <v/>
      </c>
      <c r="C97" t="inlineStr">
        <is>
          <t>Dongle</t>
        </is>
      </c>
      <c r="D97">
        <f>Comparatif!AF47</f>
        <v/>
      </c>
      <c r="E97">
        <f>ROUND(10*(Comparatif!G47-E$2)/(E$3-E$2),4)</f>
        <v/>
      </c>
      <c r="F97">
        <f>ROUND(10*(Comparatif!H47-F$2)/(F$3-F$2),4)</f>
        <v/>
      </c>
      <c r="G97">
        <f>ROUND(10*(Comparatif!I47-G$2)/(G$3-G$2),4)</f>
        <v/>
      </c>
      <c r="H97">
        <f>ROUND(10*(Comparatif!J47-H$2)/(H$3-H$2),4)</f>
        <v/>
      </c>
      <c r="I97">
        <f>ROUND(10*(Comparatif!K47-I$2)/(I$3-I$2),4)</f>
        <v/>
      </c>
      <c r="J97">
        <f>ROUND(10*(Comparatif!L47-J$2)/(J$3-J$2),4)</f>
        <v/>
      </c>
      <c r="K97">
        <f>ROUND(10*(Comparatif!M47-K$2)/(K$3-K$2),4)</f>
        <v/>
      </c>
      <c r="L97">
        <f>ROUND(10*(Comparatif!N47-L$2)/(L$3-L$2),4)</f>
        <v/>
      </c>
      <c r="M97">
        <f>ROUND(10*(Comparatif!O47-M$2)/(M$3-M$2),4)</f>
        <v/>
      </c>
      <c r="N97">
        <f>ROUND(10*(Comparatif!P47-N$2)/(N$3-N$2),4)</f>
        <v/>
      </c>
      <c r="O97">
        <f>ROUND(SUMPRODUCT(E97:N97,$E$1:$N$1)/Pondérations!$B$16,3)</f>
        <v/>
      </c>
      <c r="P97">
        <f>1+COUNTIF($O$5:$O$206,"&gt;"&amp;O97)+COUNTIF($O$5:$O97,O97)-1</f>
        <v/>
      </c>
      <c r="Q97">
        <f>1+COUNTIFS($C$5:$C$206,C97,$O$5:$O$206,"&gt;"&amp;O97)+COUNTIFS($C$5:$C97,C97,$O$5:$O97,O97)-1</f>
        <v/>
      </c>
      <c r="R97" s="182" t="n">
        <v>0.0015</v>
      </c>
      <c r="S97">
        <f>IFERROR(ROUND(O97/(D97/100),2),"")</f>
        <v/>
      </c>
    </row>
    <row r="98">
      <c r="A98">
        <f>Comparatif!A123</f>
        <v/>
      </c>
      <c r="B98">
        <f>Comparatif!B123</f>
        <v/>
      </c>
      <c r="C98" t="inlineStr">
        <is>
          <t>Dongle</t>
        </is>
      </c>
      <c r="D98">
        <f>Comparatif!AF123</f>
        <v/>
      </c>
      <c r="E98">
        <f>ROUND(10*(Comparatif!G123-E$2)/(E$3-E$2),4)</f>
        <v/>
      </c>
      <c r="F98">
        <f>ROUND(10*(Comparatif!H123-F$2)/(F$3-F$2),4)</f>
        <v/>
      </c>
      <c r="G98">
        <f>ROUND(10*(Comparatif!I123-G$2)/(G$3-G$2),4)</f>
        <v/>
      </c>
      <c r="H98">
        <f>ROUND(10*(Comparatif!J123-H$2)/(H$3-H$2),4)</f>
        <v/>
      </c>
      <c r="I98">
        <f>ROUND(10*(Comparatif!K123-I$2)/(I$3-I$2),4)</f>
        <v/>
      </c>
      <c r="J98">
        <f>ROUND(10*(Comparatif!L123-J$2)/(J$3-J$2),4)</f>
        <v/>
      </c>
      <c r="K98">
        <f>ROUND(10*(Comparatif!M123-K$2)/(K$3-K$2),4)</f>
        <v/>
      </c>
      <c r="L98">
        <f>ROUND(10*(Comparatif!N123-L$2)/(L$3-L$2),4)</f>
        <v/>
      </c>
      <c r="M98">
        <f>ROUND(10*(Comparatif!O123-M$2)/(M$3-M$2),4)</f>
        <v/>
      </c>
      <c r="N98">
        <f>ROUND(10*(Comparatif!P123-N$2)/(N$3-N$2),4)</f>
        <v/>
      </c>
      <c r="O98">
        <f>ROUND(SUMPRODUCT(E98:N98,$E$1:$N$1)/Pondérations!$B$16,3)</f>
        <v/>
      </c>
      <c r="P98">
        <f>1+COUNTIF($O$5:$O$206,"&gt;"&amp;O98)+COUNTIF($O$5:$O98,O98)-1</f>
        <v/>
      </c>
      <c r="Q98">
        <f>1+COUNTIFS($C$5:$C$206,C98,$O$5:$O$206,"&gt;"&amp;O98)+COUNTIFS($C$5:$C98,C98,$O$5:$O98,O98)-1</f>
        <v/>
      </c>
      <c r="R98" s="182" t="n">
        <v>0.0105</v>
      </c>
      <c r="S98">
        <f>IFERROR(ROUND(O98/(D98/100),2),"")</f>
        <v/>
      </c>
    </row>
    <row r="99">
      <c r="A99">
        <f>Comparatif!A85</f>
        <v/>
      </c>
      <c r="B99">
        <f>Comparatif!B85</f>
        <v/>
      </c>
      <c r="C99" t="inlineStr">
        <is>
          <t>Portable batterie</t>
        </is>
      </c>
      <c r="D99">
        <f>Comparatif!AF85</f>
        <v/>
      </c>
      <c r="E99">
        <f>ROUND(10*(Comparatif!G85-E$2)/(E$3-E$2),4)</f>
        <v/>
      </c>
      <c r="F99">
        <f>ROUND(10*(Comparatif!H85-F$2)/(F$3-F$2),4)</f>
        <v/>
      </c>
      <c r="G99">
        <f>ROUND(10*(Comparatif!I85-G$2)/(G$3-G$2),4)</f>
        <v/>
      </c>
      <c r="H99">
        <f>ROUND(10*(Comparatif!J85-H$2)/(H$3-H$2),4)</f>
        <v/>
      </c>
      <c r="I99">
        <f>ROUND(10*(Comparatif!K85-I$2)/(I$3-I$2),4)</f>
        <v/>
      </c>
      <c r="J99">
        <f>ROUND(10*(Comparatif!L85-J$2)/(J$3-J$2),4)</f>
        <v/>
      </c>
      <c r="K99">
        <f>ROUND(10*(Comparatif!M85-K$2)/(K$3-K$2),4)</f>
        <v/>
      </c>
      <c r="L99">
        <f>ROUND(10*(Comparatif!N85-L$2)/(L$3-L$2),4)</f>
        <v/>
      </c>
      <c r="M99">
        <f>ROUND(10*(Comparatif!O85-M$2)/(M$3-M$2),4)</f>
        <v/>
      </c>
      <c r="N99">
        <f>ROUND(10*(Comparatif!P85-N$2)/(N$3-N$2),4)</f>
        <v/>
      </c>
      <c r="O99">
        <f>ROUND(SUMPRODUCT(E99:N99,$E$1:$N$1)/Pondérations!$B$16,3)</f>
        <v/>
      </c>
      <c r="P99">
        <f>1+COUNTIF($O$5:$O$206,"&gt;"&amp;O99)+COUNTIF($O$5:$O99,O99)-1</f>
        <v/>
      </c>
      <c r="Q99">
        <f>1+COUNTIFS($C$5:$C$206,C99,$O$5:$O$206,"&gt;"&amp;O99)+COUNTIFS($C$5:$C99,C99,$O$5:$O99,O99)-1</f>
        <v/>
      </c>
      <c r="R99" s="182" t="n">
        <v>0</v>
      </c>
      <c r="S99">
        <f>IFERROR(ROUND(O99/(D99/100),2),"")</f>
        <v/>
      </c>
    </row>
    <row r="100">
      <c r="A100">
        <f>Comparatif!A78</f>
        <v/>
      </c>
      <c r="B100">
        <f>Comparatif!B78</f>
        <v/>
      </c>
      <c r="C100" t="inlineStr">
        <is>
          <t>Dongle</t>
        </is>
      </c>
      <c r="D100">
        <f>Comparatif!AF78</f>
        <v/>
      </c>
      <c r="E100">
        <f>ROUND(10*(Comparatif!G78-E$2)/(E$3-E$2),4)</f>
        <v/>
      </c>
      <c r="F100">
        <f>ROUND(10*(Comparatif!H78-F$2)/(F$3-F$2),4)</f>
        <v/>
      </c>
      <c r="G100">
        <f>ROUND(10*(Comparatif!I78-G$2)/(G$3-G$2),4)</f>
        <v/>
      </c>
      <c r="H100">
        <f>ROUND(10*(Comparatif!J78-H$2)/(H$3-H$2),4)</f>
        <v/>
      </c>
      <c r="I100">
        <f>ROUND(10*(Comparatif!K78-I$2)/(I$3-I$2),4)</f>
        <v/>
      </c>
      <c r="J100">
        <f>ROUND(10*(Comparatif!L78-J$2)/(J$3-J$2),4)</f>
        <v/>
      </c>
      <c r="K100">
        <f>ROUND(10*(Comparatif!M78-K$2)/(K$3-K$2),4)</f>
        <v/>
      </c>
      <c r="L100">
        <f>ROUND(10*(Comparatif!N78-L$2)/(L$3-L$2),4)</f>
        <v/>
      </c>
      <c r="M100">
        <f>ROUND(10*(Comparatif!O78-M$2)/(M$3-M$2),4)</f>
        <v/>
      </c>
      <c r="N100">
        <f>ROUND(10*(Comparatif!P78-N$2)/(N$3-N$2),4)</f>
        <v/>
      </c>
      <c r="O100">
        <f>ROUND(SUMPRODUCT(E100:N100,$E$1:$N$1)/Pondérations!$B$16,3)</f>
        <v/>
      </c>
      <c r="P100">
        <f>1+COUNTIF($O$5:$O$206,"&gt;"&amp;O100)+COUNTIF($O$5:$O100,O100)-1</f>
        <v/>
      </c>
      <c r="Q100">
        <f>1+COUNTIFS($C$5:$C$206,C100,$O$5:$O$206,"&gt;"&amp;O100)+COUNTIFS($C$5:$C100,C100,$O$5:$O100,O100)-1</f>
        <v/>
      </c>
      <c r="R100" s="182" t="n">
        <v>0</v>
      </c>
      <c r="S100">
        <f>IFERROR(ROUND(O100/(D100/100),2),"")</f>
        <v/>
      </c>
    </row>
    <row r="101">
      <c r="A101">
        <f>Comparatif!A32</f>
        <v/>
      </c>
      <c r="B101">
        <f>Comparatif!B32</f>
        <v/>
      </c>
      <c r="C101" t="inlineStr">
        <is>
          <t>Dongle</t>
        </is>
      </c>
      <c r="D101">
        <f>Comparatif!AF32</f>
        <v/>
      </c>
      <c r="E101">
        <f>ROUND(10*(Comparatif!G32-E$2)/(E$3-E$2),4)</f>
        <v/>
      </c>
      <c r="F101">
        <f>ROUND(10*(Comparatif!H32-F$2)/(F$3-F$2),4)</f>
        <v/>
      </c>
      <c r="G101">
        <f>ROUND(10*(Comparatif!I32-G$2)/(G$3-G$2),4)</f>
        <v/>
      </c>
      <c r="H101">
        <f>ROUND(10*(Comparatif!J32-H$2)/(H$3-H$2),4)</f>
        <v/>
      </c>
      <c r="I101">
        <f>ROUND(10*(Comparatif!K32-I$2)/(I$3-I$2),4)</f>
        <v/>
      </c>
      <c r="J101">
        <f>ROUND(10*(Comparatif!L32-J$2)/(J$3-J$2),4)</f>
        <v/>
      </c>
      <c r="K101">
        <f>ROUND(10*(Comparatif!M32-K$2)/(K$3-K$2),4)</f>
        <v/>
      </c>
      <c r="L101">
        <f>ROUND(10*(Comparatif!N32-L$2)/(L$3-L$2),4)</f>
        <v/>
      </c>
      <c r="M101">
        <f>ROUND(10*(Comparatif!O32-M$2)/(M$3-M$2),4)</f>
        <v/>
      </c>
      <c r="N101">
        <f>ROUND(10*(Comparatif!P32-N$2)/(N$3-N$2),4)</f>
        <v/>
      </c>
      <c r="O101">
        <f>ROUND(SUMPRODUCT(E101:N101,$E$1:$N$1)/Pondérations!$B$16,3)</f>
        <v/>
      </c>
      <c r="P101">
        <f>1+COUNTIF($O$5:$O$206,"&gt;"&amp;O101)+COUNTIF($O$5:$O101,O101)-1</f>
        <v/>
      </c>
      <c r="Q101">
        <f>1+COUNTIFS($C$5:$C$206,C101,$O$5:$O$206,"&gt;"&amp;O101)+COUNTIFS($C$5:$C101,C101,$O$5:$O101,O101)-1</f>
        <v/>
      </c>
      <c r="R101" s="182" t="n">
        <v>0</v>
      </c>
      <c r="S101">
        <f>IFERROR(ROUND(O101/(D101/100),2),"")</f>
        <v/>
      </c>
    </row>
    <row r="102">
      <c r="A102">
        <f>Comparatif!A70</f>
        <v/>
      </c>
      <c r="B102">
        <f>Comparatif!B70</f>
        <v/>
      </c>
      <c r="C102" t="inlineStr">
        <is>
          <t>Dongle</t>
        </is>
      </c>
      <c r="D102">
        <f>Comparatif!AF70</f>
        <v/>
      </c>
      <c r="E102">
        <f>ROUND(10*(Comparatif!G70-E$2)/(E$3-E$2),4)</f>
        <v/>
      </c>
      <c r="F102">
        <f>ROUND(10*(Comparatif!H70-F$2)/(F$3-F$2),4)</f>
        <v/>
      </c>
      <c r="G102">
        <f>ROUND(10*(Comparatif!I70-G$2)/(G$3-G$2),4)</f>
        <v/>
      </c>
      <c r="H102">
        <f>ROUND(10*(Comparatif!J70-H$2)/(H$3-H$2),4)</f>
        <v/>
      </c>
      <c r="I102">
        <f>ROUND(10*(Comparatif!K70-I$2)/(I$3-I$2),4)</f>
        <v/>
      </c>
      <c r="J102">
        <f>ROUND(10*(Comparatif!L70-J$2)/(J$3-J$2),4)</f>
        <v/>
      </c>
      <c r="K102">
        <f>ROUND(10*(Comparatif!M70-K$2)/(K$3-K$2),4)</f>
        <v/>
      </c>
      <c r="L102">
        <f>ROUND(10*(Comparatif!N70-L$2)/(L$3-L$2),4)</f>
        <v/>
      </c>
      <c r="M102">
        <f>ROUND(10*(Comparatif!O70-M$2)/(M$3-M$2),4)</f>
        <v/>
      </c>
      <c r="N102">
        <f>ROUND(10*(Comparatif!P70-N$2)/(N$3-N$2),4)</f>
        <v/>
      </c>
      <c r="O102">
        <f>ROUND(SUMPRODUCT(E102:N102,$E$1:$N$1)/Pondérations!$B$16,3)</f>
        <v/>
      </c>
      <c r="P102">
        <f>1+COUNTIF($O$5:$O$206,"&gt;"&amp;O102)+COUNTIF($O$5:$O102,O102)-1</f>
        <v/>
      </c>
      <c r="Q102">
        <f>1+COUNTIFS($C$5:$C$206,C102,$O$5:$O$206,"&gt;"&amp;O102)+COUNTIFS($C$5:$C102,C102,$O$5:$O102,O102)-1</f>
        <v/>
      </c>
      <c r="R102" s="182" t="n">
        <v>0</v>
      </c>
      <c r="S102">
        <f>IFERROR(ROUND(O102/(D102/100),2),"")</f>
        <v/>
      </c>
    </row>
    <row r="103">
      <c r="A103">
        <f>Comparatif!A58</f>
        <v/>
      </c>
      <c r="B103">
        <f>Comparatif!B58</f>
        <v/>
      </c>
      <c r="C103" t="inlineStr">
        <is>
          <t>Dongle</t>
        </is>
      </c>
      <c r="D103">
        <f>Comparatif!AF58</f>
        <v/>
      </c>
      <c r="E103">
        <f>ROUND(10*(Comparatif!G58-E$2)/(E$3-E$2),4)</f>
        <v/>
      </c>
      <c r="F103">
        <f>ROUND(10*(Comparatif!H58-F$2)/(F$3-F$2),4)</f>
        <v/>
      </c>
      <c r="G103">
        <f>ROUND(10*(Comparatif!I58-G$2)/(G$3-G$2),4)</f>
        <v/>
      </c>
      <c r="H103">
        <f>ROUND(10*(Comparatif!J58-H$2)/(H$3-H$2),4)</f>
        <v/>
      </c>
      <c r="I103">
        <f>ROUND(10*(Comparatif!K58-I$2)/(I$3-I$2),4)</f>
        <v/>
      </c>
      <c r="J103">
        <f>ROUND(10*(Comparatif!L58-J$2)/(J$3-J$2),4)</f>
        <v/>
      </c>
      <c r="K103">
        <f>ROUND(10*(Comparatif!M58-K$2)/(K$3-K$2),4)</f>
        <v/>
      </c>
      <c r="L103">
        <f>ROUND(10*(Comparatif!N58-L$2)/(L$3-L$2),4)</f>
        <v/>
      </c>
      <c r="M103">
        <f>ROUND(10*(Comparatif!O58-M$2)/(M$3-M$2),4)</f>
        <v/>
      </c>
      <c r="N103">
        <f>ROUND(10*(Comparatif!P58-N$2)/(N$3-N$2),4)</f>
        <v/>
      </c>
      <c r="O103">
        <f>ROUND(SUMPRODUCT(E103:N103,$E$1:$N$1)/Pondérations!$B$16,3)</f>
        <v/>
      </c>
      <c r="P103">
        <f>1+COUNTIF($O$5:$O$206,"&gt;"&amp;O103)+COUNTIF($O$5:$O103,O103)-1</f>
        <v/>
      </c>
      <c r="Q103">
        <f>1+COUNTIFS($C$5:$C$206,C103,$O$5:$O$206,"&gt;"&amp;O103)+COUNTIFS($C$5:$C103,C103,$O$5:$O103,O103)-1</f>
        <v/>
      </c>
      <c r="R103" s="182" t="n">
        <v>0</v>
      </c>
      <c r="S103">
        <f>IFERROR(ROUND(O103/(D103/100),2),"")</f>
        <v/>
      </c>
    </row>
    <row r="104">
      <c r="A104">
        <f>Comparatif!A24</f>
        <v/>
      </c>
      <c r="B104">
        <f>Comparatif!B24</f>
        <v/>
      </c>
      <c r="C104" t="inlineStr">
        <is>
          <t>Dongle</t>
        </is>
      </c>
      <c r="D104">
        <f>Comparatif!AF24</f>
        <v/>
      </c>
      <c r="E104">
        <f>ROUND(10*(Comparatif!G24-E$2)/(E$3-E$2),4)</f>
        <v/>
      </c>
      <c r="F104">
        <f>ROUND(10*(Comparatif!H24-F$2)/(F$3-F$2),4)</f>
        <v/>
      </c>
      <c r="G104">
        <f>ROUND(10*(Comparatif!I24-G$2)/(G$3-G$2),4)</f>
        <v/>
      </c>
      <c r="H104">
        <f>ROUND(10*(Comparatif!J24-H$2)/(H$3-H$2),4)</f>
        <v/>
      </c>
      <c r="I104">
        <f>ROUND(10*(Comparatif!K24-I$2)/(I$3-I$2),4)</f>
        <v/>
      </c>
      <c r="J104">
        <f>ROUND(10*(Comparatif!L24-J$2)/(J$3-J$2),4)</f>
        <v/>
      </c>
      <c r="K104">
        <f>ROUND(10*(Comparatif!M24-K$2)/(K$3-K$2),4)</f>
        <v/>
      </c>
      <c r="L104">
        <f>ROUND(10*(Comparatif!N24-L$2)/(L$3-L$2),4)</f>
        <v/>
      </c>
      <c r="M104">
        <f>ROUND(10*(Comparatif!O24-M$2)/(M$3-M$2),4)</f>
        <v/>
      </c>
      <c r="N104">
        <f>ROUND(10*(Comparatif!P24-N$2)/(N$3-N$2),4)</f>
        <v/>
      </c>
      <c r="O104">
        <f>ROUND(SUMPRODUCT(E104:N104,$E$1:$N$1)/Pondérations!$B$16,3)</f>
        <v/>
      </c>
      <c r="P104">
        <f>1+COUNTIF($O$5:$O$206,"&gt;"&amp;O104)+COUNTIF($O$5:$O104,O104)-1</f>
        <v/>
      </c>
      <c r="Q104">
        <f>1+COUNTIFS($C$5:$C$206,C104,$O$5:$O$206,"&gt;"&amp;O104)+COUNTIFS($C$5:$C104,C104,$O$5:$O104,O104)-1</f>
        <v/>
      </c>
      <c r="R104" s="182" t="n">
        <v>0.1035</v>
      </c>
      <c r="S104">
        <f>IFERROR(ROUND(O104/(D104/100),2),"")</f>
        <v/>
      </c>
    </row>
    <row r="105">
      <c r="A105">
        <f>Comparatif!A84</f>
        <v/>
      </c>
      <c r="B105">
        <f>Comparatif!B84</f>
        <v/>
      </c>
      <c r="C105" t="inlineStr">
        <is>
          <t>À classer</t>
        </is>
      </c>
      <c r="D105">
        <f>Comparatif!AF84</f>
        <v/>
      </c>
      <c r="E105">
        <f>ROUND(10*(Comparatif!G84-E$2)/(E$3-E$2),4)</f>
        <v/>
      </c>
      <c r="F105">
        <f>ROUND(10*(Comparatif!H84-F$2)/(F$3-F$2),4)</f>
        <v/>
      </c>
      <c r="G105">
        <f>ROUND(10*(Comparatif!I84-G$2)/(G$3-G$2),4)</f>
        <v/>
      </c>
      <c r="H105">
        <f>ROUND(10*(Comparatif!J84-H$2)/(H$3-H$2),4)</f>
        <v/>
      </c>
      <c r="I105">
        <f>ROUND(10*(Comparatif!K84-I$2)/(I$3-I$2),4)</f>
        <v/>
      </c>
      <c r="J105">
        <f>ROUND(10*(Comparatif!L84-J$2)/(J$3-J$2),4)</f>
        <v/>
      </c>
      <c r="K105">
        <f>ROUND(10*(Comparatif!M84-K$2)/(K$3-K$2),4)</f>
        <v/>
      </c>
      <c r="L105">
        <f>ROUND(10*(Comparatif!N84-L$2)/(L$3-L$2),4)</f>
        <v/>
      </c>
      <c r="M105">
        <f>ROUND(10*(Comparatif!O84-M$2)/(M$3-M$2),4)</f>
        <v/>
      </c>
      <c r="N105">
        <f>ROUND(10*(Comparatif!P84-N$2)/(N$3-N$2),4)</f>
        <v/>
      </c>
      <c r="O105">
        <f>ROUND(SUMPRODUCT(E105:N105,$E$1:$N$1)/Pondérations!$B$16,3)</f>
        <v/>
      </c>
      <c r="P105">
        <f>1+COUNTIF($O$5:$O$206,"&gt;"&amp;O105)+COUNTIF($O$5:$O105,O105)-1</f>
        <v/>
      </c>
      <c r="Q105">
        <f>1+COUNTIFS($C$5:$C$206,C105,$O$5:$O$206,"&gt;"&amp;O105)+COUNTIFS($C$5:$C105,C105,$O$5:$O105,O105)-1</f>
        <v/>
      </c>
      <c r="R105" s="182" t="n">
        <v>0</v>
      </c>
      <c r="S105">
        <f>IFERROR(ROUND(O105/(D105/100),2),"")</f>
        <v/>
      </c>
    </row>
    <row r="106">
      <c r="A106">
        <f>Comparatif!A52</f>
        <v/>
      </c>
      <c r="B106">
        <f>Comparatif!B52</f>
        <v/>
      </c>
      <c r="C106" t="inlineStr">
        <is>
          <t>À classer</t>
        </is>
      </c>
      <c r="D106">
        <f>Comparatif!AF52</f>
        <v/>
      </c>
      <c r="E106">
        <f>ROUND(10*(Comparatif!G52-E$2)/(E$3-E$2),4)</f>
        <v/>
      </c>
      <c r="F106">
        <f>ROUND(10*(Comparatif!H52-F$2)/(F$3-F$2),4)</f>
        <v/>
      </c>
      <c r="G106">
        <f>ROUND(10*(Comparatif!I52-G$2)/(G$3-G$2),4)</f>
        <v/>
      </c>
      <c r="H106">
        <f>ROUND(10*(Comparatif!J52-H$2)/(H$3-H$2),4)</f>
        <v/>
      </c>
      <c r="I106">
        <f>ROUND(10*(Comparatif!K52-I$2)/(I$3-I$2),4)</f>
        <v/>
      </c>
      <c r="J106">
        <f>ROUND(10*(Comparatif!L52-J$2)/(J$3-J$2),4)</f>
        <v/>
      </c>
      <c r="K106">
        <f>ROUND(10*(Comparatif!M52-K$2)/(K$3-K$2),4)</f>
        <v/>
      </c>
      <c r="L106">
        <f>ROUND(10*(Comparatif!N52-L$2)/(L$3-L$2),4)</f>
        <v/>
      </c>
      <c r="M106">
        <f>ROUND(10*(Comparatif!O52-M$2)/(M$3-M$2),4)</f>
        <v/>
      </c>
      <c r="N106">
        <f>ROUND(10*(Comparatif!P52-N$2)/(N$3-N$2),4)</f>
        <v/>
      </c>
      <c r="O106">
        <f>ROUND(SUMPRODUCT(E106:N106,$E$1:$N$1)/Pondérations!$B$16,3)</f>
        <v/>
      </c>
      <c r="P106">
        <f>1+COUNTIF($O$5:$O$206,"&gt;"&amp;O106)+COUNTIF($O$5:$O106,O106)-1</f>
        <v/>
      </c>
      <c r="Q106">
        <f>1+COUNTIFS($C$5:$C$206,C106,$O$5:$O$206,"&gt;"&amp;O106)+COUNTIFS($C$5:$C106,C106,$O$5:$O106,O106)-1</f>
        <v/>
      </c>
      <c r="R106" s="182" t="n">
        <v>0</v>
      </c>
      <c r="S106">
        <f>IFERROR(ROUND(O106/(D106/100),2),"")</f>
        <v/>
      </c>
    </row>
    <row r="107">
      <c r="A107">
        <f>Comparatif!A172</f>
        <v/>
      </c>
      <c r="B107">
        <f>Comparatif!B172</f>
        <v/>
      </c>
      <c r="C107" t="inlineStr">
        <is>
          <t>Dongle</t>
        </is>
      </c>
      <c r="D107">
        <f>Comparatif!AF172</f>
        <v/>
      </c>
      <c r="E107">
        <f>ROUND(10*(Comparatif!G172-E$2)/(E$3-E$2),4)</f>
        <v/>
      </c>
      <c r="F107">
        <f>ROUND(10*(Comparatif!H172-F$2)/(F$3-F$2),4)</f>
        <v/>
      </c>
      <c r="G107">
        <f>ROUND(10*(Comparatif!I172-G$2)/(G$3-G$2),4)</f>
        <v/>
      </c>
      <c r="H107">
        <f>ROUND(10*(Comparatif!J172-H$2)/(H$3-H$2),4)</f>
        <v/>
      </c>
      <c r="I107">
        <f>ROUND(10*(Comparatif!K172-I$2)/(I$3-I$2),4)</f>
        <v/>
      </c>
      <c r="J107">
        <f>ROUND(10*(Comparatif!L172-J$2)/(J$3-J$2),4)</f>
        <v/>
      </c>
      <c r="K107">
        <f>ROUND(10*(Comparatif!M172-K$2)/(K$3-K$2),4)</f>
        <v/>
      </c>
      <c r="L107">
        <f>ROUND(10*(Comparatif!N172-L$2)/(L$3-L$2),4)</f>
        <v/>
      </c>
      <c r="M107">
        <f>ROUND(10*(Comparatif!O172-M$2)/(M$3-M$2),4)</f>
        <v/>
      </c>
      <c r="N107">
        <f>ROUND(10*(Comparatif!P172-N$2)/(N$3-N$2),4)</f>
        <v/>
      </c>
      <c r="O107">
        <f>ROUND(SUMPRODUCT(E107:N107,$E$1:$N$1)/Pondérations!$B$16,3)</f>
        <v/>
      </c>
      <c r="P107">
        <f>1+COUNTIF($O$5:$O$206,"&gt;"&amp;O107)+COUNTIF($O$5:$O107,O107)-1</f>
        <v/>
      </c>
      <c r="Q107">
        <f>1+COUNTIFS($C$5:$C$206,C107,$O$5:$O$206,"&gt;"&amp;O107)+COUNTIFS($C$5:$C107,C107,$O$5:$O107,O107)-1</f>
        <v/>
      </c>
      <c r="R107" s="182" t="n">
        <v>0.0005</v>
      </c>
      <c r="S107">
        <f>IFERROR(ROUND(O107/(D107/100),2),"")</f>
        <v/>
      </c>
    </row>
    <row r="108">
      <c r="A108">
        <f>Comparatif!A152</f>
        <v/>
      </c>
      <c r="B108">
        <f>Comparatif!B152</f>
        <v/>
      </c>
      <c r="C108" t="inlineStr">
        <is>
          <t>Dongle</t>
        </is>
      </c>
      <c r="D108">
        <f>Comparatif!AF152</f>
        <v/>
      </c>
      <c r="E108">
        <f>ROUND(10*(Comparatif!G152-E$2)/(E$3-E$2),4)</f>
        <v/>
      </c>
      <c r="F108">
        <f>ROUND(10*(Comparatif!H152-F$2)/(F$3-F$2),4)</f>
        <v/>
      </c>
      <c r="G108">
        <f>ROUND(10*(Comparatif!I152-G$2)/(G$3-G$2),4)</f>
        <v/>
      </c>
      <c r="H108">
        <f>ROUND(10*(Comparatif!J152-H$2)/(H$3-H$2),4)</f>
        <v/>
      </c>
      <c r="I108">
        <f>ROUND(10*(Comparatif!K152-I$2)/(I$3-I$2),4)</f>
        <v/>
      </c>
      <c r="J108">
        <f>ROUND(10*(Comparatif!L152-J$2)/(J$3-J$2),4)</f>
        <v/>
      </c>
      <c r="K108">
        <f>ROUND(10*(Comparatif!M152-K$2)/(K$3-K$2),4)</f>
        <v/>
      </c>
      <c r="L108">
        <f>ROUND(10*(Comparatif!N152-L$2)/(L$3-L$2),4)</f>
        <v/>
      </c>
      <c r="M108">
        <f>ROUND(10*(Comparatif!O152-M$2)/(M$3-M$2),4)</f>
        <v/>
      </c>
      <c r="N108">
        <f>ROUND(10*(Comparatif!P152-N$2)/(N$3-N$2),4)</f>
        <v/>
      </c>
      <c r="O108">
        <f>ROUND(SUMPRODUCT(E108:N108,$E$1:$N$1)/Pondérations!$B$16,3)</f>
        <v/>
      </c>
      <c r="P108">
        <f>1+COUNTIF($O$5:$O$206,"&gt;"&amp;O108)+COUNTIF($O$5:$O108,O108)-1</f>
        <v/>
      </c>
      <c r="Q108">
        <f>1+COUNTIFS($C$5:$C$206,C108,$O$5:$O$206,"&gt;"&amp;O108)+COUNTIFS($C$5:$C108,C108,$O$5:$O108,O108)-1</f>
        <v/>
      </c>
      <c r="R108" s="182" t="n">
        <v>0</v>
      </c>
      <c r="S108">
        <f>IFERROR(ROUND(O108/(D108/100),2),"")</f>
        <v/>
      </c>
    </row>
    <row r="109">
      <c r="A109">
        <f>Comparatif!A116</f>
        <v/>
      </c>
      <c r="B109">
        <f>Comparatif!B116</f>
        <v/>
      </c>
      <c r="C109" t="inlineStr">
        <is>
          <t>Dongle</t>
        </is>
      </c>
      <c r="D109">
        <f>Comparatif!AF116</f>
        <v/>
      </c>
      <c r="E109">
        <f>ROUND(10*(Comparatif!G116-E$2)/(E$3-E$2),4)</f>
        <v/>
      </c>
      <c r="F109">
        <f>ROUND(10*(Comparatif!H116-F$2)/(F$3-F$2),4)</f>
        <v/>
      </c>
      <c r="G109">
        <f>ROUND(10*(Comparatif!I116-G$2)/(G$3-G$2),4)</f>
        <v/>
      </c>
      <c r="H109">
        <f>ROUND(10*(Comparatif!J116-H$2)/(H$3-H$2),4)</f>
        <v/>
      </c>
      <c r="I109">
        <f>ROUND(10*(Comparatif!K116-I$2)/(I$3-I$2),4)</f>
        <v/>
      </c>
      <c r="J109">
        <f>ROUND(10*(Comparatif!L116-J$2)/(J$3-J$2),4)</f>
        <v/>
      </c>
      <c r="K109">
        <f>ROUND(10*(Comparatif!M116-K$2)/(K$3-K$2),4)</f>
        <v/>
      </c>
      <c r="L109">
        <f>ROUND(10*(Comparatif!N116-L$2)/(L$3-L$2),4)</f>
        <v/>
      </c>
      <c r="M109">
        <f>ROUND(10*(Comparatif!O116-M$2)/(M$3-M$2),4)</f>
        <v/>
      </c>
      <c r="N109">
        <f>ROUND(10*(Comparatif!P116-N$2)/(N$3-N$2),4)</f>
        <v/>
      </c>
      <c r="O109">
        <f>ROUND(SUMPRODUCT(E109:N109,$E$1:$N$1)/Pondérations!$B$16,3)</f>
        <v/>
      </c>
      <c r="P109">
        <f>1+COUNTIF($O$5:$O$206,"&gt;"&amp;O109)+COUNTIF($O$5:$O109,O109)-1</f>
        <v/>
      </c>
      <c r="Q109">
        <f>1+COUNTIFS($C$5:$C$206,C109,$O$5:$O$206,"&gt;"&amp;O109)+COUNTIFS($C$5:$C109,C109,$O$5:$O109,O109)-1</f>
        <v/>
      </c>
      <c r="R109" s="182" t="n">
        <v>0</v>
      </c>
      <c r="S109">
        <f>IFERROR(ROUND(O109/(D109/100),2),"")</f>
        <v/>
      </c>
    </row>
    <row r="110">
      <c r="A110">
        <f>Comparatif!A112</f>
        <v/>
      </c>
      <c r="B110">
        <f>Comparatif!B112</f>
        <v/>
      </c>
      <c r="C110" t="inlineStr">
        <is>
          <t>Dongle</t>
        </is>
      </c>
      <c r="D110">
        <f>Comparatif!AF112</f>
        <v/>
      </c>
      <c r="E110">
        <f>ROUND(10*(Comparatif!G112-E$2)/(E$3-E$2),4)</f>
        <v/>
      </c>
      <c r="F110">
        <f>ROUND(10*(Comparatif!H112-F$2)/(F$3-F$2),4)</f>
        <v/>
      </c>
      <c r="G110">
        <f>ROUND(10*(Comparatif!I112-G$2)/(G$3-G$2),4)</f>
        <v/>
      </c>
      <c r="H110">
        <f>ROUND(10*(Comparatif!J112-H$2)/(H$3-H$2),4)</f>
        <v/>
      </c>
      <c r="I110">
        <f>ROUND(10*(Comparatif!K112-I$2)/(I$3-I$2),4)</f>
        <v/>
      </c>
      <c r="J110">
        <f>ROUND(10*(Comparatif!L112-J$2)/(J$3-J$2),4)</f>
        <v/>
      </c>
      <c r="K110">
        <f>ROUND(10*(Comparatif!M112-K$2)/(K$3-K$2),4)</f>
        <v/>
      </c>
      <c r="L110">
        <f>ROUND(10*(Comparatif!N112-L$2)/(L$3-L$2),4)</f>
        <v/>
      </c>
      <c r="M110">
        <f>ROUND(10*(Comparatif!O112-M$2)/(M$3-M$2),4)</f>
        <v/>
      </c>
      <c r="N110">
        <f>ROUND(10*(Comparatif!P112-N$2)/(N$3-N$2),4)</f>
        <v/>
      </c>
      <c r="O110">
        <f>ROUND(SUMPRODUCT(E110:N110,$E$1:$N$1)/Pondérations!$B$16,3)</f>
        <v/>
      </c>
      <c r="P110">
        <f>1+COUNTIF($O$5:$O$206,"&gt;"&amp;O110)+COUNTIF($O$5:$O110,O110)-1</f>
        <v/>
      </c>
      <c r="Q110">
        <f>1+COUNTIFS($C$5:$C$206,C110,$O$5:$O$206,"&gt;"&amp;O110)+COUNTIFS($C$5:$C110,C110,$O$5:$O110,O110)-1</f>
        <v/>
      </c>
      <c r="R110" s="182" t="n">
        <v>0</v>
      </c>
      <c r="S110">
        <f>IFERROR(ROUND(O110/(D110/100),2),"")</f>
        <v/>
      </c>
    </row>
    <row r="111">
      <c r="A111">
        <f>Comparatif!A155</f>
        <v/>
      </c>
      <c r="B111">
        <f>Comparatif!B155</f>
        <v/>
      </c>
      <c r="C111" t="inlineStr">
        <is>
          <t>Dongle</t>
        </is>
      </c>
      <c r="D111">
        <f>Comparatif!AF155</f>
        <v/>
      </c>
      <c r="E111">
        <f>ROUND(10*(Comparatif!G155-E$2)/(E$3-E$2),4)</f>
        <v/>
      </c>
      <c r="F111">
        <f>ROUND(10*(Comparatif!H155-F$2)/(F$3-F$2),4)</f>
        <v/>
      </c>
      <c r="G111">
        <f>ROUND(10*(Comparatif!I155-G$2)/(G$3-G$2),4)</f>
        <v/>
      </c>
      <c r="H111">
        <f>ROUND(10*(Comparatif!J155-H$2)/(H$3-H$2),4)</f>
        <v/>
      </c>
      <c r="I111">
        <f>ROUND(10*(Comparatif!K155-I$2)/(I$3-I$2),4)</f>
        <v/>
      </c>
      <c r="J111">
        <f>ROUND(10*(Comparatif!L155-J$2)/(J$3-J$2),4)</f>
        <v/>
      </c>
      <c r="K111">
        <f>ROUND(10*(Comparatif!M155-K$2)/(K$3-K$2),4)</f>
        <v/>
      </c>
      <c r="L111">
        <f>ROUND(10*(Comparatif!N155-L$2)/(L$3-L$2),4)</f>
        <v/>
      </c>
      <c r="M111">
        <f>ROUND(10*(Comparatif!O155-M$2)/(M$3-M$2),4)</f>
        <v/>
      </c>
      <c r="N111">
        <f>ROUND(10*(Comparatif!P155-N$2)/(N$3-N$2),4)</f>
        <v/>
      </c>
      <c r="O111">
        <f>ROUND(SUMPRODUCT(E111:N111,$E$1:$N$1)/Pondérations!$B$16,3)</f>
        <v/>
      </c>
      <c r="P111">
        <f>1+COUNTIF($O$5:$O$206,"&gt;"&amp;O111)+COUNTIF($O$5:$O111,O111)-1</f>
        <v/>
      </c>
      <c r="Q111">
        <f>1+COUNTIFS($C$5:$C$206,C111,$O$5:$O$206,"&gt;"&amp;O111)+COUNTIFS($C$5:$C111,C111,$O$5:$O111,O111)-1</f>
        <v/>
      </c>
      <c r="R111" s="182" t="n">
        <v>0</v>
      </c>
      <c r="S111">
        <f>IFERROR(ROUND(O111/(D111/100),2),"")</f>
        <v/>
      </c>
    </row>
    <row r="112">
      <c r="A112">
        <f>Comparatif!A162</f>
        <v/>
      </c>
      <c r="B112">
        <f>Comparatif!B162</f>
        <v/>
      </c>
      <c r="C112" t="inlineStr">
        <is>
          <t>À classer</t>
        </is>
      </c>
      <c r="D112">
        <f>Comparatif!AF162</f>
        <v/>
      </c>
      <c r="E112">
        <f>ROUND(10*(Comparatif!G162-E$2)/(E$3-E$2),4)</f>
        <v/>
      </c>
      <c r="F112">
        <f>ROUND(10*(Comparatif!H162-F$2)/(F$3-F$2),4)</f>
        <v/>
      </c>
      <c r="G112">
        <f>ROUND(10*(Comparatif!I162-G$2)/(G$3-G$2),4)</f>
        <v/>
      </c>
      <c r="H112">
        <f>ROUND(10*(Comparatif!J162-H$2)/(H$3-H$2),4)</f>
        <v/>
      </c>
      <c r="I112">
        <f>ROUND(10*(Comparatif!K162-I$2)/(I$3-I$2),4)</f>
        <v/>
      </c>
      <c r="J112">
        <f>ROUND(10*(Comparatif!L162-J$2)/(J$3-J$2),4)</f>
        <v/>
      </c>
      <c r="K112">
        <f>ROUND(10*(Comparatif!M162-K$2)/(K$3-K$2),4)</f>
        <v/>
      </c>
      <c r="L112">
        <f>ROUND(10*(Comparatif!N162-L$2)/(L$3-L$2),4)</f>
        <v/>
      </c>
      <c r="M112">
        <f>ROUND(10*(Comparatif!O162-M$2)/(M$3-M$2),4)</f>
        <v/>
      </c>
      <c r="N112">
        <f>ROUND(10*(Comparatif!P162-N$2)/(N$3-N$2),4)</f>
        <v/>
      </c>
      <c r="O112">
        <f>ROUND(SUMPRODUCT(E112:N112,$E$1:$N$1)/Pondérations!$B$16,3)</f>
        <v/>
      </c>
      <c r="P112">
        <f>1+COUNTIF($O$5:$O$206,"&gt;"&amp;O112)+COUNTIF($O$5:$O112,O112)-1</f>
        <v/>
      </c>
      <c r="Q112">
        <f>1+COUNTIFS($C$5:$C$206,C112,$O$5:$O$206,"&gt;"&amp;O112)+COUNTIFS($C$5:$C112,C112,$O$5:$O112,O112)-1</f>
        <v/>
      </c>
      <c r="R112" s="182" t="n">
        <v>0</v>
      </c>
      <c r="S112">
        <f>IFERROR(ROUND(O112/(D112/100),2),"")</f>
        <v/>
      </c>
    </row>
    <row r="113">
      <c r="A113">
        <f>Comparatif!A89</f>
        <v/>
      </c>
      <c r="B113">
        <f>Comparatif!B89</f>
        <v/>
      </c>
      <c r="C113" t="inlineStr">
        <is>
          <t>Dongle</t>
        </is>
      </c>
      <c r="D113">
        <f>Comparatif!AF89</f>
        <v/>
      </c>
      <c r="E113">
        <f>ROUND(10*(Comparatif!G89-E$2)/(E$3-E$2),4)</f>
        <v/>
      </c>
      <c r="F113">
        <f>ROUND(10*(Comparatif!H89-F$2)/(F$3-F$2),4)</f>
        <v/>
      </c>
      <c r="G113">
        <f>ROUND(10*(Comparatif!I89-G$2)/(G$3-G$2),4)</f>
        <v/>
      </c>
      <c r="H113">
        <f>ROUND(10*(Comparatif!J89-H$2)/(H$3-H$2),4)</f>
        <v/>
      </c>
      <c r="I113">
        <f>ROUND(10*(Comparatif!K89-I$2)/(I$3-I$2),4)</f>
        <v/>
      </c>
      <c r="J113">
        <f>ROUND(10*(Comparatif!L89-J$2)/(J$3-J$2),4)</f>
        <v/>
      </c>
      <c r="K113">
        <f>ROUND(10*(Comparatif!M89-K$2)/(K$3-K$2),4)</f>
        <v/>
      </c>
      <c r="L113">
        <f>ROUND(10*(Comparatif!N89-L$2)/(L$3-L$2),4)</f>
        <v/>
      </c>
      <c r="M113">
        <f>ROUND(10*(Comparatif!O89-M$2)/(M$3-M$2),4)</f>
        <v/>
      </c>
      <c r="N113">
        <f>ROUND(10*(Comparatif!P89-N$2)/(N$3-N$2),4)</f>
        <v/>
      </c>
      <c r="O113">
        <f>ROUND(SUMPRODUCT(E113:N113,$E$1:$N$1)/Pondérations!$B$16,3)</f>
        <v/>
      </c>
      <c r="P113">
        <f>1+COUNTIF($O$5:$O$206,"&gt;"&amp;O113)+COUNTIF($O$5:$O113,O113)-1</f>
        <v/>
      </c>
      <c r="Q113">
        <f>1+COUNTIFS($C$5:$C$206,C113,$O$5:$O$206,"&gt;"&amp;O113)+COUNTIFS($C$5:$C113,C113,$O$5:$O113,O113)-1</f>
        <v/>
      </c>
      <c r="R113" s="182" t="n">
        <v>0</v>
      </c>
      <c r="S113">
        <f>IFERROR(ROUND(O113/(D113/100),2),"")</f>
        <v/>
      </c>
    </row>
    <row r="114">
      <c r="A114">
        <f>Comparatif!A153</f>
        <v/>
      </c>
      <c r="B114">
        <f>Comparatif!B153</f>
        <v/>
      </c>
      <c r="C114" t="inlineStr">
        <is>
          <t>À classer</t>
        </is>
      </c>
      <c r="D114">
        <f>Comparatif!AF153</f>
        <v/>
      </c>
      <c r="E114">
        <f>ROUND(10*(Comparatif!G153-E$2)/(E$3-E$2),4)</f>
        <v/>
      </c>
      <c r="F114">
        <f>ROUND(10*(Comparatif!H153-F$2)/(F$3-F$2),4)</f>
        <v/>
      </c>
      <c r="G114">
        <f>ROUND(10*(Comparatif!I153-G$2)/(G$3-G$2),4)</f>
        <v/>
      </c>
      <c r="H114">
        <f>ROUND(10*(Comparatif!J153-H$2)/(H$3-H$2),4)</f>
        <v/>
      </c>
      <c r="I114">
        <f>ROUND(10*(Comparatif!K153-I$2)/(I$3-I$2),4)</f>
        <v/>
      </c>
      <c r="J114">
        <f>ROUND(10*(Comparatif!L153-J$2)/(J$3-J$2),4)</f>
        <v/>
      </c>
      <c r="K114">
        <f>ROUND(10*(Comparatif!M153-K$2)/(K$3-K$2),4)</f>
        <v/>
      </c>
      <c r="L114">
        <f>ROUND(10*(Comparatif!N153-L$2)/(L$3-L$2),4)</f>
        <v/>
      </c>
      <c r="M114">
        <f>ROUND(10*(Comparatif!O153-M$2)/(M$3-M$2),4)</f>
        <v/>
      </c>
      <c r="N114">
        <f>ROUND(10*(Comparatif!P153-N$2)/(N$3-N$2),4)</f>
        <v/>
      </c>
      <c r="O114">
        <f>ROUND(SUMPRODUCT(E114:N114,$E$1:$N$1)/Pondérations!$B$16,3)</f>
        <v/>
      </c>
      <c r="P114">
        <f>1+COUNTIF($O$5:$O$206,"&gt;"&amp;O114)+COUNTIF($O$5:$O114,O114)-1</f>
        <v/>
      </c>
      <c r="Q114">
        <f>1+COUNTIFS($C$5:$C$206,C114,$O$5:$O$206,"&gt;"&amp;O114)+COUNTIFS($C$5:$C114,C114,$O$5:$O114,O114)-1</f>
        <v/>
      </c>
      <c r="R114" s="182" t="n">
        <v>0</v>
      </c>
      <c r="S114">
        <f>IFERROR(ROUND(O114/(D114/100),2),"")</f>
        <v/>
      </c>
    </row>
    <row r="115">
      <c r="A115">
        <f>Comparatif!A61</f>
        <v/>
      </c>
      <c r="B115">
        <f>Comparatif!B61</f>
        <v/>
      </c>
      <c r="C115" t="inlineStr">
        <is>
          <t>Dongle</t>
        </is>
      </c>
      <c r="D115">
        <f>Comparatif!AF61</f>
        <v/>
      </c>
      <c r="E115">
        <f>ROUND(10*(Comparatif!G61-E$2)/(E$3-E$2),4)</f>
        <v/>
      </c>
      <c r="F115">
        <f>ROUND(10*(Comparatif!H61-F$2)/(F$3-F$2),4)</f>
        <v/>
      </c>
      <c r="G115">
        <f>ROUND(10*(Comparatif!I61-G$2)/(G$3-G$2),4)</f>
        <v/>
      </c>
      <c r="H115">
        <f>ROUND(10*(Comparatif!J61-H$2)/(H$3-H$2),4)</f>
        <v/>
      </c>
      <c r="I115">
        <f>ROUND(10*(Comparatif!K61-I$2)/(I$3-I$2),4)</f>
        <v/>
      </c>
      <c r="J115">
        <f>ROUND(10*(Comparatif!L61-J$2)/(J$3-J$2),4)</f>
        <v/>
      </c>
      <c r="K115">
        <f>ROUND(10*(Comparatif!M61-K$2)/(K$3-K$2),4)</f>
        <v/>
      </c>
      <c r="L115">
        <f>ROUND(10*(Comparatif!N61-L$2)/(L$3-L$2),4)</f>
        <v/>
      </c>
      <c r="M115">
        <f>ROUND(10*(Comparatif!O61-M$2)/(M$3-M$2),4)</f>
        <v/>
      </c>
      <c r="N115">
        <f>ROUND(10*(Comparatif!P61-N$2)/(N$3-N$2),4)</f>
        <v/>
      </c>
      <c r="O115">
        <f>ROUND(SUMPRODUCT(E115:N115,$E$1:$N$1)/Pondérations!$B$16,3)</f>
        <v/>
      </c>
      <c r="P115">
        <f>1+COUNTIF($O$5:$O$206,"&gt;"&amp;O115)+COUNTIF($O$5:$O115,O115)-1</f>
        <v/>
      </c>
      <c r="Q115">
        <f>1+COUNTIFS($C$5:$C$206,C115,$O$5:$O$206,"&gt;"&amp;O115)+COUNTIFS($C$5:$C115,C115,$O$5:$O115,O115)-1</f>
        <v/>
      </c>
      <c r="R115" s="182" t="n">
        <v>0</v>
      </c>
      <c r="S115">
        <f>IFERROR(ROUND(O115/(D115/100),2),"")</f>
        <v/>
      </c>
    </row>
    <row r="116">
      <c r="A116">
        <f>Comparatif!A138</f>
        <v/>
      </c>
      <c r="B116">
        <f>Comparatif!B138</f>
        <v/>
      </c>
      <c r="C116" t="inlineStr">
        <is>
          <t>Dongle</t>
        </is>
      </c>
      <c r="D116">
        <f>Comparatif!AF138</f>
        <v/>
      </c>
      <c r="E116">
        <f>ROUND(10*(Comparatif!G138-E$2)/(E$3-E$2),4)</f>
        <v/>
      </c>
      <c r="F116">
        <f>ROUND(10*(Comparatif!H138-F$2)/(F$3-F$2),4)</f>
        <v/>
      </c>
      <c r="G116">
        <f>ROUND(10*(Comparatif!I138-G$2)/(G$3-G$2),4)</f>
        <v/>
      </c>
      <c r="H116">
        <f>ROUND(10*(Comparatif!J138-H$2)/(H$3-H$2),4)</f>
        <v/>
      </c>
      <c r="I116">
        <f>ROUND(10*(Comparatif!K138-I$2)/(I$3-I$2),4)</f>
        <v/>
      </c>
      <c r="J116">
        <f>ROUND(10*(Comparatif!L138-J$2)/(J$3-J$2),4)</f>
        <v/>
      </c>
      <c r="K116">
        <f>ROUND(10*(Comparatif!M138-K$2)/(K$3-K$2),4)</f>
        <v/>
      </c>
      <c r="L116">
        <f>ROUND(10*(Comparatif!N138-L$2)/(L$3-L$2),4)</f>
        <v/>
      </c>
      <c r="M116">
        <f>ROUND(10*(Comparatif!O138-M$2)/(M$3-M$2),4)</f>
        <v/>
      </c>
      <c r="N116">
        <f>ROUND(10*(Comparatif!P138-N$2)/(N$3-N$2),4)</f>
        <v/>
      </c>
      <c r="O116">
        <f>ROUND(SUMPRODUCT(E116:N116,$E$1:$N$1)/Pondérations!$B$16,3)</f>
        <v/>
      </c>
      <c r="P116">
        <f>1+COUNTIF($O$5:$O$206,"&gt;"&amp;O116)+COUNTIF($O$5:$O116,O116)-1</f>
        <v/>
      </c>
      <c r="Q116">
        <f>1+COUNTIFS($C$5:$C$206,C116,$O$5:$O$206,"&gt;"&amp;O116)+COUNTIFS($C$5:$C116,C116,$O$5:$O116,O116)-1</f>
        <v/>
      </c>
      <c r="R116" s="182" t="n">
        <v>0</v>
      </c>
      <c r="S116">
        <f>IFERROR(ROUND(O116/(D116/100),2),"")</f>
        <v/>
      </c>
    </row>
    <row r="117">
      <c r="A117">
        <f>Comparatif!A29</f>
        <v/>
      </c>
      <c r="B117">
        <f>Comparatif!B29</f>
        <v/>
      </c>
      <c r="C117" t="inlineStr">
        <is>
          <t>Dongle</t>
        </is>
      </c>
      <c r="D117">
        <f>Comparatif!AF29</f>
        <v/>
      </c>
      <c r="E117">
        <f>ROUND(10*(Comparatif!G29-E$2)/(E$3-E$2),4)</f>
        <v/>
      </c>
      <c r="F117">
        <f>ROUND(10*(Comparatif!H29-F$2)/(F$3-F$2),4)</f>
        <v/>
      </c>
      <c r="G117">
        <f>ROUND(10*(Comparatif!I29-G$2)/(G$3-G$2),4)</f>
        <v/>
      </c>
      <c r="H117">
        <f>ROUND(10*(Comparatif!J29-H$2)/(H$3-H$2),4)</f>
        <v/>
      </c>
      <c r="I117">
        <f>ROUND(10*(Comparatif!K29-I$2)/(I$3-I$2),4)</f>
        <v/>
      </c>
      <c r="J117">
        <f>ROUND(10*(Comparatif!L29-J$2)/(J$3-J$2),4)</f>
        <v/>
      </c>
      <c r="K117">
        <f>ROUND(10*(Comparatif!M29-K$2)/(K$3-K$2),4)</f>
        <v/>
      </c>
      <c r="L117">
        <f>ROUND(10*(Comparatif!N29-L$2)/(L$3-L$2),4)</f>
        <v/>
      </c>
      <c r="M117">
        <f>ROUND(10*(Comparatif!O29-M$2)/(M$3-M$2),4)</f>
        <v/>
      </c>
      <c r="N117">
        <f>ROUND(10*(Comparatif!P29-N$2)/(N$3-N$2),4)</f>
        <v/>
      </c>
      <c r="O117">
        <f>ROUND(SUMPRODUCT(E117:N117,$E$1:$N$1)/Pondérations!$B$16,3)</f>
        <v/>
      </c>
      <c r="P117">
        <f>1+COUNTIF($O$5:$O$206,"&gt;"&amp;O117)+COUNTIF($O$5:$O117,O117)-1</f>
        <v/>
      </c>
      <c r="Q117">
        <f>1+COUNTIFS($C$5:$C$206,C117,$O$5:$O$206,"&gt;"&amp;O117)+COUNTIFS($C$5:$C117,C117,$O$5:$O117,O117)-1</f>
        <v/>
      </c>
      <c r="R117" s="182" t="n">
        <v>0</v>
      </c>
      <c r="S117">
        <f>IFERROR(ROUND(O117/(D117/100),2),"")</f>
        <v/>
      </c>
    </row>
    <row r="118">
      <c r="A118">
        <f>Comparatif!A69</f>
        <v/>
      </c>
      <c r="B118">
        <f>Comparatif!B69</f>
        <v/>
      </c>
      <c r="C118" t="inlineStr">
        <is>
          <t>Dongle</t>
        </is>
      </c>
      <c r="D118">
        <f>Comparatif!AF69</f>
        <v/>
      </c>
      <c r="E118">
        <f>ROUND(10*(Comparatif!G69-E$2)/(E$3-E$2),4)</f>
        <v/>
      </c>
      <c r="F118">
        <f>ROUND(10*(Comparatif!H69-F$2)/(F$3-F$2),4)</f>
        <v/>
      </c>
      <c r="G118">
        <f>ROUND(10*(Comparatif!I69-G$2)/(G$3-G$2),4)</f>
        <v/>
      </c>
      <c r="H118">
        <f>ROUND(10*(Comparatif!J69-H$2)/(H$3-H$2),4)</f>
        <v/>
      </c>
      <c r="I118">
        <f>ROUND(10*(Comparatif!K69-I$2)/(I$3-I$2),4)</f>
        <v/>
      </c>
      <c r="J118">
        <f>ROUND(10*(Comparatif!L69-J$2)/(J$3-J$2),4)</f>
        <v/>
      </c>
      <c r="K118">
        <f>ROUND(10*(Comparatif!M69-K$2)/(K$3-K$2),4)</f>
        <v/>
      </c>
      <c r="L118">
        <f>ROUND(10*(Comparatif!N69-L$2)/(L$3-L$2),4)</f>
        <v/>
      </c>
      <c r="M118">
        <f>ROUND(10*(Comparatif!O69-M$2)/(M$3-M$2),4)</f>
        <v/>
      </c>
      <c r="N118">
        <f>ROUND(10*(Comparatif!P69-N$2)/(N$3-N$2),4)</f>
        <v/>
      </c>
      <c r="O118">
        <f>ROUND(SUMPRODUCT(E118:N118,$E$1:$N$1)/Pondérations!$B$16,3)</f>
        <v/>
      </c>
      <c r="P118">
        <f>1+COUNTIF($O$5:$O$206,"&gt;"&amp;O118)+COUNTIF($O$5:$O118,O118)-1</f>
        <v/>
      </c>
      <c r="Q118">
        <f>1+COUNTIFS($C$5:$C$206,C118,$O$5:$O$206,"&gt;"&amp;O118)+COUNTIFS($C$5:$C118,C118,$O$5:$O118,O118)-1</f>
        <v/>
      </c>
      <c r="R118" s="182" t="n">
        <v>0</v>
      </c>
      <c r="S118">
        <f>IFERROR(ROUND(O118/(D118/100),2),"")</f>
        <v/>
      </c>
    </row>
    <row r="119">
      <c r="A119">
        <f>Comparatif!A71</f>
        <v/>
      </c>
      <c r="B119">
        <f>Comparatif!B71</f>
        <v/>
      </c>
      <c r="C119" t="inlineStr">
        <is>
          <t>Bluetooth</t>
        </is>
      </c>
      <c r="D119">
        <f>Comparatif!AF71</f>
        <v/>
      </c>
      <c r="E119">
        <f>ROUND(10*(Comparatif!G71-E$2)/(E$3-E$2),4)</f>
        <v/>
      </c>
      <c r="F119">
        <f>ROUND(10*(Comparatif!H71-F$2)/(F$3-F$2),4)</f>
        <v/>
      </c>
      <c r="G119">
        <f>ROUND(10*(Comparatif!I71-G$2)/(G$3-G$2),4)</f>
        <v/>
      </c>
      <c r="H119">
        <f>ROUND(10*(Comparatif!J71-H$2)/(H$3-H$2),4)</f>
        <v/>
      </c>
      <c r="I119">
        <f>ROUND(10*(Comparatif!K71-I$2)/(I$3-I$2),4)</f>
        <v/>
      </c>
      <c r="J119">
        <f>ROUND(10*(Comparatif!L71-J$2)/(J$3-J$2),4)</f>
        <v/>
      </c>
      <c r="K119">
        <f>ROUND(10*(Comparatif!M71-K$2)/(K$3-K$2),4)</f>
        <v/>
      </c>
      <c r="L119">
        <f>ROUND(10*(Comparatif!N71-L$2)/(L$3-L$2),4)</f>
        <v/>
      </c>
      <c r="M119">
        <f>ROUND(10*(Comparatif!O71-M$2)/(M$3-M$2),4)</f>
        <v/>
      </c>
      <c r="N119">
        <f>ROUND(10*(Comparatif!P71-N$2)/(N$3-N$2),4)</f>
        <v/>
      </c>
      <c r="O119">
        <f>ROUND(SUMPRODUCT(E119:N119,$E$1:$N$1)/Pondérations!$B$16,3)</f>
        <v/>
      </c>
      <c r="P119">
        <f>1+COUNTIF($O$5:$O$206,"&gt;"&amp;O119)+COUNTIF($O$5:$O119,O119)-1</f>
        <v/>
      </c>
      <c r="Q119">
        <f>1+COUNTIFS($C$5:$C$206,C119,$O$5:$O$206,"&gt;"&amp;O119)+COUNTIFS($C$5:$C119,C119,$O$5:$O119,O119)-1</f>
        <v/>
      </c>
      <c r="R119" s="182" t="n">
        <v>0.185</v>
      </c>
      <c r="S119">
        <f>IFERROR(ROUND(O119/(D119/100),2),"")</f>
        <v/>
      </c>
    </row>
    <row r="120">
      <c r="A120">
        <f>Comparatif!A79</f>
        <v/>
      </c>
      <c r="B120">
        <f>Comparatif!B79</f>
        <v/>
      </c>
      <c r="C120" t="inlineStr">
        <is>
          <t>Dongle</t>
        </is>
      </c>
      <c r="D120">
        <f>Comparatif!AF79</f>
        <v/>
      </c>
      <c r="E120">
        <f>ROUND(10*(Comparatif!G79-E$2)/(E$3-E$2),4)</f>
        <v/>
      </c>
      <c r="F120">
        <f>ROUND(10*(Comparatif!H79-F$2)/(F$3-F$2),4)</f>
        <v/>
      </c>
      <c r="G120">
        <f>ROUND(10*(Comparatif!I79-G$2)/(G$3-G$2),4)</f>
        <v/>
      </c>
      <c r="H120">
        <f>ROUND(10*(Comparatif!J79-H$2)/(H$3-H$2),4)</f>
        <v/>
      </c>
      <c r="I120">
        <f>ROUND(10*(Comparatif!K79-I$2)/(I$3-I$2),4)</f>
        <v/>
      </c>
      <c r="J120">
        <f>ROUND(10*(Comparatif!L79-J$2)/(J$3-J$2),4)</f>
        <v/>
      </c>
      <c r="K120">
        <f>ROUND(10*(Comparatif!M79-K$2)/(K$3-K$2),4)</f>
        <v/>
      </c>
      <c r="L120">
        <f>ROUND(10*(Comparatif!N79-L$2)/(L$3-L$2),4)</f>
        <v/>
      </c>
      <c r="M120">
        <f>ROUND(10*(Comparatif!O79-M$2)/(M$3-M$2),4)</f>
        <v/>
      </c>
      <c r="N120">
        <f>ROUND(10*(Comparatif!P79-N$2)/(N$3-N$2),4)</f>
        <v/>
      </c>
      <c r="O120">
        <f>ROUND(SUMPRODUCT(E120:N120,$E$1:$N$1)/Pondérations!$B$16,3)</f>
        <v/>
      </c>
      <c r="P120">
        <f>1+COUNTIF($O$5:$O$206,"&gt;"&amp;O120)+COUNTIF($O$5:$O120,O120)-1</f>
        <v/>
      </c>
      <c r="Q120">
        <f>1+COUNTIFS($C$5:$C$206,C120,$O$5:$O$206,"&gt;"&amp;O120)+COUNTIFS($C$5:$C120,C120,$O$5:$O120,O120)-1</f>
        <v/>
      </c>
      <c r="R120" s="182" t="n">
        <v>0</v>
      </c>
      <c r="S120">
        <f>IFERROR(ROUND(O120/(D120/100),2),"")</f>
        <v/>
      </c>
    </row>
    <row r="121">
      <c r="A121">
        <f>Comparatif!A45</f>
        <v/>
      </c>
      <c r="B121">
        <f>Comparatif!B45</f>
        <v/>
      </c>
      <c r="C121" t="inlineStr">
        <is>
          <t>Dongle</t>
        </is>
      </c>
      <c r="D121">
        <f>Comparatif!AF45</f>
        <v/>
      </c>
      <c r="E121">
        <f>ROUND(10*(Comparatif!G45-E$2)/(E$3-E$2),4)</f>
        <v/>
      </c>
      <c r="F121">
        <f>ROUND(10*(Comparatif!H45-F$2)/(F$3-F$2),4)</f>
        <v/>
      </c>
      <c r="G121">
        <f>ROUND(10*(Comparatif!I45-G$2)/(G$3-G$2),4)</f>
        <v/>
      </c>
      <c r="H121">
        <f>ROUND(10*(Comparatif!J45-H$2)/(H$3-H$2),4)</f>
        <v/>
      </c>
      <c r="I121">
        <f>ROUND(10*(Comparatif!K45-I$2)/(I$3-I$2),4)</f>
        <v/>
      </c>
      <c r="J121">
        <f>ROUND(10*(Comparatif!L45-J$2)/(J$3-J$2),4)</f>
        <v/>
      </c>
      <c r="K121">
        <f>ROUND(10*(Comparatif!M45-K$2)/(K$3-K$2),4)</f>
        <v/>
      </c>
      <c r="L121">
        <f>ROUND(10*(Comparatif!N45-L$2)/(L$3-L$2),4)</f>
        <v/>
      </c>
      <c r="M121">
        <f>ROUND(10*(Comparatif!O45-M$2)/(M$3-M$2),4)</f>
        <v/>
      </c>
      <c r="N121">
        <f>ROUND(10*(Comparatif!P45-N$2)/(N$3-N$2),4)</f>
        <v/>
      </c>
      <c r="O121">
        <f>ROUND(SUMPRODUCT(E121:N121,$E$1:$N$1)/Pondérations!$B$16,3)</f>
        <v/>
      </c>
      <c r="P121">
        <f>1+COUNTIF($O$5:$O$206,"&gt;"&amp;O121)+COUNTIF($O$5:$O121,O121)-1</f>
        <v/>
      </c>
      <c r="Q121">
        <f>1+COUNTIFS($C$5:$C$206,C121,$O$5:$O$206,"&gt;"&amp;O121)+COUNTIFS($C$5:$C121,C121,$O$5:$O121,O121)-1</f>
        <v/>
      </c>
      <c r="R121" s="182" t="n">
        <v>0</v>
      </c>
      <c r="S121">
        <f>IFERROR(ROUND(O121/(D121/100),2),"")</f>
        <v/>
      </c>
    </row>
    <row r="122">
      <c r="A122">
        <f>Comparatif!A86</f>
        <v/>
      </c>
      <c r="B122">
        <f>Comparatif!B86</f>
        <v/>
      </c>
      <c r="C122" t="inlineStr">
        <is>
          <t>Dongle</t>
        </is>
      </c>
      <c r="D122">
        <f>Comparatif!AF86</f>
        <v/>
      </c>
      <c r="E122">
        <f>ROUND(10*(Comparatif!G86-E$2)/(E$3-E$2),4)</f>
        <v/>
      </c>
      <c r="F122">
        <f>ROUND(10*(Comparatif!H86-F$2)/(F$3-F$2),4)</f>
        <v/>
      </c>
      <c r="G122">
        <f>ROUND(10*(Comparatif!I86-G$2)/(G$3-G$2),4)</f>
        <v/>
      </c>
      <c r="H122">
        <f>ROUND(10*(Comparatif!J86-H$2)/(H$3-H$2),4)</f>
        <v/>
      </c>
      <c r="I122">
        <f>ROUND(10*(Comparatif!K86-I$2)/(I$3-I$2),4)</f>
        <v/>
      </c>
      <c r="J122">
        <f>ROUND(10*(Comparatif!L86-J$2)/(J$3-J$2),4)</f>
        <v/>
      </c>
      <c r="K122">
        <f>ROUND(10*(Comparatif!M86-K$2)/(K$3-K$2),4)</f>
        <v/>
      </c>
      <c r="L122">
        <f>ROUND(10*(Comparatif!N86-L$2)/(L$3-L$2),4)</f>
        <v/>
      </c>
      <c r="M122">
        <f>ROUND(10*(Comparatif!O86-M$2)/(M$3-M$2),4)</f>
        <v/>
      </c>
      <c r="N122">
        <f>ROUND(10*(Comparatif!P86-N$2)/(N$3-N$2),4)</f>
        <v/>
      </c>
      <c r="O122">
        <f>ROUND(SUMPRODUCT(E122:N122,$E$1:$N$1)/Pondérations!$B$16,3)</f>
        <v/>
      </c>
      <c r="P122">
        <f>1+COUNTIF($O$5:$O$206,"&gt;"&amp;O122)+COUNTIF($O$5:$O122,O122)-1</f>
        <v/>
      </c>
      <c r="Q122">
        <f>1+COUNTIFS($C$5:$C$206,C122,$O$5:$O$206,"&gt;"&amp;O122)+COUNTIFS($C$5:$C122,C122,$O$5:$O122,O122)-1</f>
        <v/>
      </c>
      <c r="R122" s="182" t="n">
        <v>0</v>
      </c>
      <c r="S122">
        <f>IFERROR(ROUND(O122/(D122/100),2),"")</f>
        <v/>
      </c>
    </row>
    <row r="123">
      <c r="A123">
        <f>Comparatif!A40</f>
        <v/>
      </c>
      <c r="B123">
        <f>Comparatif!B40</f>
        <v/>
      </c>
      <c r="C123" t="inlineStr">
        <is>
          <t>Bluetooth</t>
        </is>
      </c>
      <c r="D123">
        <f>Comparatif!AF40</f>
        <v/>
      </c>
      <c r="E123">
        <f>ROUND(10*(Comparatif!G40-E$2)/(E$3-E$2),4)</f>
        <v/>
      </c>
      <c r="F123">
        <f>ROUND(10*(Comparatif!H40-F$2)/(F$3-F$2),4)</f>
        <v/>
      </c>
      <c r="G123">
        <f>ROUND(10*(Comparatif!I40-G$2)/(G$3-G$2),4)</f>
        <v/>
      </c>
      <c r="H123">
        <f>ROUND(10*(Comparatif!J40-H$2)/(H$3-H$2),4)</f>
        <v/>
      </c>
      <c r="I123">
        <f>ROUND(10*(Comparatif!K40-I$2)/(I$3-I$2),4)</f>
        <v/>
      </c>
      <c r="J123">
        <f>ROUND(10*(Comparatif!L40-J$2)/(J$3-J$2),4)</f>
        <v/>
      </c>
      <c r="K123">
        <f>ROUND(10*(Comparatif!M40-K$2)/(K$3-K$2),4)</f>
        <v/>
      </c>
      <c r="L123">
        <f>ROUND(10*(Comparatif!N40-L$2)/(L$3-L$2),4)</f>
        <v/>
      </c>
      <c r="M123">
        <f>ROUND(10*(Comparatif!O40-M$2)/(M$3-M$2),4)</f>
        <v/>
      </c>
      <c r="N123">
        <f>ROUND(10*(Comparatif!P40-N$2)/(N$3-N$2),4)</f>
        <v/>
      </c>
      <c r="O123">
        <f>ROUND(SUMPRODUCT(E123:N123,$E$1:$N$1)/Pondérations!$B$16,3)</f>
        <v/>
      </c>
      <c r="P123">
        <f>1+COUNTIF($O$5:$O$206,"&gt;"&amp;O123)+COUNTIF($O$5:$O123,O123)-1</f>
        <v/>
      </c>
      <c r="Q123">
        <f>1+COUNTIFS($C$5:$C$206,C123,$O$5:$O$206,"&gt;"&amp;O123)+COUNTIFS($C$5:$C123,C123,$O$5:$O123,O123)-1</f>
        <v/>
      </c>
      <c r="R123" s="182" t="n">
        <v>0.172</v>
      </c>
      <c r="S123">
        <f>IFERROR(ROUND(O123/(D123/100),2),"")</f>
        <v/>
      </c>
    </row>
    <row r="124">
      <c r="A124">
        <f>Comparatif!A117</f>
        <v/>
      </c>
      <c r="B124">
        <f>Comparatif!B117</f>
        <v/>
      </c>
      <c r="C124" t="inlineStr">
        <is>
          <t>À classer</t>
        </is>
      </c>
      <c r="D124">
        <f>Comparatif!AF117</f>
        <v/>
      </c>
      <c r="E124">
        <f>ROUND(10*(Comparatif!G117-E$2)/(E$3-E$2),4)</f>
        <v/>
      </c>
      <c r="F124">
        <f>ROUND(10*(Comparatif!H117-F$2)/(F$3-F$2),4)</f>
        <v/>
      </c>
      <c r="G124">
        <f>ROUND(10*(Comparatif!I117-G$2)/(G$3-G$2),4)</f>
        <v/>
      </c>
      <c r="H124">
        <f>ROUND(10*(Comparatif!J117-H$2)/(H$3-H$2),4)</f>
        <v/>
      </c>
      <c r="I124">
        <f>ROUND(10*(Comparatif!K117-I$2)/(I$3-I$2),4)</f>
        <v/>
      </c>
      <c r="J124">
        <f>ROUND(10*(Comparatif!L117-J$2)/(J$3-J$2),4)</f>
        <v/>
      </c>
      <c r="K124">
        <f>ROUND(10*(Comparatif!M117-K$2)/(K$3-K$2),4)</f>
        <v/>
      </c>
      <c r="L124">
        <f>ROUND(10*(Comparatif!N117-L$2)/(L$3-L$2),4)</f>
        <v/>
      </c>
      <c r="M124">
        <f>ROUND(10*(Comparatif!O117-M$2)/(M$3-M$2),4)</f>
        <v/>
      </c>
      <c r="N124">
        <f>ROUND(10*(Comparatif!P117-N$2)/(N$3-N$2),4)</f>
        <v/>
      </c>
      <c r="O124">
        <f>ROUND(SUMPRODUCT(E124:N124,$E$1:$N$1)/Pondérations!$B$16,3)</f>
        <v/>
      </c>
      <c r="P124">
        <f>1+COUNTIF($O$5:$O$206,"&gt;"&amp;O124)+COUNTIF($O$5:$O124,O124)-1</f>
        <v/>
      </c>
      <c r="Q124">
        <f>1+COUNTIFS($C$5:$C$206,C124,$O$5:$O$206,"&gt;"&amp;O124)+COUNTIFS($C$5:$C124,C124,$O$5:$O124,O124)-1</f>
        <v/>
      </c>
      <c r="R124" s="182" t="n">
        <v>0.0095</v>
      </c>
      <c r="S124">
        <f>IFERROR(ROUND(O124/(D124/100),2),"")</f>
        <v/>
      </c>
    </row>
    <row r="125">
      <c r="A125">
        <f>Comparatif!A141</f>
        <v/>
      </c>
      <c r="B125">
        <f>Comparatif!B141</f>
        <v/>
      </c>
      <c r="C125" t="inlineStr">
        <is>
          <t>Dongle</t>
        </is>
      </c>
      <c r="D125">
        <f>Comparatif!AF141</f>
        <v/>
      </c>
      <c r="E125">
        <f>ROUND(10*(Comparatif!G141-E$2)/(E$3-E$2),4)</f>
        <v/>
      </c>
      <c r="F125">
        <f>ROUND(10*(Comparatif!H141-F$2)/(F$3-F$2),4)</f>
        <v/>
      </c>
      <c r="G125">
        <f>ROUND(10*(Comparatif!I141-G$2)/(G$3-G$2),4)</f>
        <v/>
      </c>
      <c r="H125">
        <f>ROUND(10*(Comparatif!J141-H$2)/(H$3-H$2),4)</f>
        <v/>
      </c>
      <c r="I125">
        <f>ROUND(10*(Comparatif!K141-I$2)/(I$3-I$2),4)</f>
        <v/>
      </c>
      <c r="J125">
        <f>ROUND(10*(Comparatif!L141-J$2)/(J$3-J$2),4)</f>
        <v/>
      </c>
      <c r="K125">
        <f>ROUND(10*(Comparatif!M141-K$2)/(K$3-K$2),4)</f>
        <v/>
      </c>
      <c r="L125">
        <f>ROUND(10*(Comparatif!N141-L$2)/(L$3-L$2),4)</f>
        <v/>
      </c>
      <c r="M125">
        <f>ROUND(10*(Comparatif!O141-M$2)/(M$3-M$2),4)</f>
        <v/>
      </c>
      <c r="N125">
        <f>ROUND(10*(Comparatif!P141-N$2)/(N$3-N$2),4)</f>
        <v/>
      </c>
      <c r="O125">
        <f>ROUND(SUMPRODUCT(E125:N125,$E$1:$N$1)/Pondérations!$B$16,3)</f>
        <v/>
      </c>
      <c r="P125">
        <f>1+COUNTIF($O$5:$O$206,"&gt;"&amp;O125)+COUNTIF($O$5:$O125,O125)-1</f>
        <v/>
      </c>
      <c r="Q125">
        <f>1+COUNTIFS($C$5:$C$206,C125,$O$5:$O$206,"&gt;"&amp;O125)+COUNTIFS($C$5:$C125,C125,$O$5:$O125,O125)-1</f>
        <v/>
      </c>
      <c r="R125" s="182" t="n">
        <v>0</v>
      </c>
      <c r="S125">
        <f>IFERROR(ROUND(O125/(D125/100),2),"")</f>
        <v/>
      </c>
    </row>
    <row r="126">
      <c r="A126">
        <f>Comparatif!A44</f>
        <v/>
      </c>
      <c r="B126">
        <f>Comparatif!B44</f>
        <v/>
      </c>
      <c r="C126" t="inlineStr">
        <is>
          <t>Bluetooth</t>
        </is>
      </c>
      <c r="D126">
        <f>Comparatif!AF44</f>
        <v/>
      </c>
      <c r="E126">
        <f>ROUND(10*(Comparatif!G44-E$2)/(E$3-E$2),4)</f>
        <v/>
      </c>
      <c r="F126">
        <f>ROUND(10*(Comparatif!H44-F$2)/(F$3-F$2),4)</f>
        <v/>
      </c>
      <c r="G126">
        <f>ROUND(10*(Comparatif!I44-G$2)/(G$3-G$2),4)</f>
        <v/>
      </c>
      <c r="H126">
        <f>ROUND(10*(Comparatif!J44-H$2)/(H$3-H$2),4)</f>
        <v/>
      </c>
      <c r="I126">
        <f>ROUND(10*(Comparatif!K44-I$2)/(I$3-I$2),4)</f>
        <v/>
      </c>
      <c r="J126">
        <f>ROUND(10*(Comparatif!L44-J$2)/(J$3-J$2),4)</f>
        <v/>
      </c>
      <c r="K126">
        <f>ROUND(10*(Comparatif!M44-K$2)/(K$3-K$2),4)</f>
        <v/>
      </c>
      <c r="L126">
        <f>ROUND(10*(Comparatif!N44-L$2)/(L$3-L$2),4)</f>
        <v/>
      </c>
      <c r="M126">
        <f>ROUND(10*(Comparatif!O44-M$2)/(M$3-M$2),4)</f>
        <v/>
      </c>
      <c r="N126">
        <f>ROUND(10*(Comparatif!P44-N$2)/(N$3-N$2),4)</f>
        <v/>
      </c>
      <c r="O126">
        <f>ROUND(SUMPRODUCT(E126:N126,$E$1:$N$1)/Pondérations!$B$16,3)</f>
        <v/>
      </c>
      <c r="P126">
        <f>1+COUNTIF($O$5:$O$206,"&gt;"&amp;O126)+COUNTIF($O$5:$O126,O126)-1</f>
        <v/>
      </c>
      <c r="Q126">
        <f>1+COUNTIFS($C$5:$C$206,C126,$O$5:$O$206,"&gt;"&amp;O126)+COUNTIFS($C$5:$C126,C126,$O$5:$O126,O126)-1</f>
        <v/>
      </c>
      <c r="R126" s="182" t="n">
        <v>0</v>
      </c>
      <c r="S126">
        <f>IFERROR(ROUND(O126/(D126/100),2),"")</f>
        <v/>
      </c>
    </row>
    <row r="127">
      <c r="A127">
        <f>Comparatif!A87</f>
        <v/>
      </c>
      <c r="B127">
        <f>Comparatif!B87</f>
        <v/>
      </c>
      <c r="C127" t="inlineStr">
        <is>
          <t>Dongle</t>
        </is>
      </c>
      <c r="D127">
        <f>Comparatif!AF87</f>
        <v/>
      </c>
      <c r="E127">
        <f>ROUND(10*(Comparatif!G87-E$2)/(E$3-E$2),4)</f>
        <v/>
      </c>
      <c r="F127">
        <f>ROUND(10*(Comparatif!H87-F$2)/(F$3-F$2),4)</f>
        <v/>
      </c>
      <c r="G127">
        <f>ROUND(10*(Comparatif!I87-G$2)/(G$3-G$2),4)</f>
        <v/>
      </c>
      <c r="H127">
        <f>ROUND(10*(Comparatif!J87-H$2)/(H$3-H$2),4)</f>
        <v/>
      </c>
      <c r="I127">
        <f>ROUND(10*(Comparatif!K87-I$2)/(I$3-I$2),4)</f>
        <v/>
      </c>
      <c r="J127">
        <f>ROUND(10*(Comparatif!L87-J$2)/(J$3-J$2),4)</f>
        <v/>
      </c>
      <c r="K127">
        <f>ROUND(10*(Comparatif!M87-K$2)/(K$3-K$2),4)</f>
        <v/>
      </c>
      <c r="L127">
        <f>ROUND(10*(Comparatif!N87-L$2)/(L$3-L$2),4)</f>
        <v/>
      </c>
      <c r="M127">
        <f>ROUND(10*(Comparatif!O87-M$2)/(M$3-M$2),4)</f>
        <v/>
      </c>
      <c r="N127">
        <f>ROUND(10*(Comparatif!P87-N$2)/(N$3-N$2),4)</f>
        <v/>
      </c>
      <c r="O127">
        <f>ROUND(SUMPRODUCT(E127:N127,$E$1:$N$1)/Pondérations!$B$16,3)</f>
        <v/>
      </c>
      <c r="P127">
        <f>1+COUNTIF($O$5:$O$206,"&gt;"&amp;O127)+COUNTIF($O$5:$O127,O127)-1</f>
        <v/>
      </c>
      <c r="Q127">
        <f>1+COUNTIFS($C$5:$C$206,C127,$O$5:$O$206,"&gt;"&amp;O127)+COUNTIFS($C$5:$C127,C127,$O$5:$O127,O127)-1</f>
        <v/>
      </c>
      <c r="R127" s="182" t="n">
        <v>0</v>
      </c>
      <c r="S127">
        <f>IFERROR(ROUND(O127/(D127/100),2),"")</f>
        <v/>
      </c>
    </row>
    <row r="128">
      <c r="A128">
        <f>Comparatif!A28</f>
        <v/>
      </c>
      <c r="B128">
        <f>Comparatif!B28</f>
        <v/>
      </c>
      <c r="C128" t="inlineStr">
        <is>
          <t>Dongle</t>
        </is>
      </c>
      <c r="D128">
        <f>Comparatif!AF28</f>
        <v/>
      </c>
      <c r="E128">
        <f>ROUND(10*(Comparatif!G28-E$2)/(E$3-E$2),4)</f>
        <v/>
      </c>
      <c r="F128">
        <f>ROUND(10*(Comparatif!H28-F$2)/(F$3-F$2),4)</f>
        <v/>
      </c>
      <c r="G128">
        <f>ROUND(10*(Comparatif!I28-G$2)/(G$3-G$2),4)</f>
        <v/>
      </c>
      <c r="H128">
        <f>ROUND(10*(Comparatif!J28-H$2)/(H$3-H$2),4)</f>
        <v/>
      </c>
      <c r="I128">
        <f>ROUND(10*(Comparatif!K28-I$2)/(I$3-I$2),4)</f>
        <v/>
      </c>
      <c r="J128">
        <f>ROUND(10*(Comparatif!L28-J$2)/(J$3-J$2),4)</f>
        <v/>
      </c>
      <c r="K128">
        <f>ROUND(10*(Comparatif!M28-K$2)/(K$3-K$2),4)</f>
        <v/>
      </c>
      <c r="L128">
        <f>ROUND(10*(Comparatif!N28-L$2)/(L$3-L$2),4)</f>
        <v/>
      </c>
      <c r="M128">
        <f>ROUND(10*(Comparatif!O28-M$2)/(M$3-M$2),4)</f>
        <v/>
      </c>
      <c r="N128">
        <f>ROUND(10*(Comparatif!P28-N$2)/(N$3-N$2),4)</f>
        <v/>
      </c>
      <c r="O128">
        <f>ROUND(SUMPRODUCT(E128:N128,$E$1:$N$1)/Pondérations!$B$16,3)</f>
        <v/>
      </c>
      <c r="P128">
        <f>1+COUNTIF($O$5:$O$206,"&gt;"&amp;O128)+COUNTIF($O$5:$O128,O128)-1</f>
        <v/>
      </c>
      <c r="Q128">
        <f>1+COUNTIFS($C$5:$C$206,C128,$O$5:$O$206,"&gt;"&amp;O128)+COUNTIFS($C$5:$C128,C128,$O$5:$O128,O128)-1</f>
        <v/>
      </c>
      <c r="R128" s="182" t="n">
        <v>0</v>
      </c>
      <c r="S128">
        <f>IFERROR(ROUND(O128/(D128/100),2),"")</f>
        <v/>
      </c>
    </row>
    <row r="129">
      <c r="A129">
        <f>Comparatif!A121</f>
        <v/>
      </c>
      <c r="B129">
        <f>Comparatif!B121</f>
        <v/>
      </c>
      <c r="C129" t="inlineStr">
        <is>
          <t>Dongle</t>
        </is>
      </c>
      <c r="D129">
        <f>Comparatif!AF121</f>
        <v/>
      </c>
      <c r="E129">
        <f>ROUND(10*(Comparatif!G121-E$2)/(E$3-E$2),4)</f>
        <v/>
      </c>
      <c r="F129">
        <f>ROUND(10*(Comparatif!H121-F$2)/(F$3-F$2),4)</f>
        <v/>
      </c>
      <c r="G129">
        <f>ROUND(10*(Comparatif!I121-G$2)/(G$3-G$2),4)</f>
        <v/>
      </c>
      <c r="H129">
        <f>ROUND(10*(Comparatif!J121-H$2)/(H$3-H$2),4)</f>
        <v/>
      </c>
      <c r="I129">
        <f>ROUND(10*(Comparatif!K121-I$2)/(I$3-I$2),4)</f>
        <v/>
      </c>
      <c r="J129">
        <f>ROUND(10*(Comparatif!L121-J$2)/(J$3-J$2),4)</f>
        <v/>
      </c>
      <c r="K129">
        <f>ROUND(10*(Comparatif!M121-K$2)/(K$3-K$2),4)</f>
        <v/>
      </c>
      <c r="L129">
        <f>ROUND(10*(Comparatif!N121-L$2)/(L$3-L$2),4)</f>
        <v/>
      </c>
      <c r="M129">
        <f>ROUND(10*(Comparatif!O121-M$2)/(M$3-M$2),4)</f>
        <v/>
      </c>
      <c r="N129">
        <f>ROUND(10*(Comparatif!P121-N$2)/(N$3-N$2),4)</f>
        <v/>
      </c>
      <c r="O129">
        <f>ROUND(SUMPRODUCT(E129:N129,$E$1:$N$1)/Pondérations!$B$16,3)</f>
        <v/>
      </c>
      <c r="P129">
        <f>1+COUNTIF($O$5:$O$206,"&gt;"&amp;O129)+COUNTIF($O$5:$O129,O129)-1</f>
        <v/>
      </c>
      <c r="Q129">
        <f>1+COUNTIFS($C$5:$C$206,C129,$O$5:$O$206,"&gt;"&amp;O129)+COUNTIFS($C$5:$C129,C129,$O$5:$O129,O129)-1</f>
        <v/>
      </c>
      <c r="R129" s="182" t="n">
        <v>0</v>
      </c>
      <c r="S129">
        <f>IFERROR(ROUND(O129/(D129/100),2),"")</f>
        <v/>
      </c>
    </row>
    <row r="130">
      <c r="A130">
        <f>Comparatif!A62</f>
        <v/>
      </c>
      <c r="B130">
        <f>Comparatif!B62</f>
        <v/>
      </c>
      <c r="C130" t="inlineStr">
        <is>
          <t>Dongle</t>
        </is>
      </c>
      <c r="D130">
        <f>Comparatif!AF62</f>
        <v/>
      </c>
      <c r="E130">
        <f>ROUND(10*(Comparatif!G62-E$2)/(E$3-E$2),4)</f>
        <v/>
      </c>
      <c r="F130">
        <f>ROUND(10*(Comparatif!H62-F$2)/(F$3-F$2),4)</f>
        <v/>
      </c>
      <c r="G130">
        <f>ROUND(10*(Comparatif!I62-G$2)/(G$3-G$2),4)</f>
        <v/>
      </c>
      <c r="H130">
        <f>ROUND(10*(Comparatif!J62-H$2)/(H$3-H$2),4)</f>
        <v/>
      </c>
      <c r="I130">
        <f>ROUND(10*(Comparatif!K62-I$2)/(I$3-I$2),4)</f>
        <v/>
      </c>
      <c r="J130">
        <f>ROUND(10*(Comparatif!L62-J$2)/(J$3-J$2),4)</f>
        <v/>
      </c>
      <c r="K130">
        <f>ROUND(10*(Comparatif!M62-K$2)/(K$3-K$2),4)</f>
        <v/>
      </c>
      <c r="L130">
        <f>ROUND(10*(Comparatif!N62-L$2)/(L$3-L$2),4)</f>
        <v/>
      </c>
      <c r="M130">
        <f>ROUND(10*(Comparatif!O62-M$2)/(M$3-M$2),4)</f>
        <v/>
      </c>
      <c r="N130">
        <f>ROUND(10*(Comparatif!P62-N$2)/(N$3-N$2),4)</f>
        <v/>
      </c>
      <c r="O130">
        <f>ROUND(SUMPRODUCT(E130:N130,$E$1:$N$1)/Pondérations!$B$16,3)</f>
        <v/>
      </c>
      <c r="P130">
        <f>1+COUNTIF($O$5:$O$206,"&gt;"&amp;O130)+COUNTIF($O$5:$O130,O130)-1</f>
        <v/>
      </c>
      <c r="Q130">
        <f>1+COUNTIFS($C$5:$C$206,C130,$O$5:$O$206,"&gt;"&amp;O130)+COUNTIFS($C$5:$C130,C130,$O$5:$O130,O130)-1</f>
        <v/>
      </c>
      <c r="R130" s="182" t="n">
        <v>0</v>
      </c>
      <c r="S130">
        <f>IFERROR(ROUND(O130/(D130/100),2),"")</f>
        <v/>
      </c>
    </row>
    <row r="131">
      <c r="A131">
        <f>Comparatif!A120</f>
        <v/>
      </c>
      <c r="B131">
        <f>Comparatif!B120</f>
        <v/>
      </c>
      <c r="C131" t="inlineStr">
        <is>
          <t>Dongle</t>
        </is>
      </c>
      <c r="D131">
        <f>Comparatif!AF120</f>
        <v/>
      </c>
      <c r="E131">
        <f>ROUND(10*(Comparatif!G120-E$2)/(E$3-E$2),4)</f>
        <v/>
      </c>
      <c r="F131">
        <f>ROUND(10*(Comparatif!H120-F$2)/(F$3-F$2),4)</f>
        <v/>
      </c>
      <c r="G131">
        <f>ROUND(10*(Comparatif!I120-G$2)/(G$3-G$2),4)</f>
        <v/>
      </c>
      <c r="H131">
        <f>ROUND(10*(Comparatif!J120-H$2)/(H$3-H$2),4)</f>
        <v/>
      </c>
      <c r="I131">
        <f>ROUND(10*(Comparatif!K120-I$2)/(I$3-I$2),4)</f>
        <v/>
      </c>
      <c r="J131">
        <f>ROUND(10*(Comparatif!L120-J$2)/(J$3-J$2),4)</f>
        <v/>
      </c>
      <c r="K131">
        <f>ROUND(10*(Comparatif!M120-K$2)/(K$3-K$2),4)</f>
        <v/>
      </c>
      <c r="L131">
        <f>ROUND(10*(Comparatif!N120-L$2)/(L$3-L$2),4)</f>
        <v/>
      </c>
      <c r="M131">
        <f>ROUND(10*(Comparatif!O120-M$2)/(M$3-M$2),4)</f>
        <v/>
      </c>
      <c r="N131">
        <f>ROUND(10*(Comparatif!P120-N$2)/(N$3-N$2),4)</f>
        <v/>
      </c>
      <c r="O131">
        <f>ROUND(SUMPRODUCT(E131:N131,$E$1:$N$1)/Pondérations!$B$16,3)</f>
        <v/>
      </c>
      <c r="P131">
        <f>1+COUNTIF($O$5:$O$206,"&gt;"&amp;O131)+COUNTIF($O$5:$O131,O131)-1</f>
        <v/>
      </c>
      <c r="Q131">
        <f>1+COUNTIFS($C$5:$C$206,C131,$O$5:$O$206,"&gt;"&amp;O131)+COUNTIFS($C$5:$C131,C131,$O$5:$O131,O131)-1</f>
        <v/>
      </c>
      <c r="R131" s="182" t="n">
        <v>0</v>
      </c>
      <c r="S131">
        <f>IFERROR(ROUND(O131/(D131/100),2),"")</f>
        <v/>
      </c>
    </row>
    <row r="132">
      <c r="A132">
        <f>Comparatif!A118</f>
        <v/>
      </c>
      <c r="B132">
        <f>Comparatif!B118</f>
        <v/>
      </c>
      <c r="C132" t="inlineStr">
        <is>
          <t>Dongle</t>
        </is>
      </c>
      <c r="D132">
        <f>Comparatif!AF118</f>
        <v/>
      </c>
      <c r="E132">
        <f>ROUND(10*(Comparatif!G118-E$2)/(E$3-E$2),4)</f>
        <v/>
      </c>
      <c r="F132">
        <f>ROUND(10*(Comparatif!H118-F$2)/(F$3-F$2),4)</f>
        <v/>
      </c>
      <c r="G132">
        <f>ROUND(10*(Comparatif!I118-G$2)/(G$3-G$2),4)</f>
        <v/>
      </c>
      <c r="H132">
        <f>ROUND(10*(Comparatif!J118-H$2)/(H$3-H$2),4)</f>
        <v/>
      </c>
      <c r="I132">
        <f>ROUND(10*(Comparatif!K118-I$2)/(I$3-I$2),4)</f>
        <v/>
      </c>
      <c r="J132">
        <f>ROUND(10*(Comparatif!L118-J$2)/(J$3-J$2),4)</f>
        <v/>
      </c>
      <c r="K132">
        <f>ROUND(10*(Comparatif!M118-K$2)/(K$3-K$2),4)</f>
        <v/>
      </c>
      <c r="L132">
        <f>ROUND(10*(Comparatif!N118-L$2)/(L$3-L$2),4)</f>
        <v/>
      </c>
      <c r="M132">
        <f>ROUND(10*(Comparatif!O118-M$2)/(M$3-M$2),4)</f>
        <v/>
      </c>
      <c r="N132">
        <f>ROUND(10*(Comparatif!P118-N$2)/(N$3-N$2),4)</f>
        <v/>
      </c>
      <c r="O132">
        <f>ROUND(SUMPRODUCT(E132:N132,$E$1:$N$1)/Pondérations!$B$16,3)</f>
        <v/>
      </c>
      <c r="P132">
        <f>1+COUNTIF($O$5:$O$206,"&gt;"&amp;O132)+COUNTIF($O$5:$O132,O132)-1</f>
        <v/>
      </c>
      <c r="Q132">
        <f>1+COUNTIFS($C$5:$C$206,C132,$O$5:$O$206,"&gt;"&amp;O132)+COUNTIFS($C$5:$C132,C132,$O$5:$O132,O132)-1</f>
        <v/>
      </c>
      <c r="R132" s="182" t="n">
        <v>0</v>
      </c>
      <c r="S132">
        <f>IFERROR(ROUND(O132/(D132/100),2),"")</f>
        <v/>
      </c>
    </row>
    <row r="133">
      <c r="A133">
        <f>Comparatif!A143</f>
        <v/>
      </c>
      <c r="B133">
        <f>Comparatif!B143</f>
        <v/>
      </c>
      <c r="C133" t="inlineStr">
        <is>
          <t>Dongle</t>
        </is>
      </c>
      <c r="D133">
        <f>Comparatif!AF143</f>
        <v/>
      </c>
      <c r="E133">
        <f>ROUND(10*(Comparatif!G143-E$2)/(E$3-E$2),4)</f>
        <v/>
      </c>
      <c r="F133">
        <f>ROUND(10*(Comparatif!H143-F$2)/(F$3-F$2),4)</f>
        <v/>
      </c>
      <c r="G133">
        <f>ROUND(10*(Comparatif!I143-G$2)/(G$3-G$2),4)</f>
        <v/>
      </c>
      <c r="H133">
        <f>ROUND(10*(Comparatif!J143-H$2)/(H$3-H$2),4)</f>
        <v/>
      </c>
      <c r="I133">
        <f>ROUND(10*(Comparatif!K143-I$2)/(I$3-I$2),4)</f>
        <v/>
      </c>
      <c r="J133">
        <f>ROUND(10*(Comparatif!L143-J$2)/(J$3-J$2),4)</f>
        <v/>
      </c>
      <c r="K133">
        <f>ROUND(10*(Comparatif!M143-K$2)/(K$3-K$2),4)</f>
        <v/>
      </c>
      <c r="L133">
        <f>ROUND(10*(Comparatif!N143-L$2)/(L$3-L$2),4)</f>
        <v/>
      </c>
      <c r="M133">
        <f>ROUND(10*(Comparatif!O143-M$2)/(M$3-M$2),4)</f>
        <v/>
      </c>
      <c r="N133">
        <f>ROUND(10*(Comparatif!P143-N$2)/(N$3-N$2),4)</f>
        <v/>
      </c>
      <c r="O133">
        <f>ROUND(SUMPRODUCT(E133:N133,$E$1:$N$1)/Pondérations!$B$16,3)</f>
        <v/>
      </c>
      <c r="P133">
        <f>1+COUNTIF($O$5:$O$206,"&gt;"&amp;O133)+COUNTIF($O$5:$O133,O133)-1</f>
        <v/>
      </c>
      <c r="Q133">
        <f>1+COUNTIFS($C$5:$C$206,C133,$O$5:$O$206,"&gt;"&amp;O133)+COUNTIFS($C$5:$C133,C133,$O$5:$O133,O133)-1</f>
        <v/>
      </c>
      <c r="R133" s="182" t="n">
        <v>0</v>
      </c>
      <c r="S133">
        <f>IFERROR(ROUND(O133/(D133/100),2),"")</f>
        <v/>
      </c>
    </row>
    <row r="134">
      <c r="A134">
        <f>Comparatif!A33</f>
        <v/>
      </c>
      <c r="B134">
        <f>Comparatif!B33</f>
        <v/>
      </c>
      <c r="C134" t="inlineStr">
        <is>
          <t>À classer</t>
        </is>
      </c>
      <c r="D134">
        <f>Comparatif!AF33</f>
        <v/>
      </c>
      <c r="E134">
        <f>ROUND(10*(Comparatif!G33-E$2)/(E$3-E$2),4)</f>
        <v/>
      </c>
      <c r="F134">
        <f>ROUND(10*(Comparatif!H33-F$2)/(F$3-F$2),4)</f>
        <v/>
      </c>
      <c r="G134">
        <f>ROUND(10*(Comparatif!I33-G$2)/(G$3-G$2),4)</f>
        <v/>
      </c>
      <c r="H134">
        <f>ROUND(10*(Comparatif!J33-H$2)/(H$3-H$2),4)</f>
        <v/>
      </c>
      <c r="I134">
        <f>ROUND(10*(Comparatif!K33-I$2)/(I$3-I$2),4)</f>
        <v/>
      </c>
      <c r="J134">
        <f>ROUND(10*(Comparatif!L33-J$2)/(J$3-J$2),4)</f>
        <v/>
      </c>
      <c r="K134">
        <f>ROUND(10*(Comparatif!M33-K$2)/(K$3-K$2),4)</f>
        <v/>
      </c>
      <c r="L134">
        <f>ROUND(10*(Comparatif!N33-L$2)/(L$3-L$2),4)</f>
        <v/>
      </c>
      <c r="M134">
        <f>ROUND(10*(Comparatif!O33-M$2)/(M$3-M$2),4)</f>
        <v/>
      </c>
      <c r="N134">
        <f>ROUND(10*(Comparatif!P33-N$2)/(N$3-N$2),4)</f>
        <v/>
      </c>
      <c r="O134">
        <f>ROUND(SUMPRODUCT(E134:N134,$E$1:$N$1)/Pondérations!$B$16,3)</f>
        <v/>
      </c>
      <c r="P134">
        <f>1+COUNTIF($O$5:$O$206,"&gt;"&amp;O134)+COUNTIF($O$5:$O134,O134)-1</f>
        <v/>
      </c>
      <c r="Q134">
        <f>1+COUNTIFS($C$5:$C$206,C134,$O$5:$O$206,"&gt;"&amp;O134)+COUNTIFS($C$5:$C134,C134,$O$5:$O134,O134)-1</f>
        <v/>
      </c>
      <c r="R134" s="182" t="n">
        <v>0</v>
      </c>
      <c r="S134">
        <f>IFERROR(ROUND(O134/(D134/100),2),"")</f>
        <v/>
      </c>
    </row>
    <row r="135">
      <c r="A135">
        <f>Comparatif!A60</f>
        <v/>
      </c>
      <c r="B135">
        <f>Comparatif!B60</f>
        <v/>
      </c>
      <c r="C135" t="inlineStr">
        <is>
          <t>Portable batterie</t>
        </is>
      </c>
      <c r="D135">
        <f>Comparatif!AF60</f>
        <v/>
      </c>
      <c r="E135">
        <f>ROUND(10*(Comparatif!G60-E$2)/(E$3-E$2),4)</f>
        <v/>
      </c>
      <c r="F135">
        <f>ROUND(10*(Comparatif!H60-F$2)/(F$3-F$2),4)</f>
        <v/>
      </c>
      <c r="G135">
        <f>ROUND(10*(Comparatif!I60-G$2)/(G$3-G$2),4)</f>
        <v/>
      </c>
      <c r="H135">
        <f>ROUND(10*(Comparatif!J60-H$2)/(H$3-H$2),4)</f>
        <v/>
      </c>
      <c r="I135">
        <f>ROUND(10*(Comparatif!K60-I$2)/(I$3-I$2),4)</f>
        <v/>
      </c>
      <c r="J135">
        <f>ROUND(10*(Comparatif!L60-J$2)/(J$3-J$2),4)</f>
        <v/>
      </c>
      <c r="K135">
        <f>ROUND(10*(Comparatif!M60-K$2)/(K$3-K$2),4)</f>
        <v/>
      </c>
      <c r="L135">
        <f>ROUND(10*(Comparatif!N60-L$2)/(L$3-L$2),4)</f>
        <v/>
      </c>
      <c r="M135">
        <f>ROUND(10*(Comparatif!O60-M$2)/(M$3-M$2),4)</f>
        <v/>
      </c>
      <c r="N135">
        <f>ROUND(10*(Comparatif!P60-N$2)/(N$3-N$2),4)</f>
        <v/>
      </c>
      <c r="O135">
        <f>ROUND(SUMPRODUCT(E135:N135,$E$1:$N$1)/Pondérations!$B$16,3)</f>
        <v/>
      </c>
      <c r="P135">
        <f>1+COUNTIF($O$5:$O$206,"&gt;"&amp;O135)+COUNTIF($O$5:$O135,O135)-1</f>
        <v/>
      </c>
      <c r="Q135">
        <f>1+COUNTIFS($C$5:$C$206,C135,$O$5:$O$206,"&gt;"&amp;O135)+COUNTIFS($C$5:$C135,C135,$O$5:$O135,O135)-1</f>
        <v/>
      </c>
      <c r="R135" s="182" t="n">
        <v>0</v>
      </c>
      <c r="S135">
        <f>IFERROR(ROUND(O135/(D135/100),2),"")</f>
        <v/>
      </c>
    </row>
    <row r="136">
      <c r="A136">
        <f>Comparatif!A166</f>
        <v/>
      </c>
      <c r="B136">
        <f>Comparatif!B166</f>
        <v/>
      </c>
      <c r="C136" t="inlineStr">
        <is>
          <t>Bluetooth</t>
        </is>
      </c>
      <c r="D136">
        <f>Comparatif!AF166</f>
        <v/>
      </c>
      <c r="E136">
        <f>ROUND(10*(Comparatif!G166-E$2)/(E$3-E$2),4)</f>
        <v/>
      </c>
      <c r="F136">
        <f>ROUND(10*(Comparatif!H166-F$2)/(F$3-F$2),4)</f>
        <v/>
      </c>
      <c r="G136">
        <f>ROUND(10*(Comparatif!I166-G$2)/(G$3-G$2),4)</f>
        <v/>
      </c>
      <c r="H136">
        <f>ROUND(10*(Comparatif!J166-H$2)/(H$3-H$2),4)</f>
        <v/>
      </c>
      <c r="I136">
        <f>ROUND(10*(Comparatif!K166-I$2)/(I$3-I$2),4)</f>
        <v/>
      </c>
      <c r="J136">
        <f>ROUND(10*(Comparatif!L166-J$2)/(J$3-J$2),4)</f>
        <v/>
      </c>
      <c r="K136">
        <f>ROUND(10*(Comparatif!M166-K$2)/(K$3-K$2),4)</f>
        <v/>
      </c>
      <c r="L136">
        <f>ROUND(10*(Comparatif!N166-L$2)/(L$3-L$2),4)</f>
        <v/>
      </c>
      <c r="M136">
        <f>ROUND(10*(Comparatif!O166-M$2)/(M$3-M$2),4)</f>
        <v/>
      </c>
      <c r="N136">
        <f>ROUND(10*(Comparatif!P166-N$2)/(N$3-N$2),4)</f>
        <v/>
      </c>
      <c r="O136">
        <f>ROUND(SUMPRODUCT(E136:N136,$E$1:$N$1)/Pondérations!$B$16,3)</f>
        <v/>
      </c>
      <c r="P136">
        <f>1+COUNTIF($O$5:$O$206,"&gt;"&amp;O136)+COUNTIF($O$5:$O136,O136)-1</f>
        <v/>
      </c>
      <c r="Q136">
        <f>1+COUNTIFS($C$5:$C$206,C136,$O$5:$O$206,"&gt;"&amp;O136)+COUNTIFS($C$5:$C136,C136,$O$5:$O136,O136)-1</f>
        <v/>
      </c>
      <c r="R136" s="182" t="n">
        <v>0.05</v>
      </c>
      <c r="S136">
        <f>IFERROR(ROUND(O136/(D136/100),2),"")</f>
        <v/>
      </c>
    </row>
    <row r="137">
      <c r="A137">
        <f>Comparatif!A90</f>
        <v/>
      </c>
      <c r="B137">
        <f>Comparatif!B90</f>
        <v/>
      </c>
      <c r="C137" t="inlineStr">
        <is>
          <t>Portable batterie</t>
        </is>
      </c>
      <c r="D137">
        <f>Comparatif!AF90</f>
        <v/>
      </c>
      <c r="E137">
        <f>ROUND(10*(Comparatif!G90-E$2)/(E$3-E$2),4)</f>
        <v/>
      </c>
      <c r="F137">
        <f>ROUND(10*(Comparatif!H90-F$2)/(F$3-F$2),4)</f>
        <v/>
      </c>
      <c r="G137">
        <f>ROUND(10*(Comparatif!I90-G$2)/(G$3-G$2),4)</f>
        <v/>
      </c>
      <c r="H137">
        <f>ROUND(10*(Comparatif!J90-H$2)/(H$3-H$2),4)</f>
        <v/>
      </c>
      <c r="I137">
        <f>ROUND(10*(Comparatif!K90-I$2)/(I$3-I$2),4)</f>
        <v/>
      </c>
      <c r="J137">
        <f>ROUND(10*(Comparatif!L90-J$2)/(J$3-J$2),4)</f>
        <v/>
      </c>
      <c r="K137">
        <f>ROUND(10*(Comparatif!M90-K$2)/(K$3-K$2),4)</f>
        <v/>
      </c>
      <c r="L137">
        <f>ROUND(10*(Comparatif!N90-L$2)/(L$3-L$2),4)</f>
        <v/>
      </c>
      <c r="M137">
        <f>ROUND(10*(Comparatif!O90-M$2)/(M$3-M$2),4)</f>
        <v/>
      </c>
      <c r="N137">
        <f>ROUND(10*(Comparatif!P90-N$2)/(N$3-N$2),4)</f>
        <v/>
      </c>
      <c r="O137">
        <f>ROUND(SUMPRODUCT(E137:N137,$E$1:$N$1)/Pondérations!$B$16,3)</f>
        <v/>
      </c>
      <c r="P137">
        <f>1+COUNTIF($O$5:$O$206,"&gt;"&amp;O137)+COUNTIF($O$5:$O137,O137)-1</f>
        <v/>
      </c>
      <c r="Q137">
        <f>1+COUNTIFS($C$5:$C$206,C137,$O$5:$O$206,"&gt;"&amp;O137)+COUNTIFS($C$5:$C137,C137,$O$5:$O137,O137)-1</f>
        <v/>
      </c>
      <c r="R137" s="182" t="n">
        <v>0</v>
      </c>
      <c r="S137">
        <f>IFERROR(ROUND(O137/(D137/100),2),"")</f>
        <v/>
      </c>
    </row>
    <row r="138">
      <c r="A138">
        <f>Comparatif!A93</f>
        <v/>
      </c>
      <c r="B138">
        <f>Comparatif!B93</f>
        <v/>
      </c>
      <c r="C138" t="inlineStr">
        <is>
          <t>Dongle</t>
        </is>
      </c>
      <c r="D138">
        <f>Comparatif!AF93</f>
        <v/>
      </c>
      <c r="E138">
        <f>ROUND(10*(Comparatif!G93-E$2)/(E$3-E$2),4)</f>
        <v/>
      </c>
      <c r="F138">
        <f>ROUND(10*(Comparatif!H93-F$2)/(F$3-F$2),4)</f>
        <v/>
      </c>
      <c r="G138">
        <f>ROUND(10*(Comparatif!I93-G$2)/(G$3-G$2),4)</f>
        <v/>
      </c>
      <c r="H138">
        <f>ROUND(10*(Comparatif!J93-H$2)/(H$3-H$2),4)</f>
        <v/>
      </c>
      <c r="I138">
        <f>ROUND(10*(Comparatif!K93-I$2)/(I$3-I$2),4)</f>
        <v/>
      </c>
      <c r="J138">
        <f>ROUND(10*(Comparatif!L93-J$2)/(J$3-J$2),4)</f>
        <v/>
      </c>
      <c r="K138">
        <f>ROUND(10*(Comparatif!M93-K$2)/(K$3-K$2),4)</f>
        <v/>
      </c>
      <c r="L138">
        <f>ROUND(10*(Comparatif!N93-L$2)/(L$3-L$2),4)</f>
        <v/>
      </c>
      <c r="M138">
        <f>ROUND(10*(Comparatif!O93-M$2)/(M$3-M$2),4)</f>
        <v/>
      </c>
      <c r="N138">
        <f>ROUND(10*(Comparatif!P93-N$2)/(N$3-N$2),4)</f>
        <v/>
      </c>
      <c r="O138">
        <f>ROUND(SUMPRODUCT(E138:N138,$E$1:$N$1)/Pondérations!$B$16,3)</f>
        <v/>
      </c>
      <c r="P138">
        <f>1+COUNTIF($O$5:$O$206,"&gt;"&amp;O138)+COUNTIF($O$5:$O138,O138)-1</f>
        <v/>
      </c>
      <c r="Q138">
        <f>1+COUNTIFS($C$5:$C$206,C138,$O$5:$O$206,"&gt;"&amp;O138)+COUNTIFS($C$5:$C138,C138,$O$5:$O138,O138)-1</f>
        <v/>
      </c>
      <c r="R138" s="182" t="n">
        <v>0</v>
      </c>
      <c r="S138">
        <f>IFERROR(ROUND(O138/(D138/100),2),"")</f>
        <v/>
      </c>
    </row>
    <row r="139">
      <c r="A139">
        <f>Comparatif!A102</f>
        <v/>
      </c>
      <c r="B139">
        <f>Comparatif!B102</f>
        <v/>
      </c>
      <c r="C139" t="inlineStr">
        <is>
          <t>À classer</t>
        </is>
      </c>
      <c r="D139">
        <f>Comparatif!AF102</f>
        <v/>
      </c>
      <c r="E139">
        <f>ROUND(10*(Comparatif!G102-E$2)/(E$3-E$2),4)</f>
        <v/>
      </c>
      <c r="F139">
        <f>ROUND(10*(Comparatif!H102-F$2)/(F$3-F$2),4)</f>
        <v/>
      </c>
      <c r="G139">
        <f>ROUND(10*(Comparatif!I102-G$2)/(G$3-G$2),4)</f>
        <v/>
      </c>
      <c r="H139">
        <f>ROUND(10*(Comparatif!J102-H$2)/(H$3-H$2),4)</f>
        <v/>
      </c>
      <c r="I139">
        <f>ROUND(10*(Comparatif!K102-I$2)/(I$3-I$2),4)</f>
        <v/>
      </c>
      <c r="J139">
        <f>ROUND(10*(Comparatif!L102-J$2)/(J$3-J$2),4)</f>
        <v/>
      </c>
      <c r="K139">
        <f>ROUND(10*(Comparatif!M102-K$2)/(K$3-K$2),4)</f>
        <v/>
      </c>
      <c r="L139">
        <f>ROUND(10*(Comparatif!N102-L$2)/(L$3-L$2),4)</f>
        <v/>
      </c>
      <c r="M139">
        <f>ROUND(10*(Comparatif!O102-M$2)/(M$3-M$2),4)</f>
        <v/>
      </c>
      <c r="N139">
        <f>ROUND(10*(Comparatif!P102-N$2)/(N$3-N$2),4)</f>
        <v/>
      </c>
      <c r="O139">
        <f>ROUND(SUMPRODUCT(E139:N139,$E$1:$N$1)/Pondérations!$B$16,3)</f>
        <v/>
      </c>
      <c r="P139">
        <f>1+COUNTIF($O$5:$O$206,"&gt;"&amp;O139)+COUNTIF($O$5:$O139,O139)-1</f>
        <v/>
      </c>
      <c r="Q139">
        <f>1+COUNTIFS($C$5:$C$206,C139,$O$5:$O$206,"&gt;"&amp;O139)+COUNTIFS($C$5:$C139,C139,$O$5:$O139,O139)-1</f>
        <v/>
      </c>
      <c r="R139" s="182" t="n">
        <v>0</v>
      </c>
      <c r="S139">
        <f>IFERROR(ROUND(O139/(D139/100),2),"")</f>
        <v/>
      </c>
    </row>
    <row r="140">
      <c r="A140">
        <f>Comparatif!A146</f>
        <v/>
      </c>
      <c r="B140">
        <f>Comparatif!B146</f>
        <v/>
      </c>
      <c r="C140" t="inlineStr">
        <is>
          <t>Dongle</t>
        </is>
      </c>
      <c r="D140">
        <f>Comparatif!AF146</f>
        <v/>
      </c>
      <c r="E140">
        <f>ROUND(10*(Comparatif!G146-E$2)/(E$3-E$2),4)</f>
        <v/>
      </c>
      <c r="F140">
        <f>ROUND(10*(Comparatif!H146-F$2)/(F$3-F$2),4)</f>
        <v/>
      </c>
      <c r="G140">
        <f>ROUND(10*(Comparatif!I146-G$2)/(G$3-G$2),4)</f>
        <v/>
      </c>
      <c r="H140">
        <f>ROUND(10*(Comparatif!J146-H$2)/(H$3-H$2),4)</f>
        <v/>
      </c>
      <c r="I140">
        <f>ROUND(10*(Comparatif!K146-I$2)/(I$3-I$2),4)</f>
        <v/>
      </c>
      <c r="J140">
        <f>ROUND(10*(Comparatif!L146-J$2)/(J$3-J$2),4)</f>
        <v/>
      </c>
      <c r="K140">
        <f>ROUND(10*(Comparatif!M146-K$2)/(K$3-K$2),4)</f>
        <v/>
      </c>
      <c r="L140">
        <f>ROUND(10*(Comparatif!N146-L$2)/(L$3-L$2),4)</f>
        <v/>
      </c>
      <c r="M140">
        <f>ROUND(10*(Comparatif!O146-M$2)/(M$3-M$2),4)</f>
        <v/>
      </c>
      <c r="N140">
        <f>ROUND(10*(Comparatif!P146-N$2)/(N$3-N$2),4)</f>
        <v/>
      </c>
      <c r="O140">
        <f>ROUND(SUMPRODUCT(E140:N140,$E$1:$N$1)/Pondérations!$B$16,3)</f>
        <v/>
      </c>
      <c r="P140">
        <f>1+COUNTIF($O$5:$O$206,"&gt;"&amp;O140)+COUNTIF($O$5:$O140,O140)-1</f>
        <v/>
      </c>
      <c r="Q140">
        <f>1+COUNTIFS($C$5:$C$206,C140,$O$5:$O$206,"&gt;"&amp;O140)+COUNTIFS($C$5:$C140,C140,$O$5:$O140,O140)-1</f>
        <v/>
      </c>
      <c r="R140" s="182" t="n">
        <v>0</v>
      </c>
      <c r="S140">
        <f>IFERROR(ROUND(O140/(D140/100),2),"")</f>
        <v/>
      </c>
    </row>
    <row r="141">
      <c r="A141">
        <f>Comparatif!A110</f>
        <v/>
      </c>
      <c r="B141">
        <f>Comparatif!B110</f>
        <v/>
      </c>
      <c r="C141" t="inlineStr">
        <is>
          <t>Dongle</t>
        </is>
      </c>
      <c r="D141">
        <f>Comparatif!AF110</f>
        <v/>
      </c>
      <c r="E141">
        <f>ROUND(10*(Comparatif!G110-E$2)/(E$3-E$2),4)</f>
        <v/>
      </c>
      <c r="F141">
        <f>ROUND(10*(Comparatif!H110-F$2)/(F$3-F$2),4)</f>
        <v/>
      </c>
      <c r="G141">
        <f>ROUND(10*(Comparatif!I110-G$2)/(G$3-G$2),4)</f>
        <v/>
      </c>
      <c r="H141">
        <f>ROUND(10*(Comparatif!J110-H$2)/(H$3-H$2),4)</f>
        <v/>
      </c>
      <c r="I141">
        <f>ROUND(10*(Comparatif!K110-I$2)/(I$3-I$2),4)</f>
        <v/>
      </c>
      <c r="J141">
        <f>ROUND(10*(Comparatif!L110-J$2)/(J$3-J$2),4)</f>
        <v/>
      </c>
      <c r="K141">
        <f>ROUND(10*(Comparatif!M110-K$2)/(K$3-K$2),4)</f>
        <v/>
      </c>
      <c r="L141">
        <f>ROUND(10*(Comparatif!N110-L$2)/(L$3-L$2),4)</f>
        <v/>
      </c>
      <c r="M141">
        <f>ROUND(10*(Comparatif!O110-M$2)/(M$3-M$2),4)</f>
        <v/>
      </c>
      <c r="N141">
        <f>ROUND(10*(Comparatif!P110-N$2)/(N$3-N$2),4)</f>
        <v/>
      </c>
      <c r="O141">
        <f>ROUND(SUMPRODUCT(E141:N141,$E$1:$N$1)/Pondérations!$B$16,3)</f>
        <v/>
      </c>
      <c r="P141">
        <f>1+COUNTIF($O$5:$O$206,"&gt;"&amp;O141)+COUNTIF($O$5:$O141,O141)-1</f>
        <v/>
      </c>
      <c r="Q141">
        <f>1+COUNTIFS($C$5:$C$206,C141,$O$5:$O$206,"&gt;"&amp;O141)+COUNTIFS($C$5:$C141,C141,$O$5:$O141,O141)-1</f>
        <v/>
      </c>
      <c r="R141" s="182" t="n">
        <v>0</v>
      </c>
      <c r="S141">
        <f>IFERROR(ROUND(O141/(D141/100),2),"")</f>
        <v/>
      </c>
    </row>
    <row r="142">
      <c r="A142">
        <f>Comparatif!A113</f>
        <v/>
      </c>
      <c r="B142">
        <f>Comparatif!B113</f>
        <v/>
      </c>
      <c r="C142" t="inlineStr">
        <is>
          <t>Dongle</t>
        </is>
      </c>
      <c r="D142">
        <f>Comparatif!AF113</f>
        <v/>
      </c>
      <c r="E142">
        <f>ROUND(10*(Comparatif!G113-E$2)/(E$3-E$2),4)</f>
        <v/>
      </c>
      <c r="F142">
        <f>ROUND(10*(Comparatif!H113-F$2)/(F$3-F$2),4)</f>
        <v/>
      </c>
      <c r="G142">
        <f>ROUND(10*(Comparatif!I113-G$2)/(G$3-G$2),4)</f>
        <v/>
      </c>
      <c r="H142">
        <f>ROUND(10*(Comparatif!J113-H$2)/(H$3-H$2),4)</f>
        <v/>
      </c>
      <c r="I142">
        <f>ROUND(10*(Comparatif!K113-I$2)/(I$3-I$2),4)</f>
        <v/>
      </c>
      <c r="J142">
        <f>ROUND(10*(Comparatif!L113-J$2)/(J$3-J$2),4)</f>
        <v/>
      </c>
      <c r="K142">
        <f>ROUND(10*(Comparatif!M113-K$2)/(K$3-K$2),4)</f>
        <v/>
      </c>
      <c r="L142">
        <f>ROUND(10*(Comparatif!N113-L$2)/(L$3-L$2),4)</f>
        <v/>
      </c>
      <c r="M142">
        <f>ROUND(10*(Comparatif!O113-M$2)/(M$3-M$2),4)</f>
        <v/>
      </c>
      <c r="N142">
        <f>ROUND(10*(Comparatif!P113-N$2)/(N$3-N$2),4)</f>
        <v/>
      </c>
      <c r="O142">
        <f>ROUND(SUMPRODUCT(E142:N142,$E$1:$N$1)/Pondérations!$B$16,3)</f>
        <v/>
      </c>
      <c r="P142">
        <f>1+COUNTIF($O$5:$O$206,"&gt;"&amp;O142)+COUNTIF($O$5:$O142,O142)-1</f>
        <v/>
      </c>
      <c r="Q142">
        <f>1+COUNTIFS($C$5:$C$206,C142,$O$5:$O$206,"&gt;"&amp;O142)+COUNTIFS($C$5:$C142,C142,$O$5:$O142,O142)-1</f>
        <v/>
      </c>
      <c r="R142" s="182" t="n">
        <v>0</v>
      </c>
      <c r="S142">
        <f>IFERROR(ROUND(O142/(D142/100),2),"")</f>
        <v/>
      </c>
    </row>
    <row r="143">
      <c r="A143">
        <f>Comparatif!A106</f>
        <v/>
      </c>
      <c r="B143">
        <f>Comparatif!B106</f>
        <v/>
      </c>
      <c r="C143" t="inlineStr">
        <is>
          <t>Dongle</t>
        </is>
      </c>
      <c r="D143">
        <f>Comparatif!AF106</f>
        <v/>
      </c>
      <c r="E143">
        <f>ROUND(10*(Comparatif!G106-E$2)/(E$3-E$2),4)</f>
        <v/>
      </c>
      <c r="F143">
        <f>ROUND(10*(Comparatif!H106-F$2)/(F$3-F$2),4)</f>
        <v/>
      </c>
      <c r="G143">
        <f>ROUND(10*(Comparatif!I106-G$2)/(G$3-G$2),4)</f>
        <v/>
      </c>
      <c r="H143">
        <f>ROUND(10*(Comparatif!J106-H$2)/(H$3-H$2),4)</f>
        <v/>
      </c>
      <c r="I143">
        <f>ROUND(10*(Comparatif!K106-I$2)/(I$3-I$2),4)</f>
        <v/>
      </c>
      <c r="J143">
        <f>ROUND(10*(Comparatif!L106-J$2)/(J$3-J$2),4)</f>
        <v/>
      </c>
      <c r="K143">
        <f>ROUND(10*(Comparatif!M106-K$2)/(K$3-K$2),4)</f>
        <v/>
      </c>
      <c r="L143">
        <f>ROUND(10*(Comparatif!N106-L$2)/(L$3-L$2),4)</f>
        <v/>
      </c>
      <c r="M143">
        <f>ROUND(10*(Comparatif!O106-M$2)/(M$3-M$2),4)</f>
        <v/>
      </c>
      <c r="N143">
        <f>ROUND(10*(Comparatif!P106-N$2)/(N$3-N$2),4)</f>
        <v/>
      </c>
      <c r="O143">
        <f>ROUND(SUMPRODUCT(E143:N143,$E$1:$N$1)/Pondérations!$B$16,3)</f>
        <v/>
      </c>
      <c r="P143">
        <f>1+COUNTIF($O$5:$O$206,"&gt;"&amp;O143)+COUNTIF($O$5:$O143,O143)-1</f>
        <v/>
      </c>
      <c r="Q143">
        <f>1+COUNTIFS($C$5:$C$206,C143,$O$5:$O$206,"&gt;"&amp;O143)+COUNTIFS($C$5:$C143,C143,$O$5:$O143,O143)-1</f>
        <v/>
      </c>
      <c r="R143" s="182" t="n">
        <v>0</v>
      </c>
      <c r="S143">
        <f>IFERROR(ROUND(O143/(D143/100),2),"")</f>
        <v/>
      </c>
    </row>
    <row r="144">
      <c r="A144">
        <f>Comparatif!A142</f>
        <v/>
      </c>
      <c r="B144">
        <f>Comparatif!B142</f>
        <v/>
      </c>
      <c r="C144" t="inlineStr">
        <is>
          <t>À classer</t>
        </is>
      </c>
      <c r="D144">
        <f>Comparatif!AF142</f>
        <v/>
      </c>
      <c r="E144">
        <f>ROUND(10*(Comparatif!G142-E$2)/(E$3-E$2),4)</f>
        <v/>
      </c>
      <c r="F144">
        <f>ROUND(10*(Comparatif!H142-F$2)/(F$3-F$2),4)</f>
        <v/>
      </c>
      <c r="G144">
        <f>ROUND(10*(Comparatif!I142-G$2)/(G$3-G$2),4)</f>
        <v/>
      </c>
      <c r="H144">
        <f>ROUND(10*(Comparatif!J142-H$2)/(H$3-H$2),4)</f>
        <v/>
      </c>
      <c r="I144">
        <f>ROUND(10*(Comparatif!K142-I$2)/(I$3-I$2),4)</f>
        <v/>
      </c>
      <c r="J144">
        <f>ROUND(10*(Comparatif!L142-J$2)/(J$3-J$2),4)</f>
        <v/>
      </c>
      <c r="K144">
        <f>ROUND(10*(Comparatif!M142-K$2)/(K$3-K$2),4)</f>
        <v/>
      </c>
      <c r="L144">
        <f>ROUND(10*(Comparatif!N142-L$2)/(L$3-L$2),4)</f>
        <v/>
      </c>
      <c r="M144">
        <f>ROUND(10*(Comparatif!O142-M$2)/(M$3-M$2),4)</f>
        <v/>
      </c>
      <c r="N144">
        <f>ROUND(10*(Comparatif!P142-N$2)/(N$3-N$2),4)</f>
        <v/>
      </c>
      <c r="O144">
        <f>ROUND(SUMPRODUCT(E144:N144,$E$1:$N$1)/Pondérations!$B$16,3)</f>
        <v/>
      </c>
      <c r="P144">
        <f>1+COUNTIF($O$5:$O$206,"&gt;"&amp;O144)+COUNTIF($O$5:$O144,O144)-1</f>
        <v/>
      </c>
      <c r="Q144">
        <f>1+COUNTIFS($C$5:$C$206,C144,$O$5:$O$206,"&gt;"&amp;O144)+COUNTIFS($C$5:$C144,C144,$O$5:$O144,O144)-1</f>
        <v/>
      </c>
      <c r="R144" s="182" t="n">
        <v>0</v>
      </c>
      <c r="S144">
        <f>IFERROR(ROUND(O144/(D144/100),2),"")</f>
        <v/>
      </c>
    </row>
    <row r="145">
      <c r="A145">
        <f>Comparatif!A91</f>
        <v/>
      </c>
      <c r="B145">
        <f>Comparatif!B91</f>
        <v/>
      </c>
      <c r="C145" t="inlineStr">
        <is>
          <t>Dongle</t>
        </is>
      </c>
      <c r="D145">
        <f>Comparatif!AF91</f>
        <v/>
      </c>
      <c r="E145">
        <f>ROUND(10*(Comparatif!G91-E$2)/(E$3-E$2),4)</f>
        <v/>
      </c>
      <c r="F145">
        <f>ROUND(10*(Comparatif!H91-F$2)/(F$3-F$2),4)</f>
        <v/>
      </c>
      <c r="G145">
        <f>ROUND(10*(Comparatif!I91-G$2)/(G$3-G$2),4)</f>
        <v/>
      </c>
      <c r="H145">
        <f>ROUND(10*(Comparatif!J91-H$2)/(H$3-H$2),4)</f>
        <v/>
      </c>
      <c r="I145">
        <f>ROUND(10*(Comparatif!K91-I$2)/(I$3-I$2),4)</f>
        <v/>
      </c>
      <c r="J145">
        <f>ROUND(10*(Comparatif!L91-J$2)/(J$3-J$2),4)</f>
        <v/>
      </c>
      <c r="K145">
        <f>ROUND(10*(Comparatif!M91-K$2)/(K$3-K$2),4)</f>
        <v/>
      </c>
      <c r="L145">
        <f>ROUND(10*(Comparatif!N91-L$2)/(L$3-L$2),4)</f>
        <v/>
      </c>
      <c r="M145">
        <f>ROUND(10*(Comparatif!O91-M$2)/(M$3-M$2),4)</f>
        <v/>
      </c>
      <c r="N145">
        <f>ROUND(10*(Comparatif!P91-N$2)/(N$3-N$2),4)</f>
        <v/>
      </c>
      <c r="O145">
        <f>ROUND(SUMPRODUCT(E145:N145,$E$1:$N$1)/Pondérations!$B$16,3)</f>
        <v/>
      </c>
      <c r="P145">
        <f>1+COUNTIF($O$5:$O$206,"&gt;"&amp;O145)+COUNTIF($O$5:$O145,O145)-1</f>
        <v/>
      </c>
      <c r="Q145">
        <f>1+COUNTIFS($C$5:$C$206,C145,$O$5:$O$206,"&gt;"&amp;O145)+COUNTIFS($C$5:$C145,C145,$O$5:$O145,O145)-1</f>
        <v/>
      </c>
      <c r="R145" s="182" t="n">
        <v>0</v>
      </c>
      <c r="S145">
        <f>IFERROR(ROUND(O145/(D145/100),2),"")</f>
        <v/>
      </c>
    </row>
    <row r="146">
      <c r="A146">
        <f>Comparatif!A19</f>
        <v/>
      </c>
      <c r="B146">
        <f>Comparatif!B19</f>
        <v/>
      </c>
      <c r="C146" t="inlineStr">
        <is>
          <t>Portable batterie</t>
        </is>
      </c>
      <c r="D146">
        <f>Comparatif!AF19</f>
        <v/>
      </c>
      <c r="E146">
        <f>ROUND(10*(Comparatif!G19-E$2)/(E$3-E$2),4)</f>
        <v/>
      </c>
      <c r="F146">
        <f>ROUND(10*(Comparatif!H19-F$2)/(F$3-F$2),4)</f>
        <v/>
      </c>
      <c r="G146">
        <f>ROUND(10*(Comparatif!I19-G$2)/(G$3-G$2),4)</f>
        <v/>
      </c>
      <c r="H146">
        <f>ROUND(10*(Comparatif!J19-H$2)/(H$3-H$2),4)</f>
        <v/>
      </c>
      <c r="I146">
        <f>ROUND(10*(Comparatif!K19-I$2)/(I$3-I$2),4)</f>
        <v/>
      </c>
      <c r="J146">
        <f>ROUND(10*(Comparatif!L19-J$2)/(J$3-J$2),4)</f>
        <v/>
      </c>
      <c r="K146">
        <f>ROUND(10*(Comparatif!M19-K$2)/(K$3-K$2),4)</f>
        <v/>
      </c>
      <c r="L146">
        <f>ROUND(10*(Comparatif!N19-L$2)/(L$3-L$2),4)</f>
        <v/>
      </c>
      <c r="M146">
        <f>ROUND(10*(Comparatif!O19-M$2)/(M$3-M$2),4)</f>
        <v/>
      </c>
      <c r="N146">
        <f>ROUND(10*(Comparatif!P19-N$2)/(N$3-N$2),4)</f>
        <v/>
      </c>
      <c r="O146">
        <f>ROUND(SUMPRODUCT(E146:N146,$E$1:$N$1)/Pondérations!$B$16,3)</f>
        <v/>
      </c>
      <c r="P146">
        <f>1+COUNTIF($O$5:$O$206,"&gt;"&amp;O146)+COUNTIF($O$5:$O146,O146)-1</f>
        <v/>
      </c>
      <c r="Q146">
        <f>1+COUNTIFS($C$5:$C$206,C146,$O$5:$O$206,"&gt;"&amp;O146)+COUNTIFS($C$5:$C146,C146,$O$5:$O146,O146)-1</f>
        <v/>
      </c>
      <c r="R146" s="182" t="n">
        <v>0</v>
      </c>
      <c r="S146">
        <f>IFERROR(ROUND(O146/(D146/100),2),"")</f>
        <v/>
      </c>
    </row>
    <row r="147">
      <c r="A147">
        <f>Comparatif!A99</f>
        <v/>
      </c>
      <c r="B147">
        <f>Comparatif!B99</f>
        <v/>
      </c>
      <c r="C147" t="inlineStr">
        <is>
          <t>Portable batterie</t>
        </is>
      </c>
      <c r="D147">
        <f>Comparatif!AF99</f>
        <v/>
      </c>
      <c r="E147">
        <f>ROUND(10*(Comparatif!G99-E$2)/(E$3-E$2),4)</f>
        <v/>
      </c>
      <c r="F147">
        <f>ROUND(10*(Comparatif!H99-F$2)/(F$3-F$2),4)</f>
        <v/>
      </c>
      <c r="G147">
        <f>ROUND(10*(Comparatif!I99-G$2)/(G$3-G$2),4)</f>
        <v/>
      </c>
      <c r="H147">
        <f>ROUND(10*(Comparatif!J99-H$2)/(H$3-H$2),4)</f>
        <v/>
      </c>
      <c r="I147">
        <f>ROUND(10*(Comparatif!K99-I$2)/(I$3-I$2),4)</f>
        <v/>
      </c>
      <c r="J147">
        <f>ROUND(10*(Comparatif!L99-J$2)/(J$3-J$2),4)</f>
        <v/>
      </c>
      <c r="K147">
        <f>ROUND(10*(Comparatif!M99-K$2)/(K$3-K$2),4)</f>
        <v/>
      </c>
      <c r="L147">
        <f>ROUND(10*(Comparatif!N99-L$2)/(L$3-L$2),4)</f>
        <v/>
      </c>
      <c r="M147">
        <f>ROUND(10*(Comparatif!O99-M$2)/(M$3-M$2),4)</f>
        <v/>
      </c>
      <c r="N147">
        <f>ROUND(10*(Comparatif!P99-N$2)/(N$3-N$2),4)</f>
        <v/>
      </c>
      <c r="O147">
        <f>ROUND(SUMPRODUCT(E147:N147,$E$1:$N$1)/Pondérations!$B$16,3)</f>
        <v/>
      </c>
      <c r="P147">
        <f>1+COUNTIF($O$5:$O$206,"&gt;"&amp;O147)+COUNTIF($O$5:$O147,O147)-1</f>
        <v/>
      </c>
      <c r="Q147">
        <f>1+COUNTIFS($C$5:$C$206,C147,$O$5:$O$206,"&gt;"&amp;O147)+COUNTIFS($C$5:$C147,C147,$O$5:$O147,O147)-1</f>
        <v/>
      </c>
      <c r="R147" s="182" t="n">
        <v>0</v>
      </c>
      <c r="S147">
        <f>IFERROR(ROUND(O147/(D147/100),2),"")</f>
        <v/>
      </c>
    </row>
    <row r="148">
      <c r="A148">
        <f>Comparatif!A42</f>
        <v/>
      </c>
      <c r="B148">
        <f>Comparatif!B42</f>
        <v/>
      </c>
      <c r="C148" t="inlineStr">
        <is>
          <t>Dongle</t>
        </is>
      </c>
      <c r="D148">
        <f>Comparatif!AF42</f>
        <v/>
      </c>
      <c r="E148">
        <f>ROUND(10*(Comparatif!G42-E$2)/(E$3-E$2),4)</f>
        <v/>
      </c>
      <c r="F148">
        <f>ROUND(10*(Comparatif!H42-F$2)/(F$3-F$2),4)</f>
        <v/>
      </c>
      <c r="G148">
        <f>ROUND(10*(Comparatif!I42-G$2)/(G$3-G$2),4)</f>
        <v/>
      </c>
      <c r="H148">
        <f>ROUND(10*(Comparatif!J42-H$2)/(H$3-H$2),4)</f>
        <v/>
      </c>
      <c r="I148">
        <f>ROUND(10*(Comparatif!K42-I$2)/(I$3-I$2),4)</f>
        <v/>
      </c>
      <c r="J148">
        <f>ROUND(10*(Comparatif!L42-J$2)/(J$3-J$2),4)</f>
        <v/>
      </c>
      <c r="K148">
        <f>ROUND(10*(Comparatif!M42-K$2)/(K$3-K$2),4)</f>
        <v/>
      </c>
      <c r="L148">
        <f>ROUND(10*(Comparatif!N42-L$2)/(L$3-L$2),4)</f>
        <v/>
      </c>
      <c r="M148">
        <f>ROUND(10*(Comparatif!O42-M$2)/(M$3-M$2),4)</f>
        <v/>
      </c>
      <c r="N148">
        <f>ROUND(10*(Comparatif!P42-N$2)/(N$3-N$2),4)</f>
        <v/>
      </c>
      <c r="O148">
        <f>ROUND(SUMPRODUCT(E148:N148,$E$1:$N$1)/Pondérations!$B$16,3)</f>
        <v/>
      </c>
      <c r="P148">
        <f>1+COUNTIF($O$5:$O$206,"&gt;"&amp;O148)+COUNTIF($O$5:$O148,O148)-1</f>
        <v/>
      </c>
      <c r="Q148">
        <f>1+COUNTIFS($C$5:$C$206,C148,$O$5:$O$206,"&gt;"&amp;O148)+COUNTIFS($C$5:$C148,C148,$O$5:$O148,O148)-1</f>
        <v/>
      </c>
      <c r="R148" s="182" t="n">
        <v>0</v>
      </c>
      <c r="S148">
        <f>IFERROR(ROUND(O148/(D148/100),2),"")</f>
        <v/>
      </c>
    </row>
    <row r="149">
      <c r="A149">
        <f>Comparatif!A101</f>
        <v/>
      </c>
      <c r="B149">
        <f>Comparatif!B101</f>
        <v/>
      </c>
      <c r="C149" t="inlineStr">
        <is>
          <t>Dongle</t>
        </is>
      </c>
      <c r="D149">
        <f>Comparatif!AF101</f>
        <v/>
      </c>
      <c r="E149">
        <f>ROUND(10*(Comparatif!G101-E$2)/(E$3-E$2),4)</f>
        <v/>
      </c>
      <c r="F149">
        <f>ROUND(10*(Comparatif!H101-F$2)/(F$3-F$2),4)</f>
        <v/>
      </c>
      <c r="G149">
        <f>ROUND(10*(Comparatif!I101-G$2)/(G$3-G$2),4)</f>
        <v/>
      </c>
      <c r="H149">
        <f>ROUND(10*(Comparatif!J101-H$2)/(H$3-H$2),4)</f>
        <v/>
      </c>
      <c r="I149">
        <f>ROUND(10*(Comparatif!K101-I$2)/(I$3-I$2),4)</f>
        <v/>
      </c>
      <c r="J149">
        <f>ROUND(10*(Comparatif!L101-J$2)/(J$3-J$2),4)</f>
        <v/>
      </c>
      <c r="K149">
        <f>ROUND(10*(Comparatif!M101-K$2)/(K$3-K$2),4)</f>
        <v/>
      </c>
      <c r="L149">
        <f>ROUND(10*(Comparatif!N101-L$2)/(L$3-L$2),4)</f>
        <v/>
      </c>
      <c r="M149">
        <f>ROUND(10*(Comparatif!O101-M$2)/(M$3-M$2),4)</f>
        <v/>
      </c>
      <c r="N149">
        <f>ROUND(10*(Comparatif!P101-N$2)/(N$3-N$2),4)</f>
        <v/>
      </c>
      <c r="O149">
        <f>ROUND(SUMPRODUCT(E149:N149,$E$1:$N$1)/Pondérations!$B$16,3)</f>
        <v/>
      </c>
      <c r="P149">
        <f>1+COUNTIF($O$5:$O$206,"&gt;"&amp;O149)+COUNTIF($O$5:$O149,O149)-1</f>
        <v/>
      </c>
      <c r="Q149">
        <f>1+COUNTIFS($C$5:$C$206,C149,$O$5:$O$206,"&gt;"&amp;O149)+COUNTIFS($C$5:$C149,C149,$O$5:$O149,O149)-1</f>
        <v/>
      </c>
      <c r="R149" s="182" t="n">
        <v>0.0035</v>
      </c>
      <c r="S149">
        <f>IFERROR(ROUND(O149/(D149/100),2),"")</f>
        <v/>
      </c>
    </row>
    <row r="150">
      <c r="A150">
        <f>Comparatif!A80</f>
        <v/>
      </c>
      <c r="B150">
        <f>Comparatif!B80</f>
        <v/>
      </c>
      <c r="C150" t="inlineStr">
        <is>
          <t>Dongle</t>
        </is>
      </c>
      <c r="D150">
        <f>Comparatif!AF80</f>
        <v/>
      </c>
      <c r="E150">
        <f>ROUND(10*(Comparatif!G80-E$2)/(E$3-E$2),4)</f>
        <v/>
      </c>
      <c r="F150">
        <f>ROUND(10*(Comparatif!H80-F$2)/(F$3-F$2),4)</f>
        <v/>
      </c>
      <c r="G150">
        <f>ROUND(10*(Comparatif!I80-G$2)/(G$3-G$2),4)</f>
        <v/>
      </c>
      <c r="H150">
        <f>ROUND(10*(Comparatif!J80-H$2)/(H$3-H$2),4)</f>
        <v/>
      </c>
      <c r="I150">
        <f>ROUND(10*(Comparatif!K80-I$2)/(I$3-I$2),4)</f>
        <v/>
      </c>
      <c r="J150">
        <f>ROUND(10*(Comparatif!L80-J$2)/(J$3-J$2),4)</f>
        <v/>
      </c>
      <c r="K150">
        <f>ROUND(10*(Comparatif!M80-K$2)/(K$3-K$2),4)</f>
        <v/>
      </c>
      <c r="L150">
        <f>ROUND(10*(Comparatif!N80-L$2)/(L$3-L$2),4)</f>
        <v/>
      </c>
      <c r="M150">
        <f>ROUND(10*(Comparatif!O80-M$2)/(M$3-M$2),4)</f>
        <v/>
      </c>
      <c r="N150">
        <f>ROUND(10*(Comparatif!P80-N$2)/(N$3-N$2),4)</f>
        <v/>
      </c>
      <c r="O150">
        <f>ROUND(SUMPRODUCT(E150:N150,$E$1:$N$1)/Pondérations!$B$16,3)</f>
        <v/>
      </c>
      <c r="P150">
        <f>1+COUNTIF($O$5:$O$206,"&gt;"&amp;O150)+COUNTIF($O$5:$O150,O150)-1</f>
        <v/>
      </c>
      <c r="Q150">
        <f>1+COUNTIFS($C$5:$C$206,C150,$O$5:$O$206,"&gt;"&amp;O150)+COUNTIFS($C$5:$C150,C150,$O$5:$O150,O150)-1</f>
        <v/>
      </c>
      <c r="R150" s="182" t="n">
        <v>0</v>
      </c>
      <c r="S150">
        <f>IFERROR(ROUND(O150/(D150/100),2),"")</f>
        <v/>
      </c>
    </row>
    <row r="151">
      <c r="A151">
        <f>Comparatif!A18</f>
        <v/>
      </c>
      <c r="B151">
        <f>Comparatif!B18</f>
        <v/>
      </c>
      <c r="C151" t="inlineStr">
        <is>
          <t>Dongle</t>
        </is>
      </c>
      <c r="D151">
        <f>Comparatif!AF18</f>
        <v/>
      </c>
      <c r="E151">
        <f>ROUND(10*(Comparatif!G18-E$2)/(E$3-E$2),4)</f>
        <v/>
      </c>
      <c r="F151">
        <f>ROUND(10*(Comparatif!H18-F$2)/(F$3-F$2),4)</f>
        <v/>
      </c>
      <c r="G151">
        <f>ROUND(10*(Comparatif!I18-G$2)/(G$3-G$2),4)</f>
        <v/>
      </c>
      <c r="H151">
        <f>ROUND(10*(Comparatif!J18-H$2)/(H$3-H$2),4)</f>
        <v/>
      </c>
      <c r="I151">
        <f>ROUND(10*(Comparatif!K18-I$2)/(I$3-I$2),4)</f>
        <v/>
      </c>
      <c r="J151">
        <f>ROUND(10*(Comparatif!L18-J$2)/(J$3-J$2),4)</f>
        <v/>
      </c>
      <c r="K151">
        <f>ROUND(10*(Comparatif!M18-K$2)/(K$3-K$2),4)</f>
        <v/>
      </c>
      <c r="L151">
        <f>ROUND(10*(Comparatif!N18-L$2)/(L$3-L$2),4)</f>
        <v/>
      </c>
      <c r="M151">
        <f>ROUND(10*(Comparatif!O18-M$2)/(M$3-M$2),4)</f>
        <v/>
      </c>
      <c r="N151">
        <f>ROUND(10*(Comparatif!P18-N$2)/(N$3-N$2),4)</f>
        <v/>
      </c>
      <c r="O151">
        <f>ROUND(SUMPRODUCT(E151:N151,$E$1:$N$1)/Pondérations!$B$16,3)</f>
        <v/>
      </c>
      <c r="P151">
        <f>1+COUNTIF($O$5:$O$206,"&gt;"&amp;O151)+COUNTIF($O$5:$O151,O151)-1</f>
        <v/>
      </c>
      <c r="Q151">
        <f>1+COUNTIFS($C$5:$C$206,C151,$O$5:$O$206,"&gt;"&amp;O151)+COUNTIFS($C$5:$C151,C151,$O$5:$O151,O151)-1</f>
        <v/>
      </c>
      <c r="R151" s="182" t="n">
        <v>0</v>
      </c>
      <c r="S151">
        <f>IFERROR(ROUND(O151/(D151/100),2),"")</f>
        <v/>
      </c>
    </row>
    <row r="152">
      <c r="A152">
        <f>Comparatif!A92</f>
        <v/>
      </c>
      <c r="B152">
        <f>Comparatif!B92</f>
        <v/>
      </c>
      <c r="C152" t="inlineStr">
        <is>
          <t>À classer</t>
        </is>
      </c>
      <c r="D152">
        <f>Comparatif!AF92</f>
        <v/>
      </c>
      <c r="E152">
        <f>ROUND(10*(Comparatif!G92-E$2)/(E$3-E$2),4)</f>
        <v/>
      </c>
      <c r="F152">
        <f>ROUND(10*(Comparatif!H92-F$2)/(F$3-F$2),4)</f>
        <v/>
      </c>
      <c r="G152">
        <f>ROUND(10*(Comparatif!I92-G$2)/(G$3-G$2),4)</f>
        <v/>
      </c>
      <c r="H152">
        <f>ROUND(10*(Comparatif!J92-H$2)/(H$3-H$2),4)</f>
        <v/>
      </c>
      <c r="I152">
        <f>ROUND(10*(Comparatif!K92-I$2)/(I$3-I$2),4)</f>
        <v/>
      </c>
      <c r="J152">
        <f>ROUND(10*(Comparatif!L92-J$2)/(J$3-J$2),4)</f>
        <v/>
      </c>
      <c r="K152">
        <f>ROUND(10*(Comparatif!M92-K$2)/(K$3-K$2),4)</f>
        <v/>
      </c>
      <c r="L152">
        <f>ROUND(10*(Comparatif!N92-L$2)/(L$3-L$2),4)</f>
        <v/>
      </c>
      <c r="M152">
        <f>ROUND(10*(Comparatif!O92-M$2)/(M$3-M$2),4)</f>
        <v/>
      </c>
      <c r="N152">
        <f>ROUND(10*(Comparatif!P92-N$2)/(N$3-N$2),4)</f>
        <v/>
      </c>
      <c r="O152">
        <f>ROUND(SUMPRODUCT(E152:N152,$E$1:$N$1)/Pondérations!$B$16,3)</f>
        <v/>
      </c>
      <c r="P152">
        <f>1+COUNTIF($O$5:$O$206,"&gt;"&amp;O152)+COUNTIF($O$5:$O152,O152)-1</f>
        <v/>
      </c>
      <c r="Q152">
        <f>1+COUNTIFS($C$5:$C$206,C152,$O$5:$O$206,"&gt;"&amp;O152)+COUNTIFS($C$5:$C152,C152,$O$5:$O152,O152)-1</f>
        <v/>
      </c>
      <c r="R152" s="182" t="n">
        <v>0</v>
      </c>
      <c r="S152">
        <f>IFERROR(ROUND(O152/(D152/100),2),"")</f>
        <v/>
      </c>
    </row>
    <row r="153">
      <c r="A153">
        <f>Comparatif!A108</f>
        <v/>
      </c>
      <c r="B153">
        <f>Comparatif!B108</f>
        <v/>
      </c>
      <c r="C153" t="inlineStr">
        <is>
          <t>Portable batterie</t>
        </is>
      </c>
      <c r="D153">
        <f>Comparatif!AF108</f>
        <v/>
      </c>
      <c r="E153">
        <f>ROUND(10*(Comparatif!G108-E$2)/(E$3-E$2),4)</f>
        <v/>
      </c>
      <c r="F153">
        <f>ROUND(10*(Comparatif!H108-F$2)/(F$3-F$2),4)</f>
        <v/>
      </c>
      <c r="G153">
        <f>ROUND(10*(Comparatif!I108-G$2)/(G$3-G$2),4)</f>
        <v/>
      </c>
      <c r="H153">
        <f>ROUND(10*(Comparatif!J108-H$2)/(H$3-H$2),4)</f>
        <v/>
      </c>
      <c r="I153">
        <f>ROUND(10*(Comparatif!K108-I$2)/(I$3-I$2),4)</f>
        <v/>
      </c>
      <c r="J153">
        <f>ROUND(10*(Comparatif!L108-J$2)/(J$3-J$2),4)</f>
        <v/>
      </c>
      <c r="K153">
        <f>ROUND(10*(Comparatif!M108-K$2)/(K$3-K$2),4)</f>
        <v/>
      </c>
      <c r="L153">
        <f>ROUND(10*(Comparatif!N108-L$2)/(L$3-L$2),4)</f>
        <v/>
      </c>
      <c r="M153">
        <f>ROUND(10*(Comparatif!O108-M$2)/(M$3-M$2),4)</f>
        <v/>
      </c>
      <c r="N153">
        <f>ROUND(10*(Comparatif!P108-N$2)/(N$3-N$2),4)</f>
        <v/>
      </c>
      <c r="O153">
        <f>ROUND(SUMPRODUCT(E153:N153,$E$1:$N$1)/Pondérations!$B$16,3)</f>
        <v/>
      </c>
      <c r="P153">
        <f>1+COUNTIF($O$5:$O$206,"&gt;"&amp;O153)+COUNTIF($O$5:$O153,O153)-1</f>
        <v/>
      </c>
      <c r="Q153">
        <f>1+COUNTIFS($C$5:$C$206,C153,$O$5:$O$206,"&gt;"&amp;O153)+COUNTIFS($C$5:$C153,C153,$O$5:$O153,O153)-1</f>
        <v/>
      </c>
      <c r="R153" s="182" t="n">
        <v>0</v>
      </c>
      <c r="S153">
        <f>IFERROR(ROUND(O153/(D153/100),2),"")</f>
        <v/>
      </c>
    </row>
    <row r="154">
      <c r="A154">
        <f>Comparatif!A72</f>
        <v/>
      </c>
      <c r="B154">
        <f>Comparatif!B72</f>
        <v/>
      </c>
      <c r="C154" t="inlineStr">
        <is>
          <t>Dongle</t>
        </is>
      </c>
      <c r="D154">
        <f>Comparatif!AF72</f>
        <v/>
      </c>
      <c r="E154">
        <f>ROUND(10*(Comparatif!G72-E$2)/(E$3-E$2),4)</f>
        <v/>
      </c>
      <c r="F154">
        <f>ROUND(10*(Comparatif!H72-F$2)/(F$3-F$2),4)</f>
        <v/>
      </c>
      <c r="G154">
        <f>ROUND(10*(Comparatif!I72-G$2)/(G$3-G$2),4)</f>
        <v/>
      </c>
      <c r="H154">
        <f>ROUND(10*(Comparatif!J72-H$2)/(H$3-H$2),4)</f>
        <v/>
      </c>
      <c r="I154">
        <f>ROUND(10*(Comparatif!K72-I$2)/(I$3-I$2),4)</f>
        <v/>
      </c>
      <c r="J154">
        <f>ROUND(10*(Comparatif!L72-J$2)/(J$3-J$2),4)</f>
        <v/>
      </c>
      <c r="K154">
        <f>ROUND(10*(Comparatif!M72-K$2)/(K$3-K$2),4)</f>
        <v/>
      </c>
      <c r="L154">
        <f>ROUND(10*(Comparatif!N72-L$2)/(L$3-L$2),4)</f>
        <v/>
      </c>
      <c r="M154">
        <f>ROUND(10*(Comparatif!O72-M$2)/(M$3-M$2),4)</f>
        <v/>
      </c>
      <c r="N154">
        <f>ROUND(10*(Comparatif!P72-N$2)/(N$3-N$2),4)</f>
        <v/>
      </c>
      <c r="O154">
        <f>ROUND(SUMPRODUCT(E154:N154,$E$1:$N$1)/Pondérations!$B$16,3)</f>
        <v/>
      </c>
      <c r="P154">
        <f>1+COUNTIF($O$5:$O$206,"&gt;"&amp;O154)+COUNTIF($O$5:$O154,O154)-1</f>
        <v/>
      </c>
      <c r="Q154">
        <f>1+COUNTIFS($C$5:$C$206,C154,$O$5:$O$206,"&gt;"&amp;O154)+COUNTIFS($C$5:$C154,C154,$O$5:$O154,O154)-1</f>
        <v/>
      </c>
      <c r="R154" s="182" t="n">
        <v>0</v>
      </c>
      <c r="S154">
        <f>IFERROR(ROUND(O154/(D154/100),2),"")</f>
        <v/>
      </c>
    </row>
    <row r="155">
      <c r="A155">
        <f>Comparatif!A20</f>
        <v/>
      </c>
      <c r="B155">
        <f>Comparatif!B20</f>
        <v/>
      </c>
      <c r="C155" t="inlineStr">
        <is>
          <t>Bluetooth</t>
        </is>
      </c>
      <c r="D155">
        <f>Comparatif!AF20</f>
        <v/>
      </c>
      <c r="E155">
        <f>ROUND(10*(Comparatif!G20-E$2)/(E$3-E$2),4)</f>
        <v/>
      </c>
      <c r="F155">
        <f>ROUND(10*(Comparatif!H20-F$2)/(F$3-F$2),4)</f>
        <v/>
      </c>
      <c r="G155">
        <f>ROUND(10*(Comparatif!I20-G$2)/(G$3-G$2),4)</f>
        <v/>
      </c>
      <c r="H155">
        <f>ROUND(10*(Comparatif!J20-H$2)/(H$3-H$2),4)</f>
        <v/>
      </c>
      <c r="I155">
        <f>ROUND(10*(Comparatif!K20-I$2)/(I$3-I$2),4)</f>
        <v/>
      </c>
      <c r="J155">
        <f>ROUND(10*(Comparatif!L20-J$2)/(J$3-J$2),4)</f>
        <v/>
      </c>
      <c r="K155">
        <f>ROUND(10*(Comparatif!M20-K$2)/(K$3-K$2),4)</f>
        <v/>
      </c>
      <c r="L155">
        <f>ROUND(10*(Comparatif!N20-L$2)/(L$3-L$2),4)</f>
        <v/>
      </c>
      <c r="M155">
        <f>ROUND(10*(Comparatif!O20-M$2)/(M$3-M$2),4)</f>
        <v/>
      </c>
      <c r="N155">
        <f>ROUND(10*(Comparatif!P20-N$2)/(N$3-N$2),4)</f>
        <v/>
      </c>
      <c r="O155">
        <f>ROUND(SUMPRODUCT(E155:N155,$E$1:$N$1)/Pondérations!$B$16,3)</f>
        <v/>
      </c>
      <c r="P155">
        <f>1+COUNTIF($O$5:$O$206,"&gt;"&amp;O155)+COUNTIF($O$5:$O155,O155)-1</f>
        <v/>
      </c>
      <c r="Q155">
        <f>1+COUNTIFS($C$5:$C$206,C155,$O$5:$O$206,"&gt;"&amp;O155)+COUNTIFS($C$5:$C155,C155,$O$5:$O155,O155)-1</f>
        <v/>
      </c>
      <c r="R155" s="182" t="n">
        <v>0.0055</v>
      </c>
      <c r="S155">
        <f>IFERROR(ROUND(O155/(D155/100),2),"")</f>
        <v/>
      </c>
    </row>
    <row r="156">
      <c r="A156">
        <f>Comparatif!A49</f>
        <v/>
      </c>
      <c r="B156">
        <f>Comparatif!B49</f>
        <v/>
      </c>
      <c r="C156" t="inlineStr">
        <is>
          <t>Dongle</t>
        </is>
      </c>
      <c r="D156">
        <f>Comparatif!AF49</f>
        <v/>
      </c>
      <c r="E156">
        <f>ROUND(10*(Comparatif!G49-E$2)/(E$3-E$2),4)</f>
        <v/>
      </c>
      <c r="F156">
        <f>ROUND(10*(Comparatif!H49-F$2)/(F$3-F$2),4)</f>
        <v/>
      </c>
      <c r="G156">
        <f>ROUND(10*(Comparatif!I49-G$2)/(G$3-G$2),4)</f>
        <v/>
      </c>
      <c r="H156">
        <f>ROUND(10*(Comparatif!J49-H$2)/(H$3-H$2),4)</f>
        <v/>
      </c>
      <c r="I156">
        <f>ROUND(10*(Comparatif!K49-I$2)/(I$3-I$2),4)</f>
        <v/>
      </c>
      <c r="J156">
        <f>ROUND(10*(Comparatif!L49-J$2)/(J$3-J$2),4)</f>
        <v/>
      </c>
      <c r="K156">
        <f>ROUND(10*(Comparatif!M49-K$2)/(K$3-K$2),4)</f>
        <v/>
      </c>
      <c r="L156">
        <f>ROUND(10*(Comparatif!N49-L$2)/(L$3-L$2),4)</f>
        <v/>
      </c>
      <c r="M156">
        <f>ROUND(10*(Comparatif!O49-M$2)/(M$3-M$2),4)</f>
        <v/>
      </c>
      <c r="N156">
        <f>ROUND(10*(Comparatif!P49-N$2)/(N$3-N$2),4)</f>
        <v/>
      </c>
      <c r="O156">
        <f>ROUND(SUMPRODUCT(E156:N156,$E$1:$N$1)/Pondérations!$B$16,3)</f>
        <v/>
      </c>
      <c r="P156">
        <f>1+COUNTIF($O$5:$O$206,"&gt;"&amp;O156)+COUNTIF($O$5:$O156,O156)-1</f>
        <v/>
      </c>
      <c r="Q156">
        <f>1+COUNTIFS($C$5:$C$206,C156,$O$5:$O$206,"&gt;"&amp;O156)+COUNTIFS($C$5:$C156,C156,$O$5:$O156,O156)-1</f>
        <v/>
      </c>
      <c r="R156" s="182" t="n">
        <v>0</v>
      </c>
      <c r="S156">
        <f>IFERROR(ROUND(O156/(D156/100),2),"")</f>
        <v/>
      </c>
    </row>
    <row r="157">
      <c r="A157">
        <f>Comparatif!A77</f>
        <v/>
      </c>
      <c r="B157">
        <f>Comparatif!B77</f>
        <v/>
      </c>
      <c r="C157" t="inlineStr">
        <is>
          <t>Dongle</t>
        </is>
      </c>
      <c r="D157">
        <f>Comparatif!AF77</f>
        <v/>
      </c>
      <c r="E157">
        <f>ROUND(10*(Comparatif!G77-E$2)/(E$3-E$2),4)</f>
        <v/>
      </c>
      <c r="F157">
        <f>ROUND(10*(Comparatif!H77-F$2)/(F$3-F$2),4)</f>
        <v/>
      </c>
      <c r="G157">
        <f>ROUND(10*(Comparatif!I77-G$2)/(G$3-G$2),4)</f>
        <v/>
      </c>
      <c r="H157">
        <f>ROUND(10*(Comparatif!J77-H$2)/(H$3-H$2),4)</f>
        <v/>
      </c>
      <c r="I157">
        <f>ROUND(10*(Comparatif!K77-I$2)/(I$3-I$2),4)</f>
        <v/>
      </c>
      <c r="J157">
        <f>ROUND(10*(Comparatif!L77-J$2)/(J$3-J$2),4)</f>
        <v/>
      </c>
      <c r="K157">
        <f>ROUND(10*(Comparatif!M77-K$2)/(K$3-K$2),4)</f>
        <v/>
      </c>
      <c r="L157">
        <f>ROUND(10*(Comparatif!N77-L$2)/(L$3-L$2),4)</f>
        <v/>
      </c>
      <c r="M157">
        <f>ROUND(10*(Comparatif!O77-M$2)/(M$3-M$2),4)</f>
        <v/>
      </c>
      <c r="N157">
        <f>ROUND(10*(Comparatif!P77-N$2)/(N$3-N$2),4)</f>
        <v/>
      </c>
      <c r="O157">
        <f>ROUND(SUMPRODUCT(E157:N157,$E$1:$N$1)/Pondérations!$B$16,3)</f>
        <v/>
      </c>
      <c r="P157">
        <f>1+COUNTIF($O$5:$O$206,"&gt;"&amp;O157)+COUNTIF($O$5:$O157,O157)-1</f>
        <v/>
      </c>
      <c r="Q157">
        <f>1+COUNTIFS($C$5:$C$206,C157,$O$5:$O$206,"&gt;"&amp;O157)+COUNTIFS($C$5:$C157,C157,$O$5:$O157,O157)-1</f>
        <v/>
      </c>
      <c r="R157" s="182" t="n">
        <v>0</v>
      </c>
      <c r="S157">
        <f>IFERROR(ROUND(O157/(D157/100),2),"")</f>
        <v/>
      </c>
    </row>
    <row r="158">
      <c r="A158">
        <f>Comparatif!A109</f>
        <v/>
      </c>
      <c r="B158">
        <f>Comparatif!B109</f>
        <v/>
      </c>
      <c r="C158" t="inlineStr">
        <is>
          <t>Dongle</t>
        </is>
      </c>
      <c r="D158">
        <f>Comparatif!AF109</f>
        <v/>
      </c>
      <c r="E158">
        <f>ROUND(10*(Comparatif!G109-E$2)/(E$3-E$2),4)</f>
        <v/>
      </c>
      <c r="F158">
        <f>ROUND(10*(Comparatif!H109-F$2)/(F$3-F$2),4)</f>
        <v/>
      </c>
      <c r="G158">
        <f>ROUND(10*(Comparatif!I109-G$2)/(G$3-G$2),4)</f>
        <v/>
      </c>
      <c r="H158">
        <f>ROUND(10*(Comparatif!J109-H$2)/(H$3-H$2),4)</f>
        <v/>
      </c>
      <c r="I158">
        <f>ROUND(10*(Comparatif!K109-I$2)/(I$3-I$2),4)</f>
        <v/>
      </c>
      <c r="J158">
        <f>ROUND(10*(Comparatif!L109-J$2)/(J$3-J$2),4)</f>
        <v/>
      </c>
      <c r="K158">
        <f>ROUND(10*(Comparatif!M109-K$2)/(K$3-K$2),4)</f>
        <v/>
      </c>
      <c r="L158">
        <f>ROUND(10*(Comparatif!N109-L$2)/(L$3-L$2),4)</f>
        <v/>
      </c>
      <c r="M158">
        <f>ROUND(10*(Comparatif!O109-M$2)/(M$3-M$2),4)</f>
        <v/>
      </c>
      <c r="N158">
        <f>ROUND(10*(Comparatif!P109-N$2)/(N$3-N$2),4)</f>
        <v/>
      </c>
      <c r="O158">
        <f>ROUND(SUMPRODUCT(E158:N158,$E$1:$N$1)/Pondérations!$B$16,3)</f>
        <v/>
      </c>
      <c r="P158">
        <f>1+COUNTIF($O$5:$O$206,"&gt;"&amp;O158)+COUNTIF($O$5:$O158,O158)-1</f>
        <v/>
      </c>
      <c r="Q158">
        <f>1+COUNTIFS($C$5:$C$206,C158,$O$5:$O$206,"&gt;"&amp;O158)+COUNTIFS($C$5:$C158,C158,$O$5:$O158,O158)-1</f>
        <v/>
      </c>
      <c r="R158" s="182" t="n">
        <v>0</v>
      </c>
      <c r="S158">
        <f>IFERROR(ROUND(O158/(D158/100),2),"")</f>
        <v/>
      </c>
    </row>
    <row r="159">
      <c r="A159">
        <f>Comparatif!A122</f>
        <v/>
      </c>
      <c r="B159">
        <f>Comparatif!B122</f>
        <v/>
      </c>
      <c r="C159" t="inlineStr">
        <is>
          <t>À classer</t>
        </is>
      </c>
      <c r="D159">
        <f>Comparatif!AF122</f>
        <v/>
      </c>
      <c r="E159">
        <f>ROUND(10*(Comparatif!G122-E$2)/(E$3-E$2),4)</f>
        <v/>
      </c>
      <c r="F159">
        <f>ROUND(10*(Comparatif!H122-F$2)/(F$3-F$2),4)</f>
        <v/>
      </c>
      <c r="G159">
        <f>ROUND(10*(Comparatif!I122-G$2)/(G$3-G$2),4)</f>
        <v/>
      </c>
      <c r="H159">
        <f>ROUND(10*(Comparatif!J122-H$2)/(H$3-H$2),4)</f>
        <v/>
      </c>
      <c r="I159">
        <f>ROUND(10*(Comparatif!K122-I$2)/(I$3-I$2),4)</f>
        <v/>
      </c>
      <c r="J159">
        <f>ROUND(10*(Comparatif!L122-J$2)/(J$3-J$2),4)</f>
        <v/>
      </c>
      <c r="K159">
        <f>ROUND(10*(Comparatif!M122-K$2)/(K$3-K$2),4)</f>
        <v/>
      </c>
      <c r="L159">
        <f>ROUND(10*(Comparatif!N122-L$2)/(L$3-L$2),4)</f>
        <v/>
      </c>
      <c r="M159">
        <f>ROUND(10*(Comparatif!O122-M$2)/(M$3-M$2),4)</f>
        <v/>
      </c>
      <c r="N159">
        <f>ROUND(10*(Comparatif!P122-N$2)/(N$3-N$2),4)</f>
        <v/>
      </c>
      <c r="O159">
        <f>ROUND(SUMPRODUCT(E159:N159,$E$1:$N$1)/Pondérations!$B$16,3)</f>
        <v/>
      </c>
      <c r="P159">
        <f>1+COUNTIF($O$5:$O$206,"&gt;"&amp;O159)+COUNTIF($O$5:$O159,O159)-1</f>
        <v/>
      </c>
      <c r="Q159">
        <f>1+COUNTIFS($C$5:$C$206,C159,$O$5:$O$206,"&gt;"&amp;O159)+COUNTIFS($C$5:$C159,C159,$O$5:$O159,O159)-1</f>
        <v/>
      </c>
      <c r="R159" s="182" t="n">
        <v>0</v>
      </c>
      <c r="S159">
        <f>IFERROR(ROUND(O159/(D159/100),2),"")</f>
        <v/>
      </c>
    </row>
    <row r="160">
      <c r="A160">
        <f>Comparatif!A26</f>
        <v/>
      </c>
      <c r="B160">
        <f>Comparatif!B26</f>
        <v/>
      </c>
      <c r="C160" t="inlineStr">
        <is>
          <t>Bluetooth</t>
        </is>
      </c>
      <c r="D160">
        <f>Comparatif!AF26</f>
        <v/>
      </c>
      <c r="E160">
        <f>ROUND(10*(Comparatif!G26-E$2)/(E$3-E$2),4)</f>
        <v/>
      </c>
      <c r="F160">
        <f>ROUND(10*(Comparatif!H26-F$2)/(F$3-F$2),4)</f>
        <v/>
      </c>
      <c r="G160">
        <f>ROUND(10*(Comparatif!I26-G$2)/(G$3-G$2),4)</f>
        <v/>
      </c>
      <c r="H160">
        <f>ROUND(10*(Comparatif!J26-H$2)/(H$3-H$2),4)</f>
        <v/>
      </c>
      <c r="I160">
        <f>ROUND(10*(Comparatif!K26-I$2)/(I$3-I$2),4)</f>
        <v/>
      </c>
      <c r="J160">
        <f>ROUND(10*(Comparatif!L26-J$2)/(J$3-J$2),4)</f>
        <v/>
      </c>
      <c r="K160">
        <f>ROUND(10*(Comparatif!M26-K$2)/(K$3-K$2),4)</f>
        <v/>
      </c>
      <c r="L160">
        <f>ROUND(10*(Comparatif!N26-L$2)/(L$3-L$2),4)</f>
        <v/>
      </c>
      <c r="M160">
        <f>ROUND(10*(Comparatif!O26-M$2)/(M$3-M$2),4)</f>
        <v/>
      </c>
      <c r="N160">
        <f>ROUND(10*(Comparatif!P26-N$2)/(N$3-N$2),4)</f>
        <v/>
      </c>
      <c r="O160">
        <f>ROUND(SUMPRODUCT(E160:N160,$E$1:$N$1)/Pondérations!$B$16,3)</f>
        <v/>
      </c>
      <c r="P160">
        <f>1+COUNTIF($O$5:$O$206,"&gt;"&amp;O160)+COUNTIF($O$5:$O160,O160)-1</f>
        <v/>
      </c>
      <c r="Q160">
        <f>1+COUNTIFS($C$5:$C$206,C160,$O$5:$O$206,"&gt;"&amp;O160)+COUNTIFS($C$5:$C160,C160,$O$5:$O160,O160)-1</f>
        <v/>
      </c>
      <c r="R160" s="182" t="n">
        <v>0</v>
      </c>
      <c r="S160">
        <f>IFERROR(ROUND(O160/(D160/100),2),"")</f>
        <v/>
      </c>
    </row>
    <row r="161">
      <c r="A161">
        <f>Comparatif!A48</f>
        <v/>
      </c>
      <c r="B161">
        <f>Comparatif!B48</f>
        <v/>
      </c>
      <c r="C161" t="inlineStr">
        <is>
          <t>Dongle</t>
        </is>
      </c>
      <c r="D161">
        <f>Comparatif!AF48</f>
        <v/>
      </c>
      <c r="E161">
        <f>ROUND(10*(Comparatif!G48-E$2)/(E$3-E$2),4)</f>
        <v/>
      </c>
      <c r="F161">
        <f>ROUND(10*(Comparatif!H48-F$2)/(F$3-F$2),4)</f>
        <v/>
      </c>
      <c r="G161">
        <f>ROUND(10*(Comparatif!I48-G$2)/(G$3-G$2),4)</f>
        <v/>
      </c>
      <c r="H161">
        <f>ROUND(10*(Comparatif!J48-H$2)/(H$3-H$2),4)</f>
        <v/>
      </c>
      <c r="I161">
        <f>ROUND(10*(Comparatif!K48-I$2)/(I$3-I$2),4)</f>
        <v/>
      </c>
      <c r="J161">
        <f>ROUND(10*(Comparatif!L48-J$2)/(J$3-J$2),4)</f>
        <v/>
      </c>
      <c r="K161">
        <f>ROUND(10*(Comparatif!M48-K$2)/(K$3-K$2),4)</f>
        <v/>
      </c>
      <c r="L161">
        <f>ROUND(10*(Comparatif!N48-L$2)/(L$3-L$2),4)</f>
        <v/>
      </c>
      <c r="M161">
        <f>ROUND(10*(Comparatif!O48-M$2)/(M$3-M$2),4)</f>
        <v/>
      </c>
      <c r="N161">
        <f>ROUND(10*(Comparatif!P48-N$2)/(N$3-N$2),4)</f>
        <v/>
      </c>
      <c r="O161">
        <f>ROUND(SUMPRODUCT(E161:N161,$E$1:$N$1)/Pondérations!$B$16,3)</f>
        <v/>
      </c>
      <c r="P161">
        <f>1+COUNTIF($O$5:$O$206,"&gt;"&amp;O161)+COUNTIF($O$5:$O161,O161)-1</f>
        <v/>
      </c>
      <c r="Q161">
        <f>1+COUNTIFS($C$5:$C$206,C161,$O$5:$O$206,"&gt;"&amp;O161)+COUNTIFS($C$5:$C161,C161,$O$5:$O161,O161)-1</f>
        <v/>
      </c>
      <c r="R161" s="182" t="n">
        <v>0</v>
      </c>
      <c r="S161">
        <f>IFERROR(ROUND(O161/(D161/100),2),"")</f>
        <v/>
      </c>
    </row>
    <row r="162">
      <c r="A162">
        <f>Comparatif!A107</f>
        <v/>
      </c>
      <c r="B162">
        <f>Comparatif!B107</f>
        <v/>
      </c>
      <c r="C162" t="inlineStr">
        <is>
          <t>Portable batterie</t>
        </is>
      </c>
      <c r="D162">
        <f>Comparatif!AF107</f>
        <v/>
      </c>
      <c r="E162">
        <f>ROUND(10*(Comparatif!G107-E$2)/(E$3-E$2),4)</f>
        <v/>
      </c>
      <c r="F162">
        <f>ROUND(10*(Comparatif!H107-F$2)/(F$3-F$2),4)</f>
        <v/>
      </c>
      <c r="G162">
        <f>ROUND(10*(Comparatif!I107-G$2)/(G$3-G$2),4)</f>
        <v/>
      </c>
      <c r="H162">
        <f>ROUND(10*(Comparatif!J107-H$2)/(H$3-H$2),4)</f>
        <v/>
      </c>
      <c r="I162">
        <f>ROUND(10*(Comparatif!K107-I$2)/(I$3-I$2),4)</f>
        <v/>
      </c>
      <c r="J162">
        <f>ROUND(10*(Comparatif!L107-J$2)/(J$3-J$2),4)</f>
        <v/>
      </c>
      <c r="K162">
        <f>ROUND(10*(Comparatif!M107-K$2)/(K$3-K$2),4)</f>
        <v/>
      </c>
      <c r="L162">
        <f>ROUND(10*(Comparatif!N107-L$2)/(L$3-L$2),4)</f>
        <v/>
      </c>
      <c r="M162">
        <f>ROUND(10*(Comparatif!O107-M$2)/(M$3-M$2),4)</f>
        <v/>
      </c>
      <c r="N162">
        <f>ROUND(10*(Comparatif!P107-N$2)/(N$3-N$2),4)</f>
        <v/>
      </c>
      <c r="O162">
        <f>ROUND(SUMPRODUCT(E162:N162,$E$1:$N$1)/Pondérations!$B$16,3)</f>
        <v/>
      </c>
      <c r="P162">
        <f>1+COUNTIF($O$5:$O$206,"&gt;"&amp;O162)+COUNTIF($O$5:$O162,O162)-1</f>
        <v/>
      </c>
      <c r="Q162">
        <f>1+COUNTIFS($C$5:$C$206,C162,$O$5:$O$206,"&gt;"&amp;O162)+COUNTIFS($C$5:$C162,C162,$O$5:$O162,O162)-1</f>
        <v/>
      </c>
      <c r="R162" s="182" t="n">
        <v>0</v>
      </c>
      <c r="S162">
        <f>IFERROR(ROUND(O162/(D162/100),2),"")</f>
        <v/>
      </c>
    </row>
    <row r="163">
      <c r="A163">
        <f>Comparatif!A65</f>
        <v/>
      </c>
      <c r="B163">
        <f>Comparatif!B65</f>
        <v/>
      </c>
      <c r="C163" t="inlineStr">
        <is>
          <t>Dongle</t>
        </is>
      </c>
      <c r="D163">
        <f>Comparatif!AF65</f>
        <v/>
      </c>
      <c r="E163">
        <f>ROUND(10*(Comparatif!G65-E$2)/(E$3-E$2),4)</f>
        <v/>
      </c>
      <c r="F163">
        <f>ROUND(10*(Comparatif!H65-F$2)/(F$3-F$2),4)</f>
        <v/>
      </c>
      <c r="G163">
        <f>ROUND(10*(Comparatif!I65-G$2)/(G$3-G$2),4)</f>
        <v/>
      </c>
      <c r="H163">
        <f>ROUND(10*(Comparatif!J65-H$2)/(H$3-H$2),4)</f>
        <v/>
      </c>
      <c r="I163">
        <f>ROUND(10*(Comparatif!K65-I$2)/(I$3-I$2),4)</f>
        <v/>
      </c>
      <c r="J163">
        <f>ROUND(10*(Comparatif!L65-J$2)/(J$3-J$2),4)</f>
        <v/>
      </c>
      <c r="K163">
        <f>ROUND(10*(Comparatif!M65-K$2)/(K$3-K$2),4)</f>
        <v/>
      </c>
      <c r="L163">
        <f>ROUND(10*(Comparatif!N65-L$2)/(L$3-L$2),4)</f>
        <v/>
      </c>
      <c r="M163">
        <f>ROUND(10*(Comparatif!O65-M$2)/(M$3-M$2),4)</f>
        <v/>
      </c>
      <c r="N163">
        <f>ROUND(10*(Comparatif!P65-N$2)/(N$3-N$2),4)</f>
        <v/>
      </c>
      <c r="O163">
        <f>ROUND(SUMPRODUCT(E163:N163,$E$1:$N$1)/Pondérations!$B$16,3)</f>
        <v/>
      </c>
      <c r="P163">
        <f>1+COUNTIF($O$5:$O$206,"&gt;"&amp;O163)+COUNTIF($O$5:$O163,O163)-1</f>
        <v/>
      </c>
      <c r="Q163">
        <f>1+COUNTIFS($C$5:$C$206,C163,$O$5:$O$206,"&gt;"&amp;O163)+COUNTIFS($C$5:$C163,C163,$O$5:$O163,O163)-1</f>
        <v/>
      </c>
      <c r="R163" s="182" t="n">
        <v>0</v>
      </c>
      <c r="S163">
        <f>IFERROR(ROUND(O163/(D163/100),2),"")</f>
        <v/>
      </c>
    </row>
    <row r="164">
      <c r="A164">
        <f>Comparatif!A59</f>
        <v/>
      </c>
      <c r="B164">
        <f>Comparatif!B59</f>
        <v/>
      </c>
      <c r="C164" t="inlineStr">
        <is>
          <t>Dongle</t>
        </is>
      </c>
      <c r="D164">
        <f>Comparatif!AF59</f>
        <v/>
      </c>
      <c r="E164">
        <f>ROUND(10*(Comparatif!G59-E$2)/(E$3-E$2),4)</f>
        <v/>
      </c>
      <c r="F164">
        <f>ROUND(10*(Comparatif!H59-F$2)/(F$3-F$2),4)</f>
        <v/>
      </c>
      <c r="G164">
        <f>ROUND(10*(Comparatif!I59-G$2)/(G$3-G$2),4)</f>
        <v/>
      </c>
      <c r="H164">
        <f>ROUND(10*(Comparatif!J59-H$2)/(H$3-H$2),4)</f>
        <v/>
      </c>
      <c r="I164">
        <f>ROUND(10*(Comparatif!K59-I$2)/(I$3-I$2),4)</f>
        <v/>
      </c>
      <c r="J164">
        <f>ROUND(10*(Comparatif!L59-J$2)/(J$3-J$2),4)</f>
        <v/>
      </c>
      <c r="K164">
        <f>ROUND(10*(Comparatif!M59-K$2)/(K$3-K$2),4)</f>
        <v/>
      </c>
      <c r="L164">
        <f>ROUND(10*(Comparatif!N59-L$2)/(L$3-L$2),4)</f>
        <v/>
      </c>
      <c r="M164">
        <f>ROUND(10*(Comparatif!O59-M$2)/(M$3-M$2),4)</f>
        <v/>
      </c>
      <c r="N164">
        <f>ROUND(10*(Comparatif!P59-N$2)/(N$3-N$2),4)</f>
        <v/>
      </c>
      <c r="O164">
        <f>ROUND(SUMPRODUCT(E164:N164,$E$1:$N$1)/Pondérations!$B$16,3)</f>
        <v/>
      </c>
      <c r="P164">
        <f>1+COUNTIF($O$5:$O$206,"&gt;"&amp;O164)+COUNTIF($O$5:$O164,O164)-1</f>
        <v/>
      </c>
      <c r="Q164">
        <f>1+COUNTIFS($C$5:$C$206,C164,$O$5:$O$206,"&gt;"&amp;O164)+COUNTIFS($C$5:$C164,C164,$O$5:$O164,O164)-1</f>
        <v/>
      </c>
      <c r="R164" s="182" t="n">
        <v>0</v>
      </c>
      <c r="S164">
        <f>IFERROR(ROUND(O164/(D164/100),2),"")</f>
        <v/>
      </c>
    </row>
    <row r="165">
      <c r="A165">
        <f>Comparatif!A23</f>
        <v/>
      </c>
      <c r="B165">
        <f>Comparatif!B23</f>
        <v/>
      </c>
      <c r="C165" t="inlineStr">
        <is>
          <t>Bluetooth</t>
        </is>
      </c>
      <c r="D165">
        <f>Comparatif!AF23</f>
        <v/>
      </c>
      <c r="E165">
        <f>ROUND(10*(Comparatif!G23-E$2)/(E$3-E$2),4)</f>
        <v/>
      </c>
      <c r="F165">
        <f>ROUND(10*(Comparatif!H23-F$2)/(F$3-F$2),4)</f>
        <v/>
      </c>
      <c r="G165">
        <f>ROUND(10*(Comparatif!I23-G$2)/(G$3-G$2),4)</f>
        <v/>
      </c>
      <c r="H165">
        <f>ROUND(10*(Comparatif!J23-H$2)/(H$3-H$2),4)</f>
        <v/>
      </c>
      <c r="I165">
        <f>ROUND(10*(Comparatif!K23-I$2)/(I$3-I$2),4)</f>
        <v/>
      </c>
      <c r="J165">
        <f>ROUND(10*(Comparatif!L23-J$2)/(J$3-J$2),4)</f>
        <v/>
      </c>
      <c r="K165">
        <f>ROUND(10*(Comparatif!M23-K$2)/(K$3-K$2),4)</f>
        <v/>
      </c>
      <c r="L165">
        <f>ROUND(10*(Comparatif!N23-L$2)/(L$3-L$2),4)</f>
        <v/>
      </c>
      <c r="M165">
        <f>ROUND(10*(Comparatif!O23-M$2)/(M$3-M$2),4)</f>
        <v/>
      </c>
      <c r="N165">
        <f>ROUND(10*(Comparatif!P23-N$2)/(N$3-N$2),4)</f>
        <v/>
      </c>
      <c r="O165">
        <f>ROUND(SUMPRODUCT(E165:N165,$E$1:$N$1)/Pondérations!$B$16,3)</f>
        <v/>
      </c>
      <c r="P165">
        <f>1+COUNTIF($O$5:$O$206,"&gt;"&amp;O165)+COUNTIF($O$5:$O165,O165)-1</f>
        <v/>
      </c>
      <c r="Q165">
        <f>1+COUNTIFS($C$5:$C$206,C165,$O$5:$O$206,"&gt;"&amp;O165)+COUNTIFS($C$5:$C165,C165,$O$5:$O165,O165)-1</f>
        <v/>
      </c>
      <c r="R165" s="182" t="n">
        <v>0.022</v>
      </c>
      <c r="S165">
        <f>IFERROR(ROUND(O165/(D165/100),2),"")</f>
        <v/>
      </c>
    </row>
    <row r="166">
      <c r="A166">
        <f>Comparatif!A55</f>
        <v/>
      </c>
      <c r="B166">
        <f>Comparatif!B55</f>
        <v/>
      </c>
      <c r="C166" t="inlineStr">
        <is>
          <t>Bluetooth</t>
        </is>
      </c>
      <c r="D166">
        <f>Comparatif!AF55</f>
        <v/>
      </c>
      <c r="E166">
        <f>ROUND(10*(Comparatif!G55-E$2)/(E$3-E$2),4)</f>
        <v/>
      </c>
      <c r="F166">
        <f>ROUND(10*(Comparatif!H55-F$2)/(F$3-F$2),4)</f>
        <v/>
      </c>
      <c r="G166">
        <f>ROUND(10*(Comparatif!I55-G$2)/(G$3-G$2),4)</f>
        <v/>
      </c>
      <c r="H166">
        <f>ROUND(10*(Comparatif!J55-H$2)/(H$3-H$2),4)</f>
        <v/>
      </c>
      <c r="I166">
        <f>ROUND(10*(Comparatif!K55-I$2)/(I$3-I$2),4)</f>
        <v/>
      </c>
      <c r="J166">
        <f>ROUND(10*(Comparatif!L55-J$2)/(J$3-J$2),4)</f>
        <v/>
      </c>
      <c r="K166">
        <f>ROUND(10*(Comparatif!M55-K$2)/(K$3-K$2),4)</f>
        <v/>
      </c>
      <c r="L166">
        <f>ROUND(10*(Comparatif!N55-L$2)/(L$3-L$2),4)</f>
        <v/>
      </c>
      <c r="M166">
        <f>ROUND(10*(Comparatif!O55-M$2)/(M$3-M$2),4)</f>
        <v/>
      </c>
      <c r="N166">
        <f>ROUND(10*(Comparatif!P55-N$2)/(N$3-N$2),4)</f>
        <v/>
      </c>
      <c r="O166">
        <f>ROUND(SUMPRODUCT(E166:N166,$E$1:$N$1)/Pondérations!$B$16,3)</f>
        <v/>
      </c>
      <c r="P166">
        <f>1+COUNTIF($O$5:$O$206,"&gt;"&amp;O166)+COUNTIF($O$5:$O166,O166)-1</f>
        <v/>
      </c>
      <c r="Q166">
        <f>1+COUNTIFS($C$5:$C$206,C166,$O$5:$O$206,"&gt;"&amp;O166)+COUNTIFS($C$5:$C166,C166,$O$5:$O166,O166)-1</f>
        <v/>
      </c>
      <c r="R166" s="182" t="n">
        <v>0</v>
      </c>
      <c r="S166">
        <f>IFERROR(ROUND(O166/(D166/100),2),"")</f>
        <v/>
      </c>
    </row>
    <row r="167">
      <c r="A167">
        <f>Comparatif!A68</f>
        <v/>
      </c>
      <c r="B167">
        <f>Comparatif!B68</f>
        <v/>
      </c>
      <c r="C167" t="inlineStr">
        <is>
          <t>Dongle</t>
        </is>
      </c>
      <c r="D167">
        <f>Comparatif!AF68</f>
        <v/>
      </c>
      <c r="E167">
        <f>ROUND(10*(Comparatif!G68-E$2)/(E$3-E$2),4)</f>
        <v/>
      </c>
      <c r="F167">
        <f>ROUND(10*(Comparatif!H68-F$2)/(F$3-F$2),4)</f>
        <v/>
      </c>
      <c r="G167">
        <f>ROUND(10*(Comparatif!I68-G$2)/(G$3-G$2),4)</f>
        <v/>
      </c>
      <c r="H167">
        <f>ROUND(10*(Comparatif!J68-H$2)/(H$3-H$2),4)</f>
        <v/>
      </c>
      <c r="I167">
        <f>ROUND(10*(Comparatif!K68-I$2)/(I$3-I$2),4)</f>
        <v/>
      </c>
      <c r="J167">
        <f>ROUND(10*(Comparatif!L68-J$2)/(J$3-J$2),4)</f>
        <v/>
      </c>
      <c r="K167">
        <f>ROUND(10*(Comparatif!M68-K$2)/(K$3-K$2),4)</f>
        <v/>
      </c>
      <c r="L167">
        <f>ROUND(10*(Comparatif!N68-L$2)/(L$3-L$2),4)</f>
        <v/>
      </c>
      <c r="M167">
        <f>ROUND(10*(Comparatif!O68-M$2)/(M$3-M$2),4)</f>
        <v/>
      </c>
      <c r="N167">
        <f>ROUND(10*(Comparatif!P68-N$2)/(N$3-N$2),4)</f>
        <v/>
      </c>
      <c r="O167">
        <f>ROUND(SUMPRODUCT(E167:N167,$E$1:$N$1)/Pondérations!$B$16,3)</f>
        <v/>
      </c>
      <c r="P167">
        <f>1+COUNTIF($O$5:$O$206,"&gt;"&amp;O167)+COUNTIF($O$5:$O167,O167)-1</f>
        <v/>
      </c>
      <c r="Q167">
        <f>1+COUNTIFS($C$5:$C$206,C167,$O$5:$O$206,"&gt;"&amp;O167)+COUNTIFS($C$5:$C167,C167,$O$5:$O167,O167)-1</f>
        <v/>
      </c>
      <c r="R167" s="182" t="n">
        <v>0</v>
      </c>
      <c r="S167">
        <f>IFERROR(ROUND(O167/(D167/100),2),"")</f>
        <v/>
      </c>
    </row>
    <row r="168">
      <c r="A168">
        <f>Comparatif!A173</f>
        <v/>
      </c>
      <c r="B168">
        <f>Comparatif!B173</f>
        <v/>
      </c>
      <c r="C168" t="inlineStr">
        <is>
          <t>Portable batterie</t>
        </is>
      </c>
      <c r="D168">
        <f>Comparatif!AF173</f>
        <v/>
      </c>
      <c r="E168">
        <f>ROUND(10*(Comparatif!G173-E$2)/(E$3-E$2),4)</f>
        <v/>
      </c>
      <c r="F168">
        <f>ROUND(10*(Comparatif!H173-F$2)/(F$3-F$2),4)</f>
        <v/>
      </c>
      <c r="G168">
        <f>ROUND(10*(Comparatif!I173-G$2)/(G$3-G$2),4)</f>
        <v/>
      </c>
      <c r="H168">
        <f>ROUND(10*(Comparatif!J173-H$2)/(H$3-H$2),4)</f>
        <v/>
      </c>
      <c r="I168">
        <f>ROUND(10*(Comparatif!K173-I$2)/(I$3-I$2),4)</f>
        <v/>
      </c>
      <c r="J168">
        <f>ROUND(10*(Comparatif!L173-J$2)/(J$3-J$2),4)</f>
        <v/>
      </c>
      <c r="K168">
        <f>ROUND(10*(Comparatif!M173-K$2)/(K$3-K$2),4)</f>
        <v/>
      </c>
      <c r="L168">
        <f>ROUND(10*(Comparatif!N173-L$2)/(L$3-L$2),4)</f>
        <v/>
      </c>
      <c r="M168">
        <f>ROUND(10*(Comparatif!O173-M$2)/(M$3-M$2),4)</f>
        <v/>
      </c>
      <c r="N168">
        <f>ROUND(10*(Comparatif!P173-N$2)/(N$3-N$2),4)</f>
        <v/>
      </c>
      <c r="O168">
        <f>ROUND(SUMPRODUCT(E168:N168,$E$1:$N$1)/Pondérations!$B$16,3)</f>
        <v/>
      </c>
      <c r="P168">
        <f>1+COUNTIF($O$5:$O$206,"&gt;"&amp;O168)+COUNTIF($O$5:$O168,O168)-1</f>
        <v/>
      </c>
      <c r="Q168">
        <f>1+COUNTIFS($C$5:$C$206,C168,$O$5:$O$206,"&gt;"&amp;O168)+COUNTIFS($C$5:$C168,C168,$O$5:$O168,O168)-1</f>
        <v/>
      </c>
      <c r="R168" s="182" t="n">
        <v>0</v>
      </c>
      <c r="S168">
        <f>IFERROR(ROUND(O168/(D168/100),2),"")</f>
        <v/>
      </c>
    </row>
    <row r="169">
      <c r="A169">
        <f>Comparatif!A98</f>
        <v/>
      </c>
      <c r="B169">
        <f>Comparatif!B98</f>
        <v/>
      </c>
      <c r="C169" t="inlineStr">
        <is>
          <t>Dongle</t>
        </is>
      </c>
      <c r="D169">
        <f>Comparatif!AF98</f>
        <v/>
      </c>
      <c r="E169">
        <f>ROUND(10*(Comparatif!G98-E$2)/(E$3-E$2),4)</f>
        <v/>
      </c>
      <c r="F169">
        <f>ROUND(10*(Comparatif!H98-F$2)/(F$3-F$2),4)</f>
        <v/>
      </c>
      <c r="G169">
        <f>ROUND(10*(Comparatif!I98-G$2)/(G$3-G$2),4)</f>
        <v/>
      </c>
      <c r="H169">
        <f>ROUND(10*(Comparatif!J98-H$2)/(H$3-H$2),4)</f>
        <v/>
      </c>
      <c r="I169">
        <f>ROUND(10*(Comparatif!K98-I$2)/(I$3-I$2),4)</f>
        <v/>
      </c>
      <c r="J169">
        <f>ROUND(10*(Comparatif!L98-J$2)/(J$3-J$2),4)</f>
        <v/>
      </c>
      <c r="K169">
        <f>ROUND(10*(Comparatif!M98-K$2)/(K$3-K$2),4)</f>
        <v/>
      </c>
      <c r="L169">
        <f>ROUND(10*(Comparatif!N98-L$2)/(L$3-L$2),4)</f>
        <v/>
      </c>
      <c r="M169">
        <f>ROUND(10*(Comparatif!O98-M$2)/(M$3-M$2),4)</f>
        <v/>
      </c>
      <c r="N169">
        <f>ROUND(10*(Comparatif!P98-N$2)/(N$3-N$2),4)</f>
        <v/>
      </c>
      <c r="O169">
        <f>ROUND(SUMPRODUCT(E169:N169,$E$1:$N$1)/Pondérations!$B$16,3)</f>
        <v/>
      </c>
      <c r="P169">
        <f>1+COUNTIF($O$5:$O$206,"&gt;"&amp;O169)+COUNTIF($O$5:$O169,O169)-1</f>
        <v/>
      </c>
      <c r="Q169">
        <f>1+COUNTIFS($C$5:$C$206,C169,$O$5:$O$206,"&gt;"&amp;O169)+COUNTIFS($C$5:$C169,C169,$O$5:$O169,O169)-1</f>
        <v/>
      </c>
      <c r="R169" s="182" t="n">
        <v>0</v>
      </c>
      <c r="S169">
        <f>IFERROR(ROUND(O169/(D169/100),2),"")</f>
        <v/>
      </c>
    </row>
    <row r="170">
      <c r="A170">
        <f>Comparatif!A27</f>
        <v/>
      </c>
      <c r="B170">
        <f>Comparatif!B27</f>
        <v/>
      </c>
      <c r="C170" t="inlineStr">
        <is>
          <t>Portable batterie</t>
        </is>
      </c>
      <c r="D170">
        <f>Comparatif!AF27</f>
        <v/>
      </c>
      <c r="E170">
        <f>ROUND(10*(Comparatif!G27-E$2)/(E$3-E$2),4)</f>
        <v/>
      </c>
      <c r="F170">
        <f>ROUND(10*(Comparatif!H27-F$2)/(F$3-F$2),4)</f>
        <v/>
      </c>
      <c r="G170">
        <f>ROUND(10*(Comparatif!I27-G$2)/(G$3-G$2),4)</f>
        <v/>
      </c>
      <c r="H170">
        <f>ROUND(10*(Comparatif!J27-H$2)/(H$3-H$2),4)</f>
        <v/>
      </c>
      <c r="I170">
        <f>ROUND(10*(Comparatif!K27-I$2)/(I$3-I$2),4)</f>
        <v/>
      </c>
      <c r="J170">
        <f>ROUND(10*(Comparatif!L27-J$2)/(J$3-J$2),4)</f>
        <v/>
      </c>
      <c r="K170">
        <f>ROUND(10*(Comparatif!M27-K$2)/(K$3-K$2),4)</f>
        <v/>
      </c>
      <c r="L170">
        <f>ROUND(10*(Comparatif!N27-L$2)/(L$3-L$2),4)</f>
        <v/>
      </c>
      <c r="M170">
        <f>ROUND(10*(Comparatif!O27-M$2)/(M$3-M$2),4)</f>
        <v/>
      </c>
      <c r="N170">
        <f>ROUND(10*(Comparatif!P27-N$2)/(N$3-N$2),4)</f>
        <v/>
      </c>
      <c r="O170">
        <f>ROUND(SUMPRODUCT(E170:N170,$E$1:$N$1)/Pondérations!$B$16,3)</f>
        <v/>
      </c>
      <c r="P170">
        <f>1+COUNTIF($O$5:$O$206,"&gt;"&amp;O170)+COUNTIF($O$5:$O170,O170)-1</f>
        <v/>
      </c>
      <c r="Q170">
        <f>1+COUNTIFS($C$5:$C$206,C170,$O$5:$O$206,"&gt;"&amp;O170)+COUNTIFS($C$5:$C170,C170,$O$5:$O170,O170)-1</f>
        <v/>
      </c>
      <c r="R170" s="182" t="n">
        <v>0.0005</v>
      </c>
      <c r="S170">
        <f>IFERROR(ROUND(O170/(D170/100),2),"")</f>
        <v/>
      </c>
    </row>
    <row r="171">
      <c r="A171">
        <f>Comparatif!A22</f>
        <v/>
      </c>
      <c r="B171">
        <f>Comparatif!B22</f>
        <v/>
      </c>
      <c r="C171" t="inlineStr">
        <is>
          <t>Portable batterie</t>
        </is>
      </c>
      <c r="D171">
        <f>Comparatif!AF22</f>
        <v/>
      </c>
      <c r="E171">
        <f>ROUND(10*(Comparatif!G22-E$2)/(E$3-E$2),4)</f>
        <v/>
      </c>
      <c r="F171">
        <f>ROUND(10*(Comparatif!H22-F$2)/(F$3-F$2),4)</f>
        <v/>
      </c>
      <c r="G171">
        <f>ROUND(10*(Comparatif!I22-G$2)/(G$3-G$2),4)</f>
        <v/>
      </c>
      <c r="H171">
        <f>ROUND(10*(Comparatif!J22-H$2)/(H$3-H$2),4)</f>
        <v/>
      </c>
      <c r="I171">
        <f>ROUND(10*(Comparatif!K22-I$2)/(I$3-I$2),4)</f>
        <v/>
      </c>
      <c r="J171">
        <f>ROUND(10*(Comparatif!L22-J$2)/(J$3-J$2),4)</f>
        <v/>
      </c>
      <c r="K171">
        <f>ROUND(10*(Comparatif!M22-K$2)/(K$3-K$2),4)</f>
        <v/>
      </c>
      <c r="L171">
        <f>ROUND(10*(Comparatif!N22-L$2)/(L$3-L$2),4)</f>
        <v/>
      </c>
      <c r="M171">
        <f>ROUND(10*(Comparatif!O22-M$2)/(M$3-M$2),4)</f>
        <v/>
      </c>
      <c r="N171">
        <f>ROUND(10*(Comparatif!P22-N$2)/(N$3-N$2),4)</f>
        <v/>
      </c>
      <c r="O171">
        <f>ROUND(SUMPRODUCT(E171:N171,$E$1:$N$1)/Pondérations!$B$16,3)</f>
        <v/>
      </c>
      <c r="P171">
        <f>1+COUNTIF($O$5:$O$206,"&gt;"&amp;O171)+COUNTIF($O$5:$O171,O171)-1</f>
        <v/>
      </c>
      <c r="Q171">
        <f>1+COUNTIFS($C$5:$C$206,C171,$O$5:$O$206,"&gt;"&amp;O171)+COUNTIFS($C$5:$C171,C171,$O$5:$O171,O171)-1</f>
        <v/>
      </c>
      <c r="R171" s="182" t="n">
        <v>0</v>
      </c>
      <c r="S171">
        <f>IFERROR(ROUND(O171/(D171/100),2),"")</f>
        <v/>
      </c>
    </row>
    <row r="172">
      <c r="A172">
        <f>Comparatif!A21</f>
        <v/>
      </c>
      <c r="B172">
        <f>Comparatif!B21</f>
        <v/>
      </c>
      <c r="C172" t="inlineStr">
        <is>
          <t>Portable batterie</t>
        </is>
      </c>
      <c r="D172">
        <f>Comparatif!AF21</f>
        <v/>
      </c>
      <c r="E172">
        <f>ROUND(10*(Comparatif!G21-E$2)/(E$3-E$2),4)</f>
        <v/>
      </c>
      <c r="F172">
        <f>ROUND(10*(Comparatif!H21-F$2)/(F$3-F$2),4)</f>
        <v/>
      </c>
      <c r="G172">
        <f>ROUND(10*(Comparatif!I21-G$2)/(G$3-G$2),4)</f>
        <v/>
      </c>
      <c r="H172">
        <f>ROUND(10*(Comparatif!J21-H$2)/(H$3-H$2),4)</f>
        <v/>
      </c>
      <c r="I172">
        <f>ROUND(10*(Comparatif!K21-I$2)/(I$3-I$2),4)</f>
        <v/>
      </c>
      <c r="J172">
        <f>ROUND(10*(Comparatif!L21-J$2)/(J$3-J$2),4)</f>
        <v/>
      </c>
      <c r="K172">
        <f>ROUND(10*(Comparatif!M21-K$2)/(K$3-K$2),4)</f>
        <v/>
      </c>
      <c r="L172">
        <f>ROUND(10*(Comparatif!N21-L$2)/(L$3-L$2),4)</f>
        <v/>
      </c>
      <c r="M172">
        <f>ROUND(10*(Comparatif!O21-M$2)/(M$3-M$2),4)</f>
        <v/>
      </c>
      <c r="N172">
        <f>ROUND(10*(Comparatif!P21-N$2)/(N$3-N$2),4)</f>
        <v/>
      </c>
      <c r="O172">
        <f>ROUND(SUMPRODUCT(E172:N172,$E$1:$N$1)/Pondérations!$B$16,3)</f>
        <v/>
      </c>
      <c r="P172">
        <f>1+COUNTIF($O$5:$O$206,"&gt;"&amp;O172)+COUNTIF($O$5:$O172,O172)-1</f>
        <v/>
      </c>
      <c r="Q172">
        <f>1+COUNTIFS($C$5:$C$206,C172,$O$5:$O$206,"&gt;"&amp;O172)+COUNTIFS($C$5:$C172,C172,$O$5:$O172,O172)-1</f>
        <v/>
      </c>
      <c r="R172" s="182" t="n">
        <v>0</v>
      </c>
      <c r="S172">
        <f>IFERROR(ROUND(O172/(D172/100),2),"")</f>
        <v/>
      </c>
    </row>
    <row r="173">
      <c r="A173">
        <f>Comparatif!A169</f>
        <v/>
      </c>
      <c r="B173">
        <f>Comparatif!B169</f>
        <v/>
      </c>
      <c r="C173" t="inlineStr">
        <is>
          <t>À classer</t>
        </is>
      </c>
      <c r="D173">
        <f>Comparatif!AF169</f>
        <v/>
      </c>
      <c r="E173">
        <f>ROUND(10*(Comparatif!G169-E$2)/(E$3-E$2),4)</f>
        <v/>
      </c>
      <c r="F173">
        <f>ROUND(10*(Comparatif!H169-F$2)/(F$3-F$2),4)</f>
        <v/>
      </c>
      <c r="G173">
        <f>ROUND(10*(Comparatif!I169-G$2)/(G$3-G$2),4)</f>
        <v/>
      </c>
      <c r="H173">
        <f>ROUND(10*(Comparatif!J169-H$2)/(H$3-H$2),4)</f>
        <v/>
      </c>
      <c r="I173">
        <f>ROUND(10*(Comparatif!K169-I$2)/(I$3-I$2),4)</f>
        <v/>
      </c>
      <c r="J173">
        <f>ROUND(10*(Comparatif!L169-J$2)/(J$3-J$2),4)</f>
        <v/>
      </c>
      <c r="K173">
        <f>ROUND(10*(Comparatif!M169-K$2)/(K$3-K$2),4)</f>
        <v/>
      </c>
      <c r="L173">
        <f>ROUND(10*(Comparatif!N169-L$2)/(L$3-L$2),4)</f>
        <v/>
      </c>
      <c r="M173">
        <f>ROUND(10*(Comparatif!O169-M$2)/(M$3-M$2),4)</f>
        <v/>
      </c>
      <c r="N173">
        <f>ROUND(10*(Comparatif!P169-N$2)/(N$3-N$2),4)</f>
        <v/>
      </c>
      <c r="O173">
        <f>ROUND(SUMPRODUCT(E173:N173,$E$1:$N$1)/Pondérations!$B$16,3)</f>
        <v/>
      </c>
      <c r="P173">
        <f>1+COUNTIF($O$5:$O$206,"&gt;"&amp;O173)+COUNTIF($O$5:$O173,O173)-1</f>
        <v/>
      </c>
      <c r="Q173">
        <f>1+COUNTIFS($C$5:$C$206,C173,$O$5:$O$206,"&gt;"&amp;O173)+COUNTIFS($C$5:$C173,C173,$O$5:$O173,O173)-1</f>
        <v/>
      </c>
      <c r="R173" s="182" t="n">
        <v>0</v>
      </c>
      <c r="S173">
        <f>IFERROR(ROUND(O173/(D173/100),2),"")</f>
        <v/>
      </c>
    </row>
    <row r="174">
      <c r="A174">
        <f>Comparatif!A25</f>
        <v/>
      </c>
      <c r="B174">
        <f>Comparatif!B25</f>
        <v/>
      </c>
      <c r="C174" t="inlineStr">
        <is>
          <t>À classer</t>
        </is>
      </c>
      <c r="D174">
        <f>Comparatif!AF25</f>
        <v/>
      </c>
      <c r="E174">
        <f>ROUND(10*(Comparatif!G25-E$2)/(E$3-E$2),4)</f>
        <v/>
      </c>
      <c r="F174">
        <f>ROUND(10*(Comparatif!H25-F$2)/(F$3-F$2),4)</f>
        <v/>
      </c>
      <c r="G174">
        <f>ROUND(10*(Comparatif!I25-G$2)/(G$3-G$2),4)</f>
        <v/>
      </c>
      <c r="H174">
        <f>ROUND(10*(Comparatif!J25-H$2)/(H$3-H$2),4)</f>
        <v/>
      </c>
      <c r="I174">
        <f>ROUND(10*(Comparatif!K25-I$2)/(I$3-I$2),4)</f>
        <v/>
      </c>
      <c r="J174">
        <f>ROUND(10*(Comparatif!L25-J$2)/(J$3-J$2),4)</f>
        <v/>
      </c>
      <c r="K174">
        <f>ROUND(10*(Comparatif!M25-K$2)/(K$3-K$2),4)</f>
        <v/>
      </c>
      <c r="L174">
        <f>ROUND(10*(Comparatif!N25-L$2)/(L$3-L$2),4)</f>
        <v/>
      </c>
      <c r="M174">
        <f>ROUND(10*(Comparatif!O25-M$2)/(M$3-M$2),4)</f>
        <v/>
      </c>
      <c r="N174">
        <f>ROUND(10*(Comparatif!P25-N$2)/(N$3-N$2),4)</f>
        <v/>
      </c>
      <c r="O174">
        <f>ROUND(SUMPRODUCT(E174:N174,$E$1:$N$1)/Pondérations!$B$16,3)</f>
        <v/>
      </c>
      <c r="P174">
        <f>1+COUNTIF($O$5:$O$206,"&gt;"&amp;O174)+COUNTIF($O$5:$O174,O174)-1</f>
        <v/>
      </c>
      <c r="Q174">
        <f>1+COUNTIFS($C$5:$C$206,C174,$O$5:$O$206,"&gt;"&amp;O174)+COUNTIFS($C$5:$C174,C174,$O$5:$O174,O174)-1</f>
        <v/>
      </c>
      <c r="R174" s="182" t="n">
        <v>0</v>
      </c>
      <c r="S174">
        <f>IFERROR(ROUND(O174/(D174/100),2),"")</f>
        <v/>
      </c>
    </row>
    <row r="175">
      <c r="A175">
        <f>Comparatif!A179</f>
        <v/>
      </c>
      <c r="B175">
        <f>Comparatif!B179</f>
        <v/>
      </c>
      <c r="C175" t="inlineStr">
        <is>
          <t>Bluetooth</t>
        </is>
      </c>
      <c r="D175">
        <f>Comparatif!AF179</f>
        <v/>
      </c>
      <c r="E175">
        <f>ROUND(10*(Comparatif!A179-E$2)/(E$3-E$2),4)</f>
        <v/>
      </c>
      <c r="F175">
        <f>ROUND(10*(Comparatif!B179-F$2)/(F$3-F$2),4)</f>
        <v/>
      </c>
      <c r="G175">
        <f>ROUND(10*(Comparatif!C179-G$2)/(G$3-G$2),4)</f>
        <v/>
      </c>
      <c r="H175">
        <f>ROUND(10*(Comparatif!D179-H$2)/(H$3-H$2),4)</f>
        <v/>
      </c>
      <c r="I175">
        <f>ROUND(10*(Comparatif!E179-I$2)/(I$3-I$2),4)</f>
        <v/>
      </c>
      <c r="J175">
        <f>ROUND(10*(Comparatif!F179-J$2)/(J$3-J$2),4)</f>
        <v/>
      </c>
      <c r="K175">
        <f>ROUND(10*(Comparatif!G179-K$2)/(K$3-K$2),4)</f>
        <v/>
      </c>
      <c r="L175">
        <f>ROUND(10*(Comparatif!H179-L$2)/(L$3-L$2),4)</f>
        <v/>
      </c>
      <c r="M175">
        <f>ROUND(10*(Comparatif!I179-M$2)/(M$3-M$2),4)</f>
        <v/>
      </c>
      <c r="N175">
        <f>ROUND(10*(Comparatif!J179-N$2)/(N$3-N$2),4)</f>
        <v/>
      </c>
      <c r="O175">
        <f>ROUND(SUMPRODUCT(E175:N175,$E$1:$N$1)/Pondérations!$B$16,3)</f>
        <v/>
      </c>
      <c r="P175">
        <f>1+COUNTIF($O$5:$O$206,"&gt;"&amp;O175)+COUNTIF($O$5:$O175,O175)-1</f>
        <v/>
      </c>
      <c r="Q175">
        <f>1+COUNTIFS($C$5:$C$206,C175,$O$5:$O$206,"&gt;"&amp;O175)+COUNTIFS($C$5:$C175,C175,$O$5:$O175,O175)</f>
        <v/>
      </c>
      <c r="R175" t="n">
        <v>0.9975000000000001</v>
      </c>
    </row>
    <row r="176">
      <c r="A176">
        <f>Comparatif!A180</f>
        <v/>
      </c>
      <c r="B176">
        <f>Comparatif!B180</f>
        <v/>
      </c>
      <c r="C176" t="inlineStr">
        <is>
          <t>Dongle</t>
        </is>
      </c>
      <c r="D176">
        <f>Comparatif!AF180</f>
        <v/>
      </c>
      <c r="E176">
        <f>ROUND(10*(Comparatif!A180-E$2)/(E$3-E$2),4)</f>
        <v/>
      </c>
      <c r="F176">
        <f>ROUND(10*(Comparatif!B180-F$2)/(F$3-F$2),4)</f>
        <v/>
      </c>
      <c r="G176">
        <f>ROUND(10*(Comparatif!C180-G$2)/(G$3-G$2),4)</f>
        <v/>
      </c>
      <c r="H176">
        <f>ROUND(10*(Comparatif!D180-H$2)/(H$3-H$2),4)</f>
        <v/>
      </c>
      <c r="I176">
        <f>ROUND(10*(Comparatif!E180-I$2)/(I$3-I$2),4)</f>
        <v/>
      </c>
      <c r="J176">
        <f>ROUND(10*(Comparatif!F180-J$2)/(J$3-J$2),4)</f>
        <v/>
      </c>
      <c r="K176">
        <f>ROUND(10*(Comparatif!G180-K$2)/(K$3-K$2),4)</f>
        <v/>
      </c>
      <c r="L176">
        <f>ROUND(10*(Comparatif!H180-L$2)/(L$3-L$2),4)</f>
        <v/>
      </c>
      <c r="M176">
        <f>ROUND(10*(Comparatif!I180-M$2)/(M$3-M$2),4)</f>
        <v/>
      </c>
      <c r="N176">
        <f>ROUND(10*(Comparatif!J180-N$2)/(N$3-N$2),4)</f>
        <v/>
      </c>
      <c r="O176">
        <f>ROUND(SUMPRODUCT(E176:N176,$E$1:$N$1)/Pondérations!$B$16,3)</f>
        <v/>
      </c>
      <c r="P176">
        <f>1+COUNTIF($O$5:$O$206,"&gt;"&amp;O176)+COUNTIF($O$5:$O176,O176)-1</f>
        <v/>
      </c>
      <c r="Q176">
        <f>1+COUNTIFS($C$5:$C$206,C176,$O$5:$O$206,"&gt;"&amp;O176)+COUNTIFS($C$5:$C176,C176,$O$5:$O176,O176)</f>
        <v/>
      </c>
      <c r="R176" t="n">
        <v>0.9975000000000001</v>
      </c>
    </row>
    <row r="177">
      <c r="A177">
        <f>Comparatif!A181</f>
        <v/>
      </c>
      <c r="B177">
        <f>Comparatif!B181</f>
        <v/>
      </c>
      <c r="C177" t="inlineStr">
        <is>
          <t>Dongle</t>
        </is>
      </c>
      <c r="D177">
        <f>Comparatif!AF181</f>
        <v/>
      </c>
      <c r="E177">
        <f>ROUND(10*(Comparatif!A181-E$2)/(E$3-E$2),4)</f>
        <v/>
      </c>
      <c r="F177">
        <f>ROUND(10*(Comparatif!B181-F$2)/(F$3-F$2),4)</f>
        <v/>
      </c>
      <c r="G177">
        <f>ROUND(10*(Comparatif!C181-G$2)/(G$3-G$2),4)</f>
        <v/>
      </c>
      <c r="H177">
        <f>ROUND(10*(Comparatif!D181-H$2)/(H$3-H$2),4)</f>
        <v/>
      </c>
      <c r="I177">
        <f>ROUND(10*(Comparatif!E181-I$2)/(I$3-I$2),4)</f>
        <v/>
      </c>
      <c r="J177">
        <f>ROUND(10*(Comparatif!F181-J$2)/(J$3-J$2),4)</f>
        <v/>
      </c>
      <c r="K177">
        <f>ROUND(10*(Comparatif!G181-K$2)/(K$3-K$2),4)</f>
        <v/>
      </c>
      <c r="L177">
        <f>ROUND(10*(Comparatif!H181-L$2)/(L$3-L$2),4)</f>
        <v/>
      </c>
      <c r="M177">
        <f>ROUND(10*(Comparatif!I181-M$2)/(M$3-M$2),4)</f>
        <v/>
      </c>
      <c r="N177">
        <f>ROUND(10*(Comparatif!J181-N$2)/(N$3-N$2),4)</f>
        <v/>
      </c>
      <c r="O177">
        <f>ROUND(SUMPRODUCT(E177:N177,$E$1:$N$1)/Pondérations!$B$16,3)</f>
        <v/>
      </c>
      <c r="P177">
        <f>1+COUNTIF($O$5:$O$206,"&gt;"&amp;O177)+COUNTIF($O$5:$O177,O177)-1</f>
        <v/>
      </c>
      <c r="Q177">
        <f>1+COUNTIFS($C$5:$C$206,C177,$O$5:$O$206,"&gt;"&amp;O177)+COUNTIFS($C$5:$C177,C177,$O$5:$O177,O177)</f>
        <v/>
      </c>
      <c r="R177" t="n">
        <v>0.9975000000000001</v>
      </c>
    </row>
    <row r="178">
      <c r="A178">
        <f>Comparatif!A182</f>
        <v/>
      </c>
      <c r="B178">
        <f>Comparatif!B182</f>
        <v/>
      </c>
      <c r="C178" t="inlineStr">
        <is>
          <t>Dongle</t>
        </is>
      </c>
      <c r="D178">
        <f>Comparatif!AF182</f>
        <v/>
      </c>
      <c r="E178">
        <f>ROUND(10*(Comparatif!A182-E$2)/(E$3-E$2),4)</f>
        <v/>
      </c>
      <c r="F178">
        <f>ROUND(10*(Comparatif!B182-F$2)/(F$3-F$2),4)</f>
        <v/>
      </c>
      <c r="G178">
        <f>ROUND(10*(Comparatif!C182-G$2)/(G$3-G$2),4)</f>
        <v/>
      </c>
      <c r="H178">
        <f>ROUND(10*(Comparatif!D182-H$2)/(H$3-H$2),4)</f>
        <v/>
      </c>
      <c r="I178">
        <f>ROUND(10*(Comparatif!E182-I$2)/(I$3-I$2),4)</f>
        <v/>
      </c>
      <c r="J178">
        <f>ROUND(10*(Comparatif!F182-J$2)/(J$3-J$2),4)</f>
        <v/>
      </c>
      <c r="K178">
        <f>ROUND(10*(Comparatif!G182-K$2)/(K$3-K$2),4)</f>
        <v/>
      </c>
      <c r="L178">
        <f>ROUND(10*(Comparatif!H182-L$2)/(L$3-L$2),4)</f>
        <v/>
      </c>
      <c r="M178">
        <f>ROUND(10*(Comparatif!I182-M$2)/(M$3-M$2),4)</f>
        <v/>
      </c>
      <c r="N178">
        <f>ROUND(10*(Comparatif!J182-N$2)/(N$3-N$2),4)</f>
        <v/>
      </c>
      <c r="O178">
        <f>ROUND(SUMPRODUCT(E178:N178,$E$1:$N$1)/Pondérations!$B$16,3)</f>
        <v/>
      </c>
      <c r="P178">
        <f>1+COUNTIF($O$5:$O$206,"&gt;"&amp;O178)+COUNTIF($O$5:$O178,O178)-1</f>
        <v/>
      </c>
      <c r="Q178">
        <f>1+COUNTIFS($C$5:$C$206,C178,$O$5:$O$206,"&gt;"&amp;O178)+COUNTIFS($C$5:$C178,C178,$O$5:$O178,O178)</f>
        <v/>
      </c>
      <c r="R178" t="n">
        <v>0.9975000000000001</v>
      </c>
    </row>
    <row r="179">
      <c r="A179">
        <f>Comparatif!A183</f>
        <v/>
      </c>
      <c r="B179">
        <f>Comparatif!B183</f>
        <v/>
      </c>
      <c r="C179" t="inlineStr">
        <is>
          <t>Dongle</t>
        </is>
      </c>
      <c r="D179">
        <f>Comparatif!AF183</f>
        <v/>
      </c>
      <c r="E179">
        <f>ROUND(10*(Comparatif!A183-E$2)/(E$3-E$2),4)</f>
        <v/>
      </c>
      <c r="F179">
        <f>ROUND(10*(Comparatif!B183-F$2)/(F$3-F$2),4)</f>
        <v/>
      </c>
      <c r="G179">
        <f>ROUND(10*(Comparatif!C183-G$2)/(G$3-G$2),4)</f>
        <v/>
      </c>
      <c r="H179">
        <f>ROUND(10*(Comparatif!D183-H$2)/(H$3-H$2),4)</f>
        <v/>
      </c>
      <c r="I179">
        <f>ROUND(10*(Comparatif!E183-I$2)/(I$3-I$2),4)</f>
        <v/>
      </c>
      <c r="J179">
        <f>ROUND(10*(Comparatif!F183-J$2)/(J$3-J$2),4)</f>
        <v/>
      </c>
      <c r="K179">
        <f>ROUND(10*(Comparatif!G183-K$2)/(K$3-K$2),4)</f>
        <v/>
      </c>
      <c r="L179">
        <f>ROUND(10*(Comparatif!H183-L$2)/(L$3-L$2),4)</f>
        <v/>
      </c>
      <c r="M179">
        <f>ROUND(10*(Comparatif!I183-M$2)/(M$3-M$2),4)</f>
        <v/>
      </c>
      <c r="N179">
        <f>ROUND(10*(Comparatif!J183-N$2)/(N$3-N$2),4)</f>
        <v/>
      </c>
      <c r="O179">
        <f>ROUND(SUMPRODUCT(E179:N179,$E$1:$N$1)/Pondérations!$B$16,3)</f>
        <v/>
      </c>
      <c r="P179">
        <f>1+COUNTIF($O$5:$O$206,"&gt;"&amp;O179)+COUNTIF($O$5:$O179,O179)-1</f>
        <v/>
      </c>
      <c r="Q179">
        <f>1+COUNTIFS($C$5:$C$206,C179,$O$5:$O$206,"&gt;"&amp;O179)+COUNTIFS($C$5:$C179,C179,$O$5:$O179,O179)</f>
        <v/>
      </c>
      <c r="R179" t="n">
        <v>0.9975000000000001</v>
      </c>
    </row>
    <row r="180">
      <c r="A180">
        <f>Comparatif!A184</f>
        <v/>
      </c>
      <c r="B180">
        <f>Comparatif!B184</f>
        <v/>
      </c>
      <c r="C180" t="inlineStr">
        <is>
          <t>Dongle</t>
        </is>
      </c>
      <c r="D180">
        <f>Comparatif!AF184</f>
        <v/>
      </c>
      <c r="E180">
        <f>ROUND(10*(Comparatif!A184-E$2)/(E$3-E$2),4)</f>
        <v/>
      </c>
      <c r="F180">
        <f>ROUND(10*(Comparatif!B184-F$2)/(F$3-F$2),4)</f>
        <v/>
      </c>
      <c r="G180">
        <f>ROUND(10*(Comparatif!C184-G$2)/(G$3-G$2),4)</f>
        <v/>
      </c>
      <c r="H180">
        <f>ROUND(10*(Comparatif!D184-H$2)/(H$3-H$2),4)</f>
        <v/>
      </c>
      <c r="I180">
        <f>ROUND(10*(Comparatif!E184-I$2)/(I$3-I$2),4)</f>
        <v/>
      </c>
      <c r="J180">
        <f>ROUND(10*(Comparatif!F184-J$2)/(J$3-J$2),4)</f>
        <v/>
      </c>
      <c r="K180">
        <f>ROUND(10*(Comparatif!G184-K$2)/(K$3-K$2),4)</f>
        <v/>
      </c>
      <c r="L180">
        <f>ROUND(10*(Comparatif!H184-L$2)/(L$3-L$2),4)</f>
        <v/>
      </c>
      <c r="M180">
        <f>ROUND(10*(Comparatif!I184-M$2)/(M$3-M$2),4)</f>
        <v/>
      </c>
      <c r="N180">
        <f>ROUND(10*(Comparatif!J184-N$2)/(N$3-N$2),4)</f>
        <v/>
      </c>
      <c r="O180">
        <f>ROUND(SUMPRODUCT(E180:N180,$E$1:$N$1)/Pondérations!$B$16,3)</f>
        <v/>
      </c>
      <c r="P180">
        <f>1+COUNTIF($O$5:$O$206,"&gt;"&amp;O180)+COUNTIF($O$5:$O180,O180)-1</f>
        <v/>
      </c>
      <c r="Q180">
        <f>1+COUNTIFS($C$5:$C$206,C180,$O$5:$O$206,"&gt;"&amp;O180)+COUNTIFS($C$5:$C180,C180,$O$5:$O180,O180)</f>
        <v/>
      </c>
      <c r="R180" t="n">
        <v>0.9975000000000001</v>
      </c>
    </row>
    <row r="181">
      <c r="A181">
        <f>Comparatif!A185</f>
        <v/>
      </c>
      <c r="B181">
        <f>Comparatif!B185</f>
        <v/>
      </c>
      <c r="C181" t="inlineStr">
        <is>
          <t>Dongle</t>
        </is>
      </c>
      <c r="D181">
        <f>Comparatif!AF185</f>
        <v/>
      </c>
      <c r="E181">
        <f>ROUND(10*(Comparatif!A185-E$2)/(E$3-E$2),4)</f>
        <v/>
      </c>
      <c r="F181">
        <f>ROUND(10*(Comparatif!B185-F$2)/(F$3-F$2),4)</f>
        <v/>
      </c>
      <c r="G181">
        <f>ROUND(10*(Comparatif!C185-G$2)/(G$3-G$2),4)</f>
        <v/>
      </c>
      <c r="H181">
        <f>ROUND(10*(Comparatif!D185-H$2)/(H$3-H$2),4)</f>
        <v/>
      </c>
      <c r="I181">
        <f>ROUND(10*(Comparatif!E185-I$2)/(I$3-I$2),4)</f>
        <v/>
      </c>
      <c r="J181">
        <f>ROUND(10*(Comparatif!F185-J$2)/(J$3-J$2),4)</f>
        <v/>
      </c>
      <c r="K181">
        <f>ROUND(10*(Comparatif!G185-K$2)/(K$3-K$2),4)</f>
        <v/>
      </c>
      <c r="L181">
        <f>ROUND(10*(Comparatif!H185-L$2)/(L$3-L$2),4)</f>
        <v/>
      </c>
      <c r="M181">
        <f>ROUND(10*(Comparatif!I185-M$2)/(M$3-M$2),4)</f>
        <v/>
      </c>
      <c r="N181">
        <f>ROUND(10*(Comparatif!J185-N$2)/(N$3-N$2),4)</f>
        <v/>
      </c>
      <c r="O181">
        <f>ROUND(SUMPRODUCT(E181:N181,$E$1:$N$1)/Pondérations!$B$16,3)</f>
        <v/>
      </c>
      <c r="P181">
        <f>1+COUNTIF($O$5:$O$206,"&gt;"&amp;O181)+COUNTIF($O$5:$O181,O181)-1</f>
        <v/>
      </c>
      <c r="Q181">
        <f>1+COUNTIFS($C$5:$C$206,C181,$O$5:$O$206,"&gt;"&amp;O181)+COUNTIFS($C$5:$C181,C181,$O$5:$O181,O181)</f>
        <v/>
      </c>
      <c r="R181" t="n">
        <v>0.9975000000000001</v>
      </c>
    </row>
    <row r="182">
      <c r="A182">
        <f>Comparatif!A186</f>
        <v/>
      </c>
      <c r="B182">
        <f>Comparatif!B186</f>
        <v/>
      </c>
      <c r="C182" t="inlineStr">
        <is>
          <t>Dongle</t>
        </is>
      </c>
      <c r="D182">
        <f>Comparatif!AF186</f>
        <v/>
      </c>
      <c r="E182">
        <f>ROUND(10*(Comparatif!A186-E$2)/(E$3-E$2),4)</f>
        <v/>
      </c>
      <c r="F182">
        <f>ROUND(10*(Comparatif!B186-F$2)/(F$3-F$2),4)</f>
        <v/>
      </c>
      <c r="G182">
        <f>ROUND(10*(Comparatif!C186-G$2)/(G$3-G$2),4)</f>
        <v/>
      </c>
      <c r="H182">
        <f>ROUND(10*(Comparatif!D186-H$2)/(H$3-H$2),4)</f>
        <v/>
      </c>
      <c r="I182">
        <f>ROUND(10*(Comparatif!E186-I$2)/(I$3-I$2),4)</f>
        <v/>
      </c>
      <c r="J182">
        <f>ROUND(10*(Comparatif!F186-J$2)/(J$3-J$2),4)</f>
        <v/>
      </c>
      <c r="K182">
        <f>ROUND(10*(Comparatif!G186-K$2)/(K$3-K$2),4)</f>
        <v/>
      </c>
      <c r="L182">
        <f>ROUND(10*(Comparatif!H186-L$2)/(L$3-L$2),4)</f>
        <v/>
      </c>
      <c r="M182">
        <f>ROUND(10*(Comparatif!I186-M$2)/(M$3-M$2),4)</f>
        <v/>
      </c>
      <c r="N182">
        <f>ROUND(10*(Comparatif!J186-N$2)/(N$3-N$2),4)</f>
        <v/>
      </c>
      <c r="O182">
        <f>ROUND(SUMPRODUCT(E182:N182,$E$1:$N$1)/Pondérations!$B$16,3)</f>
        <v/>
      </c>
      <c r="P182">
        <f>1+COUNTIF($O$5:$O$206,"&gt;"&amp;O182)+COUNTIF($O$5:$O182,O182)-1</f>
        <v/>
      </c>
      <c r="Q182">
        <f>1+COUNTIFS($C$5:$C$206,C182,$O$5:$O$206,"&gt;"&amp;O182)+COUNTIFS($C$5:$C182,C182,$O$5:$O182,O182)</f>
        <v/>
      </c>
      <c r="R182" t="n">
        <v>0.9975000000000001</v>
      </c>
    </row>
    <row r="183">
      <c r="A183">
        <f>Comparatif!A187</f>
        <v/>
      </c>
      <c r="B183">
        <f>Comparatif!B187</f>
        <v/>
      </c>
      <c r="C183" t="inlineStr">
        <is>
          <t>Dongle</t>
        </is>
      </c>
      <c r="D183">
        <f>Comparatif!AF187</f>
        <v/>
      </c>
      <c r="E183">
        <f>ROUND(10*(Comparatif!A187-E$2)/(E$3-E$2),4)</f>
        <v/>
      </c>
      <c r="F183">
        <f>ROUND(10*(Comparatif!B187-F$2)/(F$3-F$2),4)</f>
        <v/>
      </c>
      <c r="G183">
        <f>ROUND(10*(Comparatif!C187-G$2)/(G$3-G$2),4)</f>
        <v/>
      </c>
      <c r="H183">
        <f>ROUND(10*(Comparatif!D187-H$2)/(H$3-H$2),4)</f>
        <v/>
      </c>
      <c r="I183">
        <f>ROUND(10*(Comparatif!E187-I$2)/(I$3-I$2),4)</f>
        <v/>
      </c>
      <c r="J183">
        <f>ROUND(10*(Comparatif!F187-J$2)/(J$3-J$2),4)</f>
        <v/>
      </c>
      <c r="K183">
        <f>ROUND(10*(Comparatif!G187-K$2)/(K$3-K$2),4)</f>
        <v/>
      </c>
      <c r="L183">
        <f>ROUND(10*(Comparatif!H187-L$2)/(L$3-L$2),4)</f>
        <v/>
      </c>
      <c r="M183">
        <f>ROUND(10*(Comparatif!I187-M$2)/(M$3-M$2),4)</f>
        <v/>
      </c>
      <c r="N183">
        <f>ROUND(10*(Comparatif!J187-N$2)/(N$3-N$2),4)</f>
        <v/>
      </c>
      <c r="O183">
        <f>ROUND(SUMPRODUCT(E183:N183,$E$1:$N$1)/Pondérations!$B$16,3)</f>
        <v/>
      </c>
      <c r="P183">
        <f>1+COUNTIF($O$5:$O$206,"&gt;"&amp;O183)+COUNTIF($O$5:$O183,O183)-1</f>
        <v/>
      </c>
      <c r="Q183">
        <f>1+COUNTIFS($C$5:$C$206,C183,$O$5:$O$206,"&gt;"&amp;O183)+COUNTIFS($C$5:$C183,C183,$O$5:$O183,O183)</f>
        <v/>
      </c>
      <c r="R183" t="n">
        <v>0.9975000000000001</v>
      </c>
    </row>
    <row r="184">
      <c r="A184">
        <f>Comparatif!A188</f>
        <v/>
      </c>
      <c r="B184">
        <f>Comparatif!B188</f>
        <v/>
      </c>
      <c r="C184" t="inlineStr">
        <is>
          <t>Dongle</t>
        </is>
      </c>
      <c r="D184">
        <f>Comparatif!AF188</f>
        <v/>
      </c>
      <c r="E184">
        <f>ROUND(10*(Comparatif!A188-E$2)/(E$3-E$2),4)</f>
        <v/>
      </c>
      <c r="F184">
        <f>ROUND(10*(Comparatif!B188-F$2)/(F$3-F$2),4)</f>
        <v/>
      </c>
      <c r="G184">
        <f>ROUND(10*(Comparatif!C188-G$2)/(G$3-G$2),4)</f>
        <v/>
      </c>
      <c r="H184">
        <f>ROUND(10*(Comparatif!D188-H$2)/(H$3-H$2),4)</f>
        <v/>
      </c>
      <c r="I184">
        <f>ROUND(10*(Comparatif!E188-I$2)/(I$3-I$2),4)</f>
        <v/>
      </c>
      <c r="J184">
        <f>ROUND(10*(Comparatif!F188-J$2)/(J$3-J$2),4)</f>
        <v/>
      </c>
      <c r="K184">
        <f>ROUND(10*(Comparatif!G188-K$2)/(K$3-K$2),4)</f>
        <v/>
      </c>
      <c r="L184">
        <f>ROUND(10*(Comparatif!H188-L$2)/(L$3-L$2),4)</f>
        <v/>
      </c>
      <c r="M184">
        <f>ROUND(10*(Comparatif!I188-M$2)/(M$3-M$2),4)</f>
        <v/>
      </c>
      <c r="N184">
        <f>ROUND(10*(Comparatif!J188-N$2)/(N$3-N$2),4)</f>
        <v/>
      </c>
      <c r="O184">
        <f>ROUND(SUMPRODUCT(E184:N184,$E$1:$N$1)/Pondérations!$B$16,3)</f>
        <v/>
      </c>
      <c r="P184">
        <f>1+COUNTIF($O$5:$O$206,"&gt;"&amp;O184)+COUNTIF($O$5:$O184,O184)-1</f>
        <v/>
      </c>
      <c r="Q184">
        <f>1+COUNTIFS($C$5:$C$206,C184,$O$5:$O$206,"&gt;"&amp;O184)+COUNTIFS($C$5:$C184,C184,$O$5:$O184,O184)</f>
        <v/>
      </c>
      <c r="R184" t="n">
        <v>0.9975000000000001</v>
      </c>
    </row>
    <row r="185">
      <c r="A185">
        <f>Comparatif!A189</f>
        <v/>
      </c>
      <c r="B185">
        <f>Comparatif!B189</f>
        <v/>
      </c>
      <c r="C185" t="inlineStr">
        <is>
          <t>Dongle</t>
        </is>
      </c>
      <c r="D185">
        <f>Comparatif!AF189</f>
        <v/>
      </c>
      <c r="E185">
        <f>ROUND(10*(Comparatif!A189-E$2)/(E$3-E$2),4)</f>
        <v/>
      </c>
      <c r="F185">
        <f>ROUND(10*(Comparatif!B189-F$2)/(F$3-F$2),4)</f>
        <v/>
      </c>
      <c r="G185">
        <f>ROUND(10*(Comparatif!C189-G$2)/(G$3-G$2),4)</f>
        <v/>
      </c>
      <c r="H185">
        <f>ROUND(10*(Comparatif!D189-H$2)/(H$3-H$2),4)</f>
        <v/>
      </c>
      <c r="I185">
        <f>ROUND(10*(Comparatif!E189-I$2)/(I$3-I$2),4)</f>
        <v/>
      </c>
      <c r="J185">
        <f>ROUND(10*(Comparatif!F189-J$2)/(J$3-J$2),4)</f>
        <v/>
      </c>
      <c r="K185">
        <f>ROUND(10*(Comparatif!G189-K$2)/(K$3-K$2),4)</f>
        <v/>
      </c>
      <c r="L185">
        <f>ROUND(10*(Comparatif!H189-L$2)/(L$3-L$2),4)</f>
        <v/>
      </c>
      <c r="M185">
        <f>ROUND(10*(Comparatif!I189-M$2)/(M$3-M$2),4)</f>
        <v/>
      </c>
      <c r="N185">
        <f>ROUND(10*(Comparatif!J189-N$2)/(N$3-N$2),4)</f>
        <v/>
      </c>
      <c r="O185">
        <f>ROUND(SUMPRODUCT(E185:N185,$E$1:$N$1)/Pondérations!$B$16,3)</f>
        <v/>
      </c>
      <c r="P185">
        <f>1+COUNTIF($O$5:$O$206,"&gt;"&amp;O185)+COUNTIF($O$5:$O185,O185)-1</f>
        <v/>
      </c>
      <c r="Q185">
        <f>1+COUNTIFS($C$5:$C$206,C185,$O$5:$O$206,"&gt;"&amp;O185)+COUNTIFS($C$5:$C185,C185,$O$5:$O185,O185)</f>
        <v/>
      </c>
      <c r="R185" t="n">
        <v>0.9975000000000001</v>
      </c>
    </row>
    <row r="186">
      <c r="A186">
        <f>Comparatif!A190</f>
        <v/>
      </c>
      <c r="B186">
        <f>Comparatif!B190</f>
        <v/>
      </c>
      <c r="C186" t="inlineStr">
        <is>
          <t>Dongle</t>
        </is>
      </c>
      <c r="D186">
        <f>Comparatif!AF190</f>
        <v/>
      </c>
      <c r="E186">
        <f>ROUND(10*(Comparatif!A190-E$2)/(E$3-E$2),4)</f>
        <v/>
      </c>
      <c r="F186">
        <f>ROUND(10*(Comparatif!B190-F$2)/(F$3-F$2),4)</f>
        <v/>
      </c>
      <c r="G186">
        <f>ROUND(10*(Comparatif!C190-G$2)/(G$3-G$2),4)</f>
        <v/>
      </c>
      <c r="H186">
        <f>ROUND(10*(Comparatif!D190-H$2)/(H$3-H$2),4)</f>
        <v/>
      </c>
      <c r="I186">
        <f>ROUND(10*(Comparatif!E190-I$2)/(I$3-I$2),4)</f>
        <v/>
      </c>
      <c r="J186">
        <f>ROUND(10*(Comparatif!F190-J$2)/(J$3-J$2),4)</f>
        <v/>
      </c>
      <c r="K186">
        <f>ROUND(10*(Comparatif!G190-K$2)/(K$3-K$2),4)</f>
        <v/>
      </c>
      <c r="L186">
        <f>ROUND(10*(Comparatif!H190-L$2)/(L$3-L$2),4)</f>
        <v/>
      </c>
      <c r="M186">
        <f>ROUND(10*(Comparatif!I190-M$2)/(M$3-M$2),4)</f>
        <v/>
      </c>
      <c r="N186">
        <f>ROUND(10*(Comparatif!J190-N$2)/(N$3-N$2),4)</f>
        <v/>
      </c>
      <c r="O186">
        <f>ROUND(SUMPRODUCT(E186:N186,$E$1:$N$1)/Pondérations!$B$16,3)</f>
        <v/>
      </c>
      <c r="P186">
        <f>1+COUNTIF($O$5:$O$206,"&gt;"&amp;O186)+COUNTIF($O$5:$O186,O186)-1</f>
        <v/>
      </c>
      <c r="Q186">
        <f>1+COUNTIFS($C$5:$C$206,C186,$O$5:$O$206,"&gt;"&amp;O186)+COUNTIFS($C$5:$C186,C186,$O$5:$O186,O186)</f>
        <v/>
      </c>
      <c r="R186" t="n">
        <v>0.9975000000000001</v>
      </c>
    </row>
    <row r="187">
      <c r="A187">
        <f>Comparatif!A191</f>
        <v/>
      </c>
      <c r="B187">
        <f>Comparatif!B191</f>
        <v/>
      </c>
      <c r="C187" t="inlineStr">
        <is>
          <t>Dongle</t>
        </is>
      </c>
      <c r="D187">
        <f>Comparatif!AF191</f>
        <v/>
      </c>
      <c r="E187">
        <f>ROUND(10*(Comparatif!A191-E$2)/(E$3-E$2),4)</f>
        <v/>
      </c>
      <c r="F187">
        <f>ROUND(10*(Comparatif!B191-F$2)/(F$3-F$2),4)</f>
        <v/>
      </c>
      <c r="G187">
        <f>ROUND(10*(Comparatif!C191-G$2)/(G$3-G$2),4)</f>
        <v/>
      </c>
      <c r="H187">
        <f>ROUND(10*(Comparatif!D191-H$2)/(H$3-H$2),4)</f>
        <v/>
      </c>
      <c r="I187">
        <f>ROUND(10*(Comparatif!E191-I$2)/(I$3-I$2),4)</f>
        <v/>
      </c>
      <c r="J187">
        <f>ROUND(10*(Comparatif!F191-J$2)/(J$3-J$2),4)</f>
        <v/>
      </c>
      <c r="K187">
        <f>ROUND(10*(Comparatif!G191-K$2)/(K$3-K$2),4)</f>
        <v/>
      </c>
      <c r="L187">
        <f>ROUND(10*(Comparatif!H191-L$2)/(L$3-L$2),4)</f>
        <v/>
      </c>
      <c r="M187">
        <f>ROUND(10*(Comparatif!I191-M$2)/(M$3-M$2),4)</f>
        <v/>
      </c>
      <c r="N187">
        <f>ROUND(10*(Comparatif!J191-N$2)/(N$3-N$2),4)</f>
        <v/>
      </c>
      <c r="O187">
        <f>ROUND(SUMPRODUCT(E187:N187,$E$1:$N$1)/Pondérations!$B$16,3)</f>
        <v/>
      </c>
      <c r="P187">
        <f>1+COUNTIF($O$5:$O$206,"&gt;"&amp;O187)+COUNTIF($O$5:$O187,O187)-1</f>
        <v/>
      </c>
      <c r="Q187">
        <f>1+COUNTIFS($C$5:$C$206,C187,$O$5:$O$206,"&gt;"&amp;O187)+COUNTIFS($C$5:$C187,C187,$O$5:$O187,O187)</f>
        <v/>
      </c>
      <c r="R187" t="n">
        <v>0.9975000000000001</v>
      </c>
    </row>
    <row r="188">
      <c r="A188">
        <f>Comparatif!A192</f>
        <v/>
      </c>
      <c r="B188">
        <f>Comparatif!B192</f>
        <v/>
      </c>
      <c r="C188" t="inlineStr">
        <is>
          <t>Dongle</t>
        </is>
      </c>
      <c r="D188">
        <f>Comparatif!AF192</f>
        <v/>
      </c>
      <c r="E188">
        <f>ROUND(10*(Comparatif!A192-E$2)/(E$3-E$2),4)</f>
        <v/>
      </c>
      <c r="F188">
        <f>ROUND(10*(Comparatif!B192-F$2)/(F$3-F$2),4)</f>
        <v/>
      </c>
      <c r="G188">
        <f>ROUND(10*(Comparatif!C192-G$2)/(G$3-G$2),4)</f>
        <v/>
      </c>
      <c r="H188">
        <f>ROUND(10*(Comparatif!D192-H$2)/(H$3-H$2),4)</f>
        <v/>
      </c>
      <c r="I188">
        <f>ROUND(10*(Comparatif!E192-I$2)/(I$3-I$2),4)</f>
        <v/>
      </c>
      <c r="J188">
        <f>ROUND(10*(Comparatif!F192-J$2)/(J$3-J$2),4)</f>
        <v/>
      </c>
      <c r="K188">
        <f>ROUND(10*(Comparatif!G192-K$2)/(K$3-K$2),4)</f>
        <v/>
      </c>
      <c r="L188">
        <f>ROUND(10*(Comparatif!H192-L$2)/(L$3-L$2),4)</f>
        <v/>
      </c>
      <c r="M188">
        <f>ROUND(10*(Comparatif!I192-M$2)/(M$3-M$2),4)</f>
        <v/>
      </c>
      <c r="N188">
        <f>ROUND(10*(Comparatif!J192-N$2)/(N$3-N$2),4)</f>
        <v/>
      </c>
      <c r="O188">
        <f>ROUND(SUMPRODUCT(E188:N188,$E$1:$N$1)/Pondérations!$B$16,3)</f>
        <v/>
      </c>
      <c r="P188">
        <f>1+COUNTIF($O$5:$O$206,"&gt;"&amp;O188)+COUNTIF($O$5:$O188,O188)-1</f>
        <v/>
      </c>
      <c r="Q188">
        <f>1+COUNTIFS($C$5:$C$206,C188,$O$5:$O$206,"&gt;"&amp;O188)+COUNTIFS($C$5:$C188,C188,$O$5:$O188,O188)</f>
        <v/>
      </c>
      <c r="R188" t="n">
        <v>0.9975000000000001</v>
      </c>
    </row>
    <row r="189">
      <c r="A189">
        <f>Comparatif!A193</f>
        <v/>
      </c>
      <c r="B189">
        <f>Comparatif!B193</f>
        <v/>
      </c>
      <c r="C189" t="inlineStr">
        <is>
          <t>Dongle</t>
        </is>
      </c>
      <c r="D189">
        <f>Comparatif!AF193</f>
        <v/>
      </c>
      <c r="E189">
        <f>ROUND(10*(Comparatif!A193-E$2)/(E$3-E$2),4)</f>
        <v/>
      </c>
      <c r="F189">
        <f>ROUND(10*(Comparatif!B193-F$2)/(F$3-F$2),4)</f>
        <v/>
      </c>
      <c r="G189">
        <f>ROUND(10*(Comparatif!C193-G$2)/(G$3-G$2),4)</f>
        <v/>
      </c>
      <c r="H189">
        <f>ROUND(10*(Comparatif!D193-H$2)/(H$3-H$2),4)</f>
        <v/>
      </c>
      <c r="I189">
        <f>ROUND(10*(Comparatif!E193-I$2)/(I$3-I$2),4)</f>
        <v/>
      </c>
      <c r="J189">
        <f>ROUND(10*(Comparatif!F193-J$2)/(J$3-J$2),4)</f>
        <v/>
      </c>
      <c r="K189">
        <f>ROUND(10*(Comparatif!G193-K$2)/(K$3-K$2),4)</f>
        <v/>
      </c>
      <c r="L189">
        <f>ROUND(10*(Comparatif!H193-L$2)/(L$3-L$2),4)</f>
        <v/>
      </c>
      <c r="M189">
        <f>ROUND(10*(Comparatif!I193-M$2)/(M$3-M$2),4)</f>
        <v/>
      </c>
      <c r="N189">
        <f>ROUND(10*(Comparatif!J193-N$2)/(N$3-N$2),4)</f>
        <v/>
      </c>
      <c r="O189">
        <f>ROUND(SUMPRODUCT(E189:N189,$E$1:$N$1)/Pondérations!$B$16,3)</f>
        <v/>
      </c>
      <c r="P189">
        <f>1+COUNTIF($O$5:$O$206,"&gt;"&amp;O189)+COUNTIF($O$5:$O189,O189)-1</f>
        <v/>
      </c>
      <c r="Q189">
        <f>1+COUNTIFS($C$5:$C$206,C189,$O$5:$O$206,"&gt;"&amp;O189)+COUNTIFS($C$5:$C189,C189,$O$5:$O189,O189)</f>
        <v/>
      </c>
      <c r="R189" t="n">
        <v>0.9975000000000001</v>
      </c>
    </row>
    <row r="190">
      <c r="A190">
        <f>Comparatif!A194</f>
        <v/>
      </c>
      <c r="B190">
        <f>Comparatif!B194</f>
        <v/>
      </c>
      <c r="C190" t="inlineStr">
        <is>
          <t>Dongle</t>
        </is>
      </c>
      <c r="D190">
        <f>Comparatif!AF194</f>
        <v/>
      </c>
      <c r="E190">
        <f>ROUND(10*(Comparatif!A194-E$2)/(E$3-E$2),4)</f>
        <v/>
      </c>
      <c r="F190">
        <f>ROUND(10*(Comparatif!B194-F$2)/(F$3-F$2),4)</f>
        <v/>
      </c>
      <c r="G190">
        <f>ROUND(10*(Comparatif!C194-G$2)/(G$3-G$2),4)</f>
        <v/>
      </c>
      <c r="H190">
        <f>ROUND(10*(Comparatif!D194-H$2)/(H$3-H$2),4)</f>
        <v/>
      </c>
      <c r="I190">
        <f>ROUND(10*(Comparatif!E194-I$2)/(I$3-I$2),4)</f>
        <v/>
      </c>
      <c r="J190">
        <f>ROUND(10*(Comparatif!F194-J$2)/(J$3-J$2),4)</f>
        <v/>
      </c>
      <c r="K190">
        <f>ROUND(10*(Comparatif!G194-K$2)/(K$3-K$2),4)</f>
        <v/>
      </c>
      <c r="L190">
        <f>ROUND(10*(Comparatif!H194-L$2)/(L$3-L$2),4)</f>
        <v/>
      </c>
      <c r="M190">
        <f>ROUND(10*(Comparatif!I194-M$2)/(M$3-M$2),4)</f>
        <v/>
      </c>
      <c r="N190">
        <f>ROUND(10*(Comparatif!J194-N$2)/(N$3-N$2),4)</f>
        <v/>
      </c>
      <c r="O190">
        <f>ROUND(SUMPRODUCT(E190:N190,$E$1:$N$1)/Pondérations!$B$16,3)</f>
        <v/>
      </c>
      <c r="P190">
        <f>1+COUNTIF($O$5:$O$206,"&gt;"&amp;O190)+COUNTIF($O$5:$O190,O190)-1</f>
        <v/>
      </c>
      <c r="Q190">
        <f>1+COUNTIFS($C$5:$C$206,C190,$O$5:$O$206,"&gt;"&amp;O190)+COUNTIFS($C$5:$C190,C190,$O$5:$O190,O190)</f>
        <v/>
      </c>
      <c r="R190" t="n">
        <v>0.9975000000000001</v>
      </c>
    </row>
    <row r="191">
      <c r="A191">
        <f>Comparatif!A195</f>
        <v/>
      </c>
      <c r="B191">
        <f>Comparatif!B195</f>
        <v/>
      </c>
      <c r="C191" t="inlineStr">
        <is>
          <t>Dongle</t>
        </is>
      </c>
      <c r="D191">
        <f>Comparatif!AF195</f>
        <v/>
      </c>
      <c r="E191">
        <f>ROUND(10*(Comparatif!A195-E$2)/(E$3-E$2),4)</f>
        <v/>
      </c>
      <c r="F191">
        <f>ROUND(10*(Comparatif!B195-F$2)/(F$3-F$2),4)</f>
        <v/>
      </c>
      <c r="G191">
        <f>ROUND(10*(Comparatif!C195-G$2)/(G$3-G$2),4)</f>
        <v/>
      </c>
      <c r="H191">
        <f>ROUND(10*(Comparatif!D195-H$2)/(H$3-H$2),4)</f>
        <v/>
      </c>
      <c r="I191">
        <f>ROUND(10*(Comparatif!E195-I$2)/(I$3-I$2),4)</f>
        <v/>
      </c>
      <c r="J191">
        <f>ROUND(10*(Comparatif!F195-J$2)/(J$3-J$2),4)</f>
        <v/>
      </c>
      <c r="K191">
        <f>ROUND(10*(Comparatif!G195-K$2)/(K$3-K$2),4)</f>
        <v/>
      </c>
      <c r="L191">
        <f>ROUND(10*(Comparatif!H195-L$2)/(L$3-L$2),4)</f>
        <v/>
      </c>
      <c r="M191">
        <f>ROUND(10*(Comparatif!I195-M$2)/(M$3-M$2),4)</f>
        <v/>
      </c>
      <c r="N191">
        <f>ROUND(10*(Comparatif!J195-N$2)/(N$3-N$2),4)</f>
        <v/>
      </c>
      <c r="O191">
        <f>ROUND(SUMPRODUCT(E191:N191,$E$1:$N$1)/Pondérations!$B$16,3)</f>
        <v/>
      </c>
      <c r="P191">
        <f>1+COUNTIF($O$5:$O$206,"&gt;"&amp;O191)+COUNTIF($O$5:$O191,O191)-1</f>
        <v/>
      </c>
      <c r="Q191">
        <f>1+COUNTIFS($C$5:$C$206,C191,$O$5:$O$206,"&gt;"&amp;O191)+COUNTIFS($C$5:$C191,C191,$O$5:$O191,O191)</f>
        <v/>
      </c>
      <c r="R191" t="n">
        <v>0.9975000000000001</v>
      </c>
    </row>
    <row r="192">
      <c r="A192">
        <f>Comparatif!A196</f>
        <v/>
      </c>
      <c r="B192">
        <f>Comparatif!B196</f>
        <v/>
      </c>
      <c r="C192" t="inlineStr">
        <is>
          <t>Portable batterie</t>
        </is>
      </c>
      <c r="D192">
        <f>Comparatif!AF196</f>
        <v/>
      </c>
      <c r="E192">
        <f>ROUND(10*(Comparatif!A196-E$2)/(E$3-E$2),4)</f>
        <v/>
      </c>
      <c r="F192">
        <f>ROUND(10*(Comparatif!B196-F$2)/(F$3-F$2),4)</f>
        <v/>
      </c>
      <c r="G192">
        <f>ROUND(10*(Comparatif!C196-G$2)/(G$3-G$2),4)</f>
        <v/>
      </c>
      <c r="H192">
        <f>ROUND(10*(Comparatif!D196-H$2)/(H$3-H$2),4)</f>
        <v/>
      </c>
      <c r="I192">
        <f>ROUND(10*(Comparatif!E196-I$2)/(I$3-I$2),4)</f>
        <v/>
      </c>
      <c r="J192">
        <f>ROUND(10*(Comparatif!F196-J$2)/(J$3-J$2),4)</f>
        <v/>
      </c>
      <c r="K192">
        <f>ROUND(10*(Comparatif!G196-K$2)/(K$3-K$2),4)</f>
        <v/>
      </c>
      <c r="L192">
        <f>ROUND(10*(Comparatif!H196-L$2)/(L$3-L$2),4)</f>
        <v/>
      </c>
      <c r="M192">
        <f>ROUND(10*(Comparatif!I196-M$2)/(M$3-M$2),4)</f>
        <v/>
      </c>
      <c r="N192">
        <f>ROUND(10*(Comparatif!J196-N$2)/(N$3-N$2),4)</f>
        <v/>
      </c>
      <c r="O192">
        <f>ROUND(SUMPRODUCT(E192:N192,$E$1:$N$1)/Pondérations!$B$16,3)</f>
        <v/>
      </c>
      <c r="P192">
        <f>1+COUNTIF($O$5:$O$206,"&gt;"&amp;O192)+COUNTIF($O$5:$O192,O192)-1</f>
        <v/>
      </c>
      <c r="Q192">
        <f>1+COUNTIFS($C$5:$C$206,C192,$O$5:$O$206,"&gt;"&amp;O192)+COUNTIFS($C$5:$C192,C192,$O$5:$O192,O192)</f>
        <v/>
      </c>
      <c r="R192" t="n">
        <v>0.9975000000000001</v>
      </c>
    </row>
    <row r="193">
      <c r="A193">
        <f>Comparatif!A197</f>
        <v/>
      </c>
      <c r="B193">
        <f>Comparatif!B197</f>
        <v/>
      </c>
      <c r="C193" t="inlineStr">
        <is>
          <t>Dongle</t>
        </is>
      </c>
      <c r="D193">
        <f>Comparatif!AF197</f>
        <v/>
      </c>
      <c r="E193">
        <f>ROUND(10*(Comparatif!A197-E$2)/(E$3-E$2),4)</f>
        <v/>
      </c>
      <c r="F193">
        <f>ROUND(10*(Comparatif!B197-F$2)/(F$3-F$2),4)</f>
        <v/>
      </c>
      <c r="G193">
        <f>ROUND(10*(Comparatif!C197-G$2)/(G$3-G$2),4)</f>
        <v/>
      </c>
      <c r="H193">
        <f>ROUND(10*(Comparatif!D197-H$2)/(H$3-H$2),4)</f>
        <v/>
      </c>
      <c r="I193">
        <f>ROUND(10*(Comparatif!E197-I$2)/(I$3-I$2),4)</f>
        <v/>
      </c>
      <c r="J193">
        <f>ROUND(10*(Comparatif!F197-J$2)/(J$3-J$2),4)</f>
        <v/>
      </c>
      <c r="K193">
        <f>ROUND(10*(Comparatif!G197-K$2)/(K$3-K$2),4)</f>
        <v/>
      </c>
      <c r="L193">
        <f>ROUND(10*(Comparatif!H197-L$2)/(L$3-L$2),4)</f>
        <v/>
      </c>
      <c r="M193">
        <f>ROUND(10*(Comparatif!I197-M$2)/(M$3-M$2),4)</f>
        <v/>
      </c>
      <c r="N193">
        <f>ROUND(10*(Comparatif!J197-N$2)/(N$3-N$2),4)</f>
        <v/>
      </c>
      <c r="O193">
        <f>ROUND(SUMPRODUCT(E193:N193,$E$1:$N$1)/Pondérations!$B$16,3)</f>
        <v/>
      </c>
      <c r="P193">
        <f>1+COUNTIF($O$5:$O$206,"&gt;"&amp;O193)+COUNTIF($O$5:$O193,O193)-1</f>
        <v/>
      </c>
      <c r="Q193">
        <f>1+COUNTIFS($C$5:$C$206,C193,$O$5:$O$206,"&gt;"&amp;O193)+COUNTIFS($C$5:$C193,C193,$O$5:$O193,O193)</f>
        <v/>
      </c>
      <c r="R193" t="n">
        <v>0.9975000000000001</v>
      </c>
    </row>
    <row r="194">
      <c r="A194">
        <f>Comparatif!A198</f>
        <v/>
      </c>
      <c r="B194">
        <f>Comparatif!B198</f>
        <v/>
      </c>
      <c r="C194" t="inlineStr">
        <is>
          <t>Dongle</t>
        </is>
      </c>
      <c r="D194">
        <f>Comparatif!AF198</f>
        <v/>
      </c>
      <c r="E194">
        <f>ROUND(10*(Comparatif!A198-E$2)/(E$3-E$2),4)</f>
        <v/>
      </c>
      <c r="F194">
        <f>ROUND(10*(Comparatif!B198-F$2)/(F$3-F$2),4)</f>
        <v/>
      </c>
      <c r="G194">
        <f>ROUND(10*(Comparatif!C198-G$2)/(G$3-G$2),4)</f>
        <v/>
      </c>
      <c r="H194">
        <f>ROUND(10*(Comparatif!D198-H$2)/(H$3-H$2),4)</f>
        <v/>
      </c>
      <c r="I194">
        <f>ROUND(10*(Comparatif!E198-I$2)/(I$3-I$2),4)</f>
        <v/>
      </c>
      <c r="J194">
        <f>ROUND(10*(Comparatif!F198-J$2)/(J$3-J$2),4)</f>
        <v/>
      </c>
      <c r="K194">
        <f>ROUND(10*(Comparatif!G198-K$2)/(K$3-K$2),4)</f>
        <v/>
      </c>
      <c r="L194">
        <f>ROUND(10*(Comparatif!H198-L$2)/(L$3-L$2),4)</f>
        <v/>
      </c>
      <c r="M194">
        <f>ROUND(10*(Comparatif!I198-M$2)/(M$3-M$2),4)</f>
        <v/>
      </c>
      <c r="N194">
        <f>ROUND(10*(Comparatif!J198-N$2)/(N$3-N$2),4)</f>
        <v/>
      </c>
      <c r="O194">
        <f>ROUND(SUMPRODUCT(E194:N194,$E$1:$N$1)/Pondérations!$B$16,3)</f>
        <v/>
      </c>
      <c r="P194">
        <f>1+COUNTIF($O$5:$O$206,"&gt;"&amp;O194)+COUNTIF($O$5:$O194,O194)-1</f>
        <v/>
      </c>
      <c r="Q194">
        <f>1+COUNTIFS($C$5:$C$206,C194,$O$5:$O$206,"&gt;"&amp;O194)+COUNTIFS($C$5:$C194,C194,$O$5:$O194,O194)</f>
        <v/>
      </c>
      <c r="R194" t="n">
        <v>0.9975000000000001</v>
      </c>
    </row>
    <row r="195">
      <c r="A195">
        <f>Comparatif!A199</f>
        <v/>
      </c>
      <c r="B195">
        <f>Comparatif!B199</f>
        <v/>
      </c>
      <c r="C195" t="inlineStr">
        <is>
          <t>Dongle</t>
        </is>
      </c>
      <c r="D195">
        <f>Comparatif!AF199</f>
        <v/>
      </c>
      <c r="E195">
        <f>ROUND(10*(Comparatif!A199-E$2)/(E$3-E$2),4)</f>
        <v/>
      </c>
      <c r="F195">
        <f>ROUND(10*(Comparatif!B199-F$2)/(F$3-F$2),4)</f>
        <v/>
      </c>
      <c r="G195">
        <f>ROUND(10*(Comparatif!C199-G$2)/(G$3-G$2),4)</f>
        <v/>
      </c>
      <c r="H195">
        <f>ROUND(10*(Comparatif!D199-H$2)/(H$3-H$2),4)</f>
        <v/>
      </c>
      <c r="I195">
        <f>ROUND(10*(Comparatif!E199-I$2)/(I$3-I$2),4)</f>
        <v/>
      </c>
      <c r="J195">
        <f>ROUND(10*(Comparatif!F199-J$2)/(J$3-J$2),4)</f>
        <v/>
      </c>
      <c r="K195">
        <f>ROUND(10*(Comparatif!G199-K$2)/(K$3-K$2),4)</f>
        <v/>
      </c>
      <c r="L195">
        <f>ROUND(10*(Comparatif!H199-L$2)/(L$3-L$2),4)</f>
        <v/>
      </c>
      <c r="M195">
        <f>ROUND(10*(Comparatif!I199-M$2)/(M$3-M$2),4)</f>
        <v/>
      </c>
      <c r="N195">
        <f>ROUND(10*(Comparatif!J199-N$2)/(N$3-N$2),4)</f>
        <v/>
      </c>
      <c r="O195">
        <f>ROUND(SUMPRODUCT(E195:N195,$E$1:$N$1)/Pondérations!$B$16,3)</f>
        <v/>
      </c>
      <c r="P195">
        <f>1+COUNTIF($O$5:$O$206,"&gt;"&amp;O195)+COUNTIF($O$5:$O195,O195)-1</f>
        <v/>
      </c>
      <c r="Q195">
        <f>1+COUNTIFS($C$5:$C$206,C195,$O$5:$O$206,"&gt;"&amp;O195)+COUNTIFS($C$5:$C195,C195,$O$5:$O195,O195)</f>
        <v/>
      </c>
      <c r="R195" t="n">
        <v>0.9975000000000001</v>
      </c>
    </row>
    <row r="196">
      <c r="A196">
        <f>Comparatif!A200</f>
        <v/>
      </c>
      <c r="B196">
        <f>Comparatif!B200</f>
        <v/>
      </c>
      <c r="C196" t="inlineStr">
        <is>
          <t>Dongle</t>
        </is>
      </c>
      <c r="D196">
        <f>Comparatif!AF200</f>
        <v/>
      </c>
      <c r="E196">
        <f>ROUND(10*(Comparatif!A200-E$2)/(E$3-E$2),4)</f>
        <v/>
      </c>
      <c r="F196">
        <f>ROUND(10*(Comparatif!B200-F$2)/(F$3-F$2),4)</f>
        <v/>
      </c>
      <c r="G196">
        <f>ROUND(10*(Comparatif!C200-G$2)/(G$3-G$2),4)</f>
        <v/>
      </c>
      <c r="H196">
        <f>ROUND(10*(Comparatif!D200-H$2)/(H$3-H$2),4)</f>
        <v/>
      </c>
      <c r="I196">
        <f>ROUND(10*(Comparatif!E200-I$2)/(I$3-I$2),4)</f>
        <v/>
      </c>
      <c r="J196">
        <f>ROUND(10*(Comparatif!F200-J$2)/(J$3-J$2),4)</f>
        <v/>
      </c>
      <c r="K196">
        <f>ROUND(10*(Comparatif!G200-K$2)/(K$3-K$2),4)</f>
        <v/>
      </c>
      <c r="L196">
        <f>ROUND(10*(Comparatif!H200-L$2)/(L$3-L$2),4)</f>
        <v/>
      </c>
      <c r="M196">
        <f>ROUND(10*(Comparatif!I200-M$2)/(M$3-M$2),4)</f>
        <v/>
      </c>
      <c r="N196">
        <f>ROUND(10*(Comparatif!J200-N$2)/(N$3-N$2),4)</f>
        <v/>
      </c>
      <c r="O196">
        <f>ROUND(SUMPRODUCT(E196:N196,$E$1:$N$1)/Pondérations!$B$16,3)</f>
        <v/>
      </c>
      <c r="P196">
        <f>1+COUNTIF($O$5:$O$206,"&gt;"&amp;O196)+COUNTIF($O$5:$O196,O196)-1</f>
        <v/>
      </c>
      <c r="Q196">
        <f>1+COUNTIFS($C$5:$C$206,C196,$O$5:$O$206,"&gt;"&amp;O196)+COUNTIFS($C$5:$C196,C196,$O$5:$O196,O196)</f>
        <v/>
      </c>
      <c r="R196" t="n">
        <v>0.9975000000000001</v>
      </c>
    </row>
    <row r="197">
      <c r="A197">
        <f>Comparatif!A201</f>
        <v/>
      </c>
      <c r="B197">
        <f>Comparatif!B201</f>
        <v/>
      </c>
      <c r="C197" t="inlineStr">
        <is>
          <t>Dongle</t>
        </is>
      </c>
      <c r="D197">
        <f>Comparatif!AF201</f>
        <v/>
      </c>
      <c r="E197">
        <f>ROUND(10*(Comparatif!A201-E$2)/(E$3-E$2),4)</f>
        <v/>
      </c>
      <c r="F197">
        <f>ROUND(10*(Comparatif!B201-F$2)/(F$3-F$2),4)</f>
        <v/>
      </c>
      <c r="G197">
        <f>ROUND(10*(Comparatif!C201-G$2)/(G$3-G$2),4)</f>
        <v/>
      </c>
      <c r="H197">
        <f>ROUND(10*(Comparatif!D201-H$2)/(H$3-H$2),4)</f>
        <v/>
      </c>
      <c r="I197">
        <f>ROUND(10*(Comparatif!E201-I$2)/(I$3-I$2),4)</f>
        <v/>
      </c>
      <c r="J197">
        <f>ROUND(10*(Comparatif!F201-J$2)/(J$3-J$2),4)</f>
        <v/>
      </c>
      <c r="K197">
        <f>ROUND(10*(Comparatif!G201-K$2)/(K$3-K$2),4)</f>
        <v/>
      </c>
      <c r="L197">
        <f>ROUND(10*(Comparatif!H201-L$2)/(L$3-L$2),4)</f>
        <v/>
      </c>
      <c r="M197">
        <f>ROUND(10*(Comparatif!I201-M$2)/(M$3-M$2),4)</f>
        <v/>
      </c>
      <c r="N197">
        <f>ROUND(10*(Comparatif!J201-N$2)/(N$3-N$2),4)</f>
        <v/>
      </c>
      <c r="O197">
        <f>ROUND(SUMPRODUCT(E197:N197,$E$1:$N$1)/Pondérations!$B$16,3)</f>
        <v/>
      </c>
      <c r="P197">
        <f>1+COUNTIF($O$5:$O$206,"&gt;"&amp;O197)+COUNTIF($O$5:$O197,O197)-1</f>
        <v/>
      </c>
      <c r="Q197">
        <f>1+COUNTIFS($C$5:$C$206,C197,$O$5:$O$206,"&gt;"&amp;O197)+COUNTIFS($C$5:$C197,C197,$O$5:$O197,O197)</f>
        <v/>
      </c>
      <c r="R197" t="n">
        <v>0.9975000000000001</v>
      </c>
    </row>
    <row r="198">
      <c r="A198">
        <f>Comparatif!A202</f>
        <v/>
      </c>
      <c r="B198">
        <f>Comparatif!B202</f>
        <v/>
      </c>
      <c r="C198" t="inlineStr">
        <is>
          <t>Dongle</t>
        </is>
      </c>
      <c r="D198">
        <f>Comparatif!AF202</f>
        <v/>
      </c>
      <c r="E198">
        <f>ROUND(10*(Comparatif!A202-E$2)/(E$3-E$2),4)</f>
        <v/>
      </c>
      <c r="F198">
        <f>ROUND(10*(Comparatif!B202-F$2)/(F$3-F$2),4)</f>
        <v/>
      </c>
      <c r="G198">
        <f>ROUND(10*(Comparatif!C202-G$2)/(G$3-G$2),4)</f>
        <v/>
      </c>
      <c r="H198">
        <f>ROUND(10*(Comparatif!D202-H$2)/(H$3-H$2),4)</f>
        <v/>
      </c>
      <c r="I198">
        <f>ROUND(10*(Comparatif!E202-I$2)/(I$3-I$2),4)</f>
        <v/>
      </c>
      <c r="J198">
        <f>ROUND(10*(Comparatif!F202-J$2)/(J$3-J$2),4)</f>
        <v/>
      </c>
      <c r="K198">
        <f>ROUND(10*(Comparatif!G202-K$2)/(K$3-K$2),4)</f>
        <v/>
      </c>
      <c r="L198">
        <f>ROUND(10*(Comparatif!H202-L$2)/(L$3-L$2),4)</f>
        <v/>
      </c>
      <c r="M198">
        <f>ROUND(10*(Comparatif!I202-M$2)/(M$3-M$2),4)</f>
        <v/>
      </c>
      <c r="N198">
        <f>ROUND(10*(Comparatif!J202-N$2)/(N$3-N$2),4)</f>
        <v/>
      </c>
      <c r="O198">
        <f>ROUND(SUMPRODUCT(E198:N198,$E$1:$N$1)/Pondérations!$B$16,3)</f>
        <v/>
      </c>
      <c r="P198">
        <f>1+COUNTIF($O$5:$O$206,"&gt;"&amp;O198)+COUNTIF($O$5:$O198,O198)-1</f>
        <v/>
      </c>
      <c r="Q198">
        <f>1+COUNTIFS($C$5:$C$206,C198,$O$5:$O$206,"&gt;"&amp;O198)+COUNTIFS($C$5:$C198,C198,$O$5:$O198,O198)</f>
        <v/>
      </c>
      <c r="R198" t="n">
        <v>0.9975000000000001</v>
      </c>
    </row>
    <row r="199">
      <c r="A199">
        <f>Comparatif!A203</f>
        <v/>
      </c>
      <c r="B199">
        <f>Comparatif!B203</f>
        <v/>
      </c>
      <c r="C199" t="inlineStr">
        <is>
          <t>Dongle</t>
        </is>
      </c>
      <c r="D199">
        <f>Comparatif!AF203</f>
        <v/>
      </c>
      <c r="E199">
        <f>ROUND(10*(Comparatif!A203-E$2)/(E$3-E$2),4)</f>
        <v/>
      </c>
      <c r="F199">
        <f>ROUND(10*(Comparatif!B203-F$2)/(F$3-F$2),4)</f>
        <v/>
      </c>
      <c r="G199">
        <f>ROUND(10*(Comparatif!C203-G$2)/(G$3-G$2),4)</f>
        <v/>
      </c>
      <c r="H199">
        <f>ROUND(10*(Comparatif!D203-H$2)/(H$3-H$2),4)</f>
        <v/>
      </c>
      <c r="I199">
        <f>ROUND(10*(Comparatif!E203-I$2)/(I$3-I$2),4)</f>
        <v/>
      </c>
      <c r="J199">
        <f>ROUND(10*(Comparatif!F203-J$2)/(J$3-J$2),4)</f>
        <v/>
      </c>
      <c r="K199">
        <f>ROUND(10*(Comparatif!G203-K$2)/(K$3-K$2),4)</f>
        <v/>
      </c>
      <c r="L199">
        <f>ROUND(10*(Comparatif!H203-L$2)/(L$3-L$2),4)</f>
        <v/>
      </c>
      <c r="M199">
        <f>ROUND(10*(Comparatif!I203-M$2)/(M$3-M$2),4)</f>
        <v/>
      </c>
      <c r="N199">
        <f>ROUND(10*(Comparatif!J203-N$2)/(N$3-N$2),4)</f>
        <v/>
      </c>
      <c r="O199">
        <f>ROUND(SUMPRODUCT(E199:N199,$E$1:$N$1)/Pondérations!$B$16,3)</f>
        <v/>
      </c>
      <c r="P199">
        <f>1+COUNTIF($O$5:$O$206,"&gt;"&amp;O199)+COUNTIF($O$5:$O199,O199)-1</f>
        <v/>
      </c>
      <c r="Q199">
        <f>1+COUNTIFS($C$5:$C$206,C199,$O$5:$O$206,"&gt;"&amp;O199)+COUNTIFS($C$5:$C199,C199,$O$5:$O199,O199)</f>
        <v/>
      </c>
      <c r="R199" t="n">
        <v>0.9975000000000001</v>
      </c>
    </row>
    <row r="200">
      <c r="A200">
        <f>Comparatif!A204</f>
        <v/>
      </c>
      <c r="B200">
        <f>Comparatif!B204</f>
        <v/>
      </c>
      <c r="C200" t="inlineStr">
        <is>
          <t>Desktop / secteur</t>
        </is>
      </c>
      <c r="D200">
        <f>Comparatif!AF204</f>
        <v/>
      </c>
      <c r="E200">
        <f>ROUND(10*(Comparatif!A204-E$2)/(E$3-E$2),4)</f>
        <v/>
      </c>
      <c r="F200">
        <f>ROUND(10*(Comparatif!B204-F$2)/(F$3-F$2),4)</f>
        <v/>
      </c>
      <c r="G200">
        <f>ROUND(10*(Comparatif!C204-G$2)/(G$3-G$2),4)</f>
        <v/>
      </c>
      <c r="H200">
        <f>ROUND(10*(Comparatif!D204-H$2)/(H$3-H$2),4)</f>
        <v/>
      </c>
      <c r="I200">
        <f>ROUND(10*(Comparatif!E204-I$2)/(I$3-I$2),4)</f>
        <v/>
      </c>
      <c r="J200">
        <f>ROUND(10*(Comparatif!F204-J$2)/(J$3-J$2),4)</f>
        <v/>
      </c>
      <c r="K200">
        <f>ROUND(10*(Comparatif!G204-K$2)/(K$3-K$2),4)</f>
        <v/>
      </c>
      <c r="L200">
        <f>ROUND(10*(Comparatif!H204-L$2)/(L$3-L$2),4)</f>
        <v/>
      </c>
      <c r="M200">
        <f>ROUND(10*(Comparatif!I204-M$2)/(M$3-M$2),4)</f>
        <v/>
      </c>
      <c r="N200">
        <f>ROUND(10*(Comparatif!J204-N$2)/(N$3-N$2),4)</f>
        <v/>
      </c>
      <c r="O200">
        <f>ROUND(SUMPRODUCT(E200:N200,$E$1:$N$1)/Pondérations!$B$16,3)</f>
        <v/>
      </c>
      <c r="P200">
        <f>1+COUNTIF($O$5:$O$206,"&gt;"&amp;O200)+COUNTIF($O$5:$O200,O200)-1</f>
        <v/>
      </c>
      <c r="Q200">
        <f>1+COUNTIFS($C$5:$C$206,C200,$O$5:$O$206,"&gt;"&amp;O200)+COUNTIFS($C$5:$C200,C200,$O$5:$O200,O200)</f>
        <v/>
      </c>
      <c r="R200" t="n">
        <v>0.9975000000000001</v>
      </c>
    </row>
    <row r="201">
      <c r="A201">
        <f>Comparatif!A205</f>
        <v/>
      </c>
      <c r="B201">
        <f>Comparatif!B205</f>
        <v/>
      </c>
      <c r="C201" t="inlineStr">
        <is>
          <t>Dongle</t>
        </is>
      </c>
      <c r="D201">
        <f>Comparatif!AF205</f>
        <v/>
      </c>
      <c r="E201">
        <f>ROUND(10*(Comparatif!A205-E$2)/(E$3-E$2),4)</f>
        <v/>
      </c>
      <c r="F201">
        <f>ROUND(10*(Comparatif!B205-F$2)/(F$3-F$2),4)</f>
        <v/>
      </c>
      <c r="G201">
        <f>ROUND(10*(Comparatif!C205-G$2)/(G$3-G$2),4)</f>
        <v/>
      </c>
      <c r="H201">
        <f>ROUND(10*(Comparatif!D205-H$2)/(H$3-H$2),4)</f>
        <v/>
      </c>
      <c r="I201">
        <f>ROUND(10*(Comparatif!E205-I$2)/(I$3-I$2),4)</f>
        <v/>
      </c>
      <c r="J201">
        <f>ROUND(10*(Comparatif!F205-J$2)/(J$3-J$2),4)</f>
        <v/>
      </c>
      <c r="K201">
        <f>ROUND(10*(Comparatif!G205-K$2)/(K$3-K$2),4)</f>
        <v/>
      </c>
      <c r="L201">
        <f>ROUND(10*(Comparatif!H205-L$2)/(L$3-L$2),4)</f>
        <v/>
      </c>
      <c r="M201">
        <f>ROUND(10*(Comparatif!I205-M$2)/(M$3-M$2),4)</f>
        <v/>
      </c>
      <c r="N201">
        <f>ROUND(10*(Comparatif!J205-N$2)/(N$3-N$2),4)</f>
        <v/>
      </c>
      <c r="O201">
        <f>ROUND(SUMPRODUCT(E201:N201,$E$1:$N$1)/Pondérations!$B$16,3)</f>
        <v/>
      </c>
      <c r="P201">
        <f>1+COUNTIF($O$5:$O$206,"&gt;"&amp;O201)+COUNTIF($O$5:$O201,O201)-1</f>
        <v/>
      </c>
      <c r="Q201">
        <f>1+COUNTIFS($C$5:$C$206,C201,$O$5:$O$206,"&gt;"&amp;O201)+COUNTIFS($C$5:$C201,C201,$O$5:$O201,O201)</f>
        <v/>
      </c>
      <c r="R201" t="n">
        <v>0.9975000000000001</v>
      </c>
    </row>
    <row r="202">
      <c r="A202">
        <f>Comparatif!A206</f>
        <v/>
      </c>
      <c r="B202">
        <f>Comparatif!B206</f>
        <v/>
      </c>
      <c r="C202" t="inlineStr">
        <is>
          <t>Dongle</t>
        </is>
      </c>
      <c r="D202">
        <f>Comparatif!AF206</f>
        <v/>
      </c>
      <c r="E202">
        <f>ROUND(10*(Comparatif!A206-E$2)/(E$3-E$2),4)</f>
        <v/>
      </c>
      <c r="F202">
        <f>ROUND(10*(Comparatif!B206-F$2)/(F$3-F$2),4)</f>
        <v/>
      </c>
      <c r="G202">
        <f>ROUND(10*(Comparatif!C206-G$2)/(G$3-G$2),4)</f>
        <v/>
      </c>
      <c r="H202">
        <f>ROUND(10*(Comparatif!D206-H$2)/(H$3-H$2),4)</f>
        <v/>
      </c>
      <c r="I202">
        <f>ROUND(10*(Comparatif!E206-I$2)/(I$3-I$2),4)</f>
        <v/>
      </c>
      <c r="J202">
        <f>ROUND(10*(Comparatif!F206-J$2)/(J$3-J$2),4)</f>
        <v/>
      </c>
      <c r="K202">
        <f>ROUND(10*(Comparatif!G206-K$2)/(K$3-K$2),4)</f>
        <v/>
      </c>
      <c r="L202">
        <f>ROUND(10*(Comparatif!H206-L$2)/(L$3-L$2),4)</f>
        <v/>
      </c>
      <c r="M202">
        <f>ROUND(10*(Comparatif!I206-M$2)/(M$3-M$2),4)</f>
        <v/>
      </c>
      <c r="N202">
        <f>ROUND(10*(Comparatif!J206-N$2)/(N$3-N$2),4)</f>
        <v/>
      </c>
      <c r="O202">
        <f>ROUND(SUMPRODUCT(E202:N202,$E$1:$N$1)/Pondérations!$B$16,3)</f>
        <v/>
      </c>
      <c r="P202">
        <f>1+COUNTIF($O$5:$O$206,"&gt;"&amp;O202)+COUNTIF($O$5:$O202,O202)-1</f>
        <v/>
      </c>
      <c r="Q202">
        <f>1+COUNTIFS($C$5:$C$206,C202,$O$5:$O$206,"&gt;"&amp;O202)+COUNTIFS($C$5:$C202,C202,$O$5:$O202,O202)</f>
        <v/>
      </c>
      <c r="R202" t="n">
        <v>0.9975000000000001</v>
      </c>
    </row>
    <row r="203">
      <c r="A203">
        <f>Comparatif!A207</f>
        <v/>
      </c>
      <c r="B203">
        <f>Comparatif!B207</f>
        <v/>
      </c>
      <c r="C203" t="inlineStr">
        <is>
          <t>Portable batterie</t>
        </is>
      </c>
      <c r="D203">
        <f>Comparatif!AF207</f>
        <v/>
      </c>
      <c r="E203">
        <f>ROUND(10*(Comparatif!A207-E$2)/(E$3-E$2),4)</f>
        <v/>
      </c>
      <c r="F203">
        <f>ROUND(10*(Comparatif!B207-F$2)/(F$3-F$2),4)</f>
        <v/>
      </c>
      <c r="G203">
        <f>ROUND(10*(Comparatif!C207-G$2)/(G$3-G$2),4)</f>
        <v/>
      </c>
      <c r="H203">
        <f>ROUND(10*(Comparatif!D207-H$2)/(H$3-H$2),4)</f>
        <v/>
      </c>
      <c r="I203">
        <f>ROUND(10*(Comparatif!E207-I$2)/(I$3-I$2),4)</f>
        <v/>
      </c>
      <c r="J203">
        <f>ROUND(10*(Comparatif!F207-J$2)/(J$3-J$2),4)</f>
        <v/>
      </c>
      <c r="K203">
        <f>ROUND(10*(Comparatif!G207-K$2)/(K$3-K$2),4)</f>
        <v/>
      </c>
      <c r="L203">
        <f>ROUND(10*(Comparatif!H207-L$2)/(L$3-L$2),4)</f>
        <v/>
      </c>
      <c r="M203">
        <f>ROUND(10*(Comparatif!I207-M$2)/(M$3-M$2),4)</f>
        <v/>
      </c>
      <c r="N203">
        <f>ROUND(10*(Comparatif!J207-N$2)/(N$3-N$2),4)</f>
        <v/>
      </c>
      <c r="O203">
        <f>ROUND(SUMPRODUCT(E203:N203,$E$1:$N$1)/Pondérations!$B$16,3)</f>
        <v/>
      </c>
      <c r="P203">
        <f>1+COUNTIF($O$5:$O$206,"&gt;"&amp;O203)+COUNTIF($O$5:$O203,O203)-1</f>
        <v/>
      </c>
      <c r="Q203">
        <f>1+COUNTIFS($C$5:$C$206,C203,$O$5:$O$206,"&gt;"&amp;O203)+COUNTIFS($C$5:$C203,C203,$O$5:$O203,O203)</f>
        <v/>
      </c>
      <c r="R203" t="n">
        <v>0.9975000000000001</v>
      </c>
    </row>
    <row r="204">
      <c r="A204">
        <f>Comparatif!A208</f>
        <v/>
      </c>
      <c r="B204">
        <f>Comparatif!B208</f>
        <v/>
      </c>
      <c r="C204" t="inlineStr">
        <is>
          <t>Dongle</t>
        </is>
      </c>
      <c r="D204">
        <f>Comparatif!AF208</f>
        <v/>
      </c>
      <c r="E204">
        <f>ROUND(10*(Comparatif!A208-E$2)/(E$3-E$2),4)</f>
        <v/>
      </c>
      <c r="F204">
        <f>ROUND(10*(Comparatif!B208-F$2)/(F$3-F$2),4)</f>
        <v/>
      </c>
      <c r="G204">
        <f>ROUND(10*(Comparatif!C208-G$2)/(G$3-G$2),4)</f>
        <v/>
      </c>
      <c r="H204">
        <f>ROUND(10*(Comparatif!D208-H$2)/(H$3-H$2),4)</f>
        <v/>
      </c>
      <c r="I204">
        <f>ROUND(10*(Comparatif!E208-I$2)/(I$3-I$2),4)</f>
        <v/>
      </c>
      <c r="J204">
        <f>ROUND(10*(Comparatif!F208-J$2)/(J$3-J$2),4)</f>
        <v/>
      </c>
      <c r="K204">
        <f>ROUND(10*(Comparatif!G208-K$2)/(K$3-K$2),4)</f>
        <v/>
      </c>
      <c r="L204">
        <f>ROUND(10*(Comparatif!H208-L$2)/(L$3-L$2),4)</f>
        <v/>
      </c>
      <c r="M204">
        <f>ROUND(10*(Comparatif!I208-M$2)/(M$3-M$2),4)</f>
        <v/>
      </c>
      <c r="N204">
        <f>ROUND(10*(Comparatif!J208-N$2)/(N$3-N$2),4)</f>
        <v/>
      </c>
      <c r="O204">
        <f>ROUND(SUMPRODUCT(E204:N204,$E$1:$N$1)/Pondérations!$B$16,3)</f>
        <v/>
      </c>
      <c r="P204">
        <f>1+COUNTIF($O$5:$O$206,"&gt;"&amp;O204)+COUNTIF($O$5:$O204,O204)-1</f>
        <v/>
      </c>
      <c r="Q204">
        <f>1+COUNTIFS($C$5:$C$206,C204,$O$5:$O$206,"&gt;"&amp;O204)+COUNTIFS($C$5:$C204,C204,$O$5:$O204,O204)</f>
        <v/>
      </c>
      <c r="R204" t="n">
        <v>0.9975000000000001</v>
      </c>
    </row>
    <row r="205">
      <c r="A205">
        <f>Comparatif!A209</f>
        <v/>
      </c>
      <c r="B205">
        <f>Comparatif!B209</f>
        <v/>
      </c>
      <c r="C205" t="inlineStr">
        <is>
          <t>Bluetooth</t>
        </is>
      </c>
      <c r="D205">
        <f>Comparatif!AF209</f>
        <v/>
      </c>
      <c r="E205">
        <f>ROUND(10*(Comparatif!A209-E$2)/(E$3-E$2),4)</f>
        <v/>
      </c>
      <c r="F205">
        <f>ROUND(10*(Comparatif!B209-F$2)/(F$3-F$2),4)</f>
        <v/>
      </c>
      <c r="G205">
        <f>ROUND(10*(Comparatif!C209-G$2)/(G$3-G$2),4)</f>
        <v/>
      </c>
      <c r="H205">
        <f>ROUND(10*(Comparatif!D209-H$2)/(H$3-H$2),4)</f>
        <v/>
      </c>
      <c r="I205">
        <f>ROUND(10*(Comparatif!E209-I$2)/(I$3-I$2),4)</f>
        <v/>
      </c>
      <c r="J205">
        <f>ROUND(10*(Comparatif!F209-J$2)/(J$3-J$2),4)</f>
        <v/>
      </c>
      <c r="K205">
        <f>ROUND(10*(Comparatif!G209-K$2)/(K$3-K$2),4)</f>
        <v/>
      </c>
      <c r="L205">
        <f>ROUND(10*(Comparatif!H209-L$2)/(L$3-L$2),4)</f>
        <v/>
      </c>
      <c r="M205">
        <f>ROUND(10*(Comparatif!I209-M$2)/(M$3-M$2),4)</f>
        <v/>
      </c>
      <c r="N205">
        <f>ROUND(10*(Comparatif!J209-N$2)/(N$3-N$2),4)</f>
        <v/>
      </c>
      <c r="O205">
        <f>ROUND(SUMPRODUCT(E205:N205,$E$1:$N$1)/Pondérations!$B$16,3)</f>
        <v/>
      </c>
      <c r="P205">
        <f>1+COUNTIF($O$5:$O$206,"&gt;"&amp;O205)+COUNTIF($O$5:$O205,O205)-1</f>
        <v/>
      </c>
      <c r="Q205">
        <f>1+COUNTIFS($C$5:$C$206,C205,$O$5:$O$206,"&gt;"&amp;O205)+COUNTIFS($C$5:$C205,C205,$O$5:$O205,O205)</f>
        <v/>
      </c>
      <c r="R205" t="n">
        <v>0.9975000000000001</v>
      </c>
    </row>
    <row r="206">
      <c r="A206">
        <f>Comparatif!A210</f>
        <v/>
      </c>
      <c r="B206">
        <f>Comparatif!B210</f>
        <v/>
      </c>
      <c r="C206" t="inlineStr">
        <is>
          <t>Bluetooth</t>
        </is>
      </c>
      <c r="D206">
        <f>Comparatif!AF210</f>
        <v/>
      </c>
      <c r="E206">
        <f>ROUND(10*(Comparatif!A210-E$2)/(E$3-E$2),4)</f>
        <v/>
      </c>
      <c r="F206">
        <f>ROUND(10*(Comparatif!B210-F$2)/(F$3-F$2),4)</f>
        <v/>
      </c>
      <c r="G206">
        <f>ROUND(10*(Comparatif!C210-G$2)/(G$3-G$2),4)</f>
        <v/>
      </c>
      <c r="H206">
        <f>ROUND(10*(Comparatif!D210-H$2)/(H$3-H$2),4)</f>
        <v/>
      </c>
      <c r="I206">
        <f>ROUND(10*(Comparatif!E210-I$2)/(I$3-I$2),4)</f>
        <v/>
      </c>
      <c r="J206">
        <f>ROUND(10*(Comparatif!F210-J$2)/(J$3-J$2),4)</f>
        <v/>
      </c>
      <c r="K206">
        <f>ROUND(10*(Comparatif!G210-K$2)/(K$3-K$2),4)</f>
        <v/>
      </c>
      <c r="L206">
        <f>ROUND(10*(Comparatif!H210-L$2)/(L$3-L$2),4)</f>
        <v/>
      </c>
      <c r="M206">
        <f>ROUND(10*(Comparatif!I210-M$2)/(M$3-M$2),4)</f>
        <v/>
      </c>
      <c r="N206">
        <f>ROUND(10*(Comparatif!J210-N$2)/(N$3-N$2),4)</f>
        <v/>
      </c>
      <c r="O206">
        <f>ROUND(SUMPRODUCT(E206:N206,$E$1:$N$1)/Pondérations!$B$16,3)</f>
        <v/>
      </c>
      <c r="P206">
        <f>1+COUNTIF($O$5:$O$206,"&gt;"&amp;O206)+COUNTIF($O$5:$O206,O206)-1</f>
        <v/>
      </c>
      <c r="Q206">
        <f>1+COUNTIFS($C$5:$C$206,C206,$O$5:$O$206,"&gt;"&amp;O206)+COUNTIFS($C$5:$C206,C206,$O$5:$O206,O206)</f>
        <v/>
      </c>
      <c r="R206" t="n">
        <v>0.9975000000000001</v>
      </c>
    </row>
    <row r="207">
      <c r="A207" s="174" t="inlineStr">
        <is>
          <t>Notes ramenées à une échelle 0-10 critère par critère (min-max sur les 170 produits notés — bornes en lignes 2 et 3), puis pondérées par le profil actif. Change le profil dans « Profils » : tout se recalcule.</t>
        </is>
      </c>
    </row>
    <row r="208">
      <c r="A208" s="174" t="inlineStr">
        <is>
          <t>Stabilité — part de 2000 pondérations tirées au hasard (10 critères, poids uniformes sur [0,1] renormalisés) où le produit reste dans le premier décile de SON format (Bluetooth : top 3 sur 12, Dongle : top 10 sur 104, Portable batterie : top 3 sur 29, À classer : top 3 sur 25). Valeur statique, indépendante du profil choisi : c'est justement ce qui distingue un candidat solide d'un accident de pondération.</t>
        </is>
      </c>
    </row>
    <row r="209">
      <c r="A209" s="174" t="inlineStr">
        <is>
          <t>Format — déduit par règles depuis le Type et le résumé Headfonics ; le détail et les cas à valider à la main sont dans la feuille « Formats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38"/>
  <sheetViews>
    <sheetView showGridLines="0" workbookViewId="0">
      <selection activeCell="A1" sqref="A1"/>
    </sheetView>
  </sheetViews>
  <sheetFormatPr baseColWidth="8" defaultRowHeight="15"/>
  <cols>
    <col width="34" customWidth="1" min="1" max="1"/>
    <col width="18" customWidth="1" min="2" max="2"/>
    <col width="90" customWidth="1" min="3" max="3"/>
    <col width="15" customWidth="1" min="4" max="4"/>
    <col width="34" customWidth="1" min="5" max="5"/>
    <col width="34" customWidth="1" min="6" max="6"/>
    <col width="34" customWidth="1" min="7" max="7"/>
    <col width="20" customWidth="1" min="8" max="8"/>
    <col width="34" customWidth="1" min="10" max="10"/>
    <col width="55" customWidth="1" min="11" max="11"/>
    <col width="18" customWidth="1" min="12" max="12"/>
    <col width="31" customWidth="1" min="13" max="13"/>
    <col width="52" customWidth="1" min="14" max="14"/>
  </cols>
  <sheetData>
    <row r="1">
      <c r="A1" s="19" t="inlineStr">
        <is>
          <t>Synthèse — candidats les plus pertinents pour ton usage</t>
        </is>
      </c>
      <c r="J1" s="57" t="inlineStr">
        <is>
          <t>Enrichissement Headfonics</t>
        </is>
      </c>
      <c r="M1" s="144" t="inlineStr">
        <is>
          <t>Couverture prix</t>
        </is>
      </c>
    </row>
    <row r="2">
      <c r="A2" s="33" t="inlineStr">
        <is>
          <t>Top 12 portable lié au rang de la feuille Comparatif. N7 et L70 sont traités comme références et ne consomment pas de rang.</t>
        </is>
      </c>
      <c r="J2" s="58" t="inlineStr">
        <is>
          <t>Import au 07/08/2026</t>
        </is>
      </c>
      <c r="M2" s="145" t="inlineStr">
        <is>
          <t>Prix moyens / MSRP consolidés</t>
        </is>
      </c>
    </row>
    <row r="4">
      <c r="A4" s="31" t="inlineStr">
        <is>
          <t>Rang actuel</t>
        </is>
      </c>
      <c r="B4" s="31" t="inlineStr">
        <is>
          <t>Marque</t>
        </is>
      </c>
      <c r="C4" s="31" t="inlineStr">
        <is>
          <t>Modèle</t>
        </is>
      </c>
      <c r="D4" s="31" t="inlineStr">
        <is>
          <t>Score actuel /10</t>
        </is>
      </c>
      <c r="E4" s="31" t="inlineStr">
        <is>
          <t>Rôle conseillé</t>
        </is>
      </c>
      <c r="F4" s="31" t="inlineStr">
        <is>
          <t>Face au L70</t>
        </is>
      </c>
      <c r="G4" s="31" t="inlineStr">
        <is>
          <t>Face au N7</t>
        </is>
      </c>
      <c r="H4" s="31" t="inlineStr">
        <is>
          <t>Confiance</t>
        </is>
      </c>
      <c r="J4" s="28" t="inlineStr">
        <is>
          <t>Entrées Headfonics P1–P7</t>
        </is>
      </c>
      <c r="K4" s="59" t="n">
        <v>140</v>
      </c>
      <c r="M4" s="146" t="inlineStr">
        <is>
          <t>Références avec prix</t>
        </is>
      </c>
      <c r="N4" s="147">
        <f>COUNT(Comparatif!AF5:AF178)</f>
        <v/>
      </c>
    </row>
    <row r="5" ht="48" customHeight="1">
      <c r="A5" s="26" t="n">
        <v>1</v>
      </c>
      <c r="B5" s="26">
        <f>IFERROR(INDEX(Comparatif!$A$7:$A$178,MATCH($A5,Comparatif!$R$7:$R$178,0)),"")</f>
        <v/>
      </c>
      <c r="C5" s="26">
        <f>IFERROR(INDEX(Comparatif!$B$7:$B$178,MATCH($A5,Comparatif!$R$7:$R$178,0)),"")</f>
        <v/>
      </c>
      <c r="D5" s="166">
        <f>IFERROR(INDEX(Comparatif!$Q$7:$Q$178,MATCH($A5,Comparatif!$R$7:$R$178,0)),"")</f>
        <v/>
      </c>
      <c r="E5" s="26">
        <f>IFERROR(INDEX(Comparatif!$U$7:$U$178,MATCH($A5,Comparatif!$R$7:$R$178,0)),"")</f>
        <v/>
      </c>
      <c r="F5" s="26">
        <f>IFERROR(INDEX(Comparatif!$S$7:$S$178,MATCH($A5,Comparatif!$R$7:$R$178,0)),"")</f>
        <v/>
      </c>
      <c r="G5" s="26">
        <f>IFERROR(INDEX(Comparatif!$T$7:$T$178,MATCH($A5,Comparatif!$R$7:$R$178,0)),"")</f>
        <v/>
      </c>
      <c r="H5" s="26">
        <f>IFERROR(INDEX(Comparatif!$V$7:$V$178,MATCH($A5,Comparatif!$R$7:$R$178,0)),"")</f>
        <v/>
      </c>
      <c r="J5" s="60" t="inlineStr">
        <is>
          <t>Déjà présentes avant import</t>
        </is>
      </c>
      <c r="K5" s="59" t="n">
        <v>14</v>
      </c>
      <c r="M5" s="146" t="inlineStr">
        <is>
          <t>Total références Comparatif</t>
        </is>
      </c>
      <c r="N5" s="147">
        <f>COUNTA(Comparatif!B5:B178)</f>
        <v/>
      </c>
    </row>
    <row r="6" ht="48" customHeight="1">
      <c r="A6" s="26" t="n">
        <v>2</v>
      </c>
      <c r="B6" s="26">
        <f>IFERROR(INDEX(Comparatif!$A$7:$A$178,MATCH($A6,Comparatif!$R$7:$R$178,0)),"")</f>
        <v/>
      </c>
      <c r="C6" s="26">
        <f>IFERROR(INDEX(Comparatif!$B$7:$B$178,MATCH($A6,Comparatif!$R$7:$R$178,0)),"")</f>
        <v/>
      </c>
      <c r="D6" s="166">
        <f>IFERROR(INDEX(Comparatif!$Q$7:$Q$178,MATCH($A6,Comparatif!$R$7:$R$178,0)),"")</f>
        <v/>
      </c>
      <c r="E6" s="26">
        <f>IFERROR(INDEX(Comparatif!$U$7:$U$178,MATCH($A6,Comparatif!$R$7:$R$178,0)),"")</f>
        <v/>
      </c>
      <c r="F6" s="26">
        <f>IFERROR(INDEX(Comparatif!$S$7:$S$178,MATCH($A6,Comparatif!$R$7:$R$178,0)),"")</f>
        <v/>
      </c>
      <c r="G6" s="26">
        <f>IFERROR(INDEX(Comparatif!$T$7:$T$178,MATCH($A6,Comparatif!$R$7:$R$178,0)),"")</f>
        <v/>
      </c>
      <c r="H6" s="26">
        <f>IFERROR(INDEX(Comparatif!$V$7:$V$178,MATCH($A6,Comparatif!$R$7:$R$178,0)),"")</f>
        <v/>
      </c>
      <c r="J6" s="28" t="inlineStr">
        <is>
          <t>Nouvelles références ajoutées</t>
        </is>
      </c>
      <c r="K6" s="59" t="n">
        <v>126</v>
      </c>
      <c r="M6" s="146" t="inlineStr">
        <is>
          <t>Couverture prix</t>
        </is>
      </c>
      <c r="N6" s="148">
        <f>IFERROR(N4/N5,0)</f>
        <v/>
      </c>
    </row>
    <row r="7" ht="48" customHeight="1">
      <c r="A7" s="26" t="n">
        <v>3</v>
      </c>
      <c r="B7" s="26">
        <f>IFERROR(INDEX(Comparatif!$A$7:$A$178,MATCH($A7,Comparatif!$R$7:$R$178,0)),"")</f>
        <v/>
      </c>
      <c r="C7" s="26">
        <f>IFERROR(INDEX(Comparatif!$B$7:$B$178,MATCH($A7,Comparatif!$R$7:$R$178,0)),"")</f>
        <v/>
      </c>
      <c r="D7" s="166">
        <f>IFERROR(INDEX(Comparatif!$Q$7:$Q$178,MATCH($A7,Comparatif!$R$7:$R$178,0)),"")</f>
        <v/>
      </c>
      <c r="E7" s="26">
        <f>IFERROR(INDEX(Comparatif!$U$7:$U$178,MATCH($A7,Comparatif!$R$7:$R$178,0)),"")</f>
        <v/>
      </c>
      <c r="F7" s="26">
        <f>IFERROR(INDEX(Comparatif!$S$7:$S$178,MATCH($A7,Comparatif!$R$7:$R$178,0)),"")</f>
        <v/>
      </c>
      <c r="G7" s="26">
        <f>IFERROR(INDEX(Comparatif!$T$7:$T$178,MATCH($A7,Comparatif!$R$7:$R$178,0)),"")</f>
        <v/>
      </c>
      <c r="H7" s="26">
        <f>IFERROR(INDEX(Comparatif!$V$7:$V$178,MATCH($A7,Comparatif!$R$7:$R$178,0)),"")</f>
        <v/>
      </c>
      <c r="J7" s="60" t="inlineStr">
        <is>
          <t>Total références Comparatif</t>
        </is>
      </c>
      <c r="K7" s="59">
        <f>COUNTA(Comparatif!B5:B178)</f>
        <v/>
      </c>
      <c r="M7" s="146" t="inlineStr">
        <is>
          <t>Méthode</t>
        </is>
      </c>
      <c r="N7" s="147" t="inlineStr">
        <is>
          <t>Un seul repère par produit : prix européen consolidé ou MSRP/prix de lancement converti en €; source et devise d’origine dans le commentaire de la cellule prix.</t>
        </is>
      </c>
    </row>
    <row r="8" ht="48" customHeight="1">
      <c r="A8" s="26" t="n">
        <v>4</v>
      </c>
      <c r="B8" s="26">
        <f>IFERROR(INDEX(Comparatif!$A$7:$A$178,MATCH($A8,Comparatif!$R$7:$R$178,0)),"")</f>
        <v/>
      </c>
      <c r="C8" s="26">
        <f>IFERROR(INDEX(Comparatif!$B$7:$B$178,MATCH($A8,Comparatif!$R$7:$R$178,0)),"")</f>
        <v/>
      </c>
      <c r="D8" s="166">
        <f>IFERROR(INDEX(Comparatif!$Q$7:$Q$178,MATCH($A8,Comparatif!$R$7:$R$178,0)),"")</f>
        <v/>
      </c>
      <c r="E8" s="26">
        <f>IFERROR(INDEX(Comparatif!$U$7:$U$178,MATCH($A8,Comparatif!$R$7:$R$178,0)),"")</f>
        <v/>
      </c>
      <c r="F8" s="26">
        <f>IFERROR(INDEX(Comparatif!$S$7:$S$178,MATCH($A8,Comparatif!$R$7:$R$178,0)),"")</f>
        <v/>
      </c>
      <c r="G8" s="26">
        <f>IFERROR(INDEX(Comparatif!$T$7:$T$178,MATCH($A8,Comparatif!$R$7:$R$178,0)),"")</f>
        <v/>
      </c>
      <c r="H8" s="26">
        <f>IFERROR(INDEX(Comparatif!$V$7:$V$178,MATCH($A8,Comparatif!$R$7:$R$178,0)),"")</f>
        <v/>
      </c>
      <c r="J8" s="60" t="inlineStr">
        <is>
          <t>Références notées perso</t>
        </is>
      </c>
      <c r="K8" s="59">
        <f>COUNT(Comparatif!Q5:Q178)</f>
        <v/>
      </c>
    </row>
    <row r="9" ht="48" customHeight="1">
      <c r="A9" s="26" t="n">
        <v>5</v>
      </c>
      <c r="B9" s="26">
        <f>IFERROR(INDEX(Comparatif!$A$7:$A$178,MATCH($A9,Comparatif!$R$7:$R$178,0)),"")</f>
        <v/>
      </c>
      <c r="C9" s="26">
        <f>IFERROR(INDEX(Comparatif!$B$7:$B$178,MATCH($A9,Comparatif!$R$7:$R$178,0)),"")</f>
        <v/>
      </c>
      <c r="D9" s="166">
        <f>IFERROR(INDEX(Comparatif!$Q$7:$Q$178,MATCH($A9,Comparatif!$R$7:$R$178,0)),"")</f>
        <v/>
      </c>
      <c r="E9" s="26">
        <f>IFERROR(INDEX(Comparatif!$U$7:$U$178,MATCH($A9,Comparatif!$R$7:$R$178,0)),"")</f>
        <v/>
      </c>
      <c r="F9" s="26">
        <f>IFERROR(INDEX(Comparatif!$S$7:$S$178,MATCH($A9,Comparatif!$R$7:$R$178,0)),"")</f>
        <v/>
      </c>
      <c r="G9" s="26">
        <f>IFERROR(INDEX(Comparatif!$T$7:$T$178,MATCH($A9,Comparatif!$R$7:$R$178,0)),"")</f>
        <v/>
      </c>
      <c r="H9" s="26">
        <f>IFERROR(INDEX(Comparatif!$V$7:$V$178,MATCH($A9,Comparatif!$R$7:$R$178,0)),"")</f>
        <v/>
      </c>
      <c r="J9" s="60" t="inlineStr">
        <is>
          <t>À évaluer</t>
        </is>
      </c>
      <c r="K9" s="59">
        <f>COUNTA(Comparatif!B5:B178)-COUNT(Comparatif!Q5:Q178)</f>
        <v/>
      </c>
      <c r="N9" s="41" t="n"/>
    </row>
    <row r="10" ht="48" customHeight="1">
      <c r="A10" s="26" t="n">
        <v>6</v>
      </c>
      <c r="B10" s="26">
        <f>IFERROR(INDEX(Comparatif!$A$7:$A$178,MATCH($A10,Comparatif!$R$7:$R$178,0)),"")</f>
        <v/>
      </c>
      <c r="C10" s="26">
        <f>IFERROR(INDEX(Comparatif!$B$7:$B$178,MATCH($A10,Comparatif!$R$7:$R$178,0)),"")</f>
        <v/>
      </c>
      <c r="D10" s="166">
        <f>IFERROR(INDEX(Comparatif!$Q$7:$Q$178,MATCH($A10,Comparatif!$R$7:$R$178,0)),"")</f>
        <v/>
      </c>
      <c r="E10" s="26">
        <f>IFERROR(INDEX(Comparatif!$U$7:$U$178,MATCH($A10,Comparatif!$R$7:$R$178,0)),"")</f>
        <v/>
      </c>
      <c r="F10" s="26">
        <f>IFERROR(INDEX(Comparatif!$S$7:$S$178,MATCH($A10,Comparatif!$R$7:$R$178,0)),"")</f>
        <v/>
      </c>
      <c r="G10" s="26">
        <f>IFERROR(INDEX(Comparatif!$T$7:$T$178,MATCH($A10,Comparatif!$R$7:$R$178,0)),"")</f>
        <v/>
      </c>
      <c r="H10" s="26">
        <f>IFERROR(INDEX(Comparatif!$V$7:$V$178,MATCH($A10,Comparatif!$R$7:$R$178,0)),"")</f>
        <v/>
      </c>
      <c r="N10" s="41" t="n"/>
    </row>
    <row r="11" ht="48" customHeight="1">
      <c r="A11" s="26" t="n">
        <v>7</v>
      </c>
      <c r="B11" s="26">
        <f>IFERROR(INDEX(Comparatif!$A$7:$A$178,MATCH($A11,Comparatif!$R$7:$R$178,0)),"")</f>
        <v/>
      </c>
      <c r="C11" s="26">
        <f>IFERROR(INDEX(Comparatif!$B$7:$B$178,MATCH($A11,Comparatif!$R$7:$R$178,0)),"")</f>
        <v/>
      </c>
      <c r="D11" s="166">
        <f>IFERROR(INDEX(Comparatif!$Q$7:$Q$178,MATCH($A11,Comparatif!$R$7:$R$178,0)),"")</f>
        <v/>
      </c>
      <c r="E11" s="26">
        <f>IFERROR(INDEX(Comparatif!$U$7:$U$178,MATCH($A11,Comparatif!$R$7:$R$178,0)),"")</f>
        <v/>
      </c>
      <c r="F11" s="26">
        <f>IFERROR(INDEX(Comparatif!$S$7:$S$178,MATCH($A11,Comparatif!$R$7:$R$178,0)),"")</f>
        <v/>
      </c>
      <c r="G11" s="26">
        <f>IFERROR(INDEX(Comparatif!$T$7:$T$178,MATCH($A11,Comparatif!$R$7:$R$178,0)),"")</f>
        <v/>
      </c>
      <c r="H11" s="26">
        <f>IFERROR(INDEX(Comparatif!$V$7:$V$178,MATCH($A11,Comparatif!$R$7:$R$178,0)),"")</f>
        <v/>
      </c>
      <c r="J11" s="61" t="inlineStr">
        <is>
          <t>Note</t>
        </is>
      </c>
    </row>
    <row r="12" ht="48" customHeight="1">
      <c r="A12" s="26" t="n">
        <v>8</v>
      </c>
      <c r="B12" s="26">
        <f>IFERROR(INDEX(Comparatif!$A$7:$A$178,MATCH($A12,Comparatif!$R$7:$R$178,0)),"")</f>
        <v/>
      </c>
      <c r="C12" s="26">
        <f>IFERROR(INDEX(Comparatif!$B$7:$B$178,MATCH($A12,Comparatif!$R$7:$R$178,0)),"")</f>
        <v/>
      </c>
      <c r="D12" s="166">
        <f>IFERROR(INDEX(Comparatif!$Q$7:$Q$178,MATCH($A12,Comparatif!$R$7:$R$178,0)),"")</f>
        <v/>
      </c>
      <c r="E12" s="26">
        <f>IFERROR(INDEX(Comparatif!$U$7:$U$178,MATCH($A12,Comparatif!$R$7:$R$178,0)),"")</f>
        <v/>
      </c>
      <c r="F12" s="26">
        <f>IFERROR(INDEX(Comparatif!$S$7:$S$178,MATCH($A12,Comparatif!$R$7:$R$178,0)),"")</f>
        <v/>
      </c>
      <c r="G12" s="26">
        <f>IFERROR(INDEX(Comparatif!$T$7:$T$178,MATCH($A12,Comparatif!$R$7:$R$178,0)),"")</f>
        <v/>
      </c>
      <c r="H12" s="26">
        <f>IFERROR(INDEX(Comparatif!$V$7:$V$178,MATCH($A12,Comparatif!$R$7:$R$178,0)),"")</f>
        <v/>
      </c>
      <c r="J12" s="26" t="inlineStr">
        <is>
          <t>Note — Les lignes importées sont désormais évaluées lorsque les avis disponibles permettent une synthèse raisonnable; la confiance reste indiquée séparément.</t>
        </is>
      </c>
    </row>
    <row r="13" ht="48" customHeight="1">
      <c r="A13" s="26" t="n">
        <v>9</v>
      </c>
      <c r="B13" s="26">
        <f>IFERROR(INDEX(Comparatif!$A$7:$A$178,MATCH($A13,Comparatif!$R$7:$R$178,0)),"")</f>
        <v/>
      </c>
      <c r="C13" s="26">
        <f>IFERROR(INDEX(Comparatif!$B$7:$B$178,MATCH($A13,Comparatif!$R$7:$R$178,0)),"")</f>
        <v/>
      </c>
      <c r="D13" s="166">
        <f>IFERROR(INDEX(Comparatif!$Q$7:$Q$178,MATCH($A13,Comparatif!$R$7:$R$178,0)),"")</f>
        <v/>
      </c>
      <c r="E13" s="26">
        <f>IFERROR(INDEX(Comparatif!$U$7:$U$178,MATCH($A13,Comparatif!$R$7:$R$178,0)),"")</f>
        <v/>
      </c>
      <c r="F13" s="26">
        <f>IFERROR(INDEX(Comparatif!$S$7:$S$178,MATCH($A13,Comparatif!$R$7:$R$178,0)),"")</f>
        <v/>
      </c>
      <c r="G13" s="26">
        <f>IFERROR(INDEX(Comparatif!$T$7:$T$178,MATCH($A13,Comparatif!$R$7:$R$178,0)),"")</f>
        <v/>
      </c>
      <c r="H13" s="26">
        <f>IFERROR(INDEX(Comparatif!$V$7:$V$178,MATCH($A13,Comparatif!$R$7:$R$178,0)),"")</f>
        <v/>
      </c>
    </row>
    <row r="14" ht="48" customHeight="1">
      <c r="A14" s="26" t="n">
        <v>10</v>
      </c>
      <c r="B14" s="26">
        <f>IFERROR(INDEX(Comparatif!$A$7:$A$178,MATCH($A14,Comparatif!$R$7:$R$178,0)),"")</f>
        <v/>
      </c>
      <c r="C14" s="26">
        <f>IFERROR(INDEX(Comparatif!$B$7:$B$178,MATCH($A14,Comparatif!$R$7:$R$178,0)),"")</f>
        <v/>
      </c>
      <c r="D14" s="166">
        <f>IFERROR(INDEX(Comparatif!$Q$7:$Q$178,MATCH($A14,Comparatif!$R$7:$R$178,0)),"")</f>
        <v/>
      </c>
      <c r="E14" s="26">
        <f>IFERROR(INDEX(Comparatif!$U$7:$U$178,MATCH($A14,Comparatif!$R$7:$R$178,0)),"")</f>
        <v/>
      </c>
      <c r="F14" s="26">
        <f>IFERROR(INDEX(Comparatif!$S$7:$S$178,MATCH($A14,Comparatif!$R$7:$R$178,0)),"")</f>
        <v/>
      </c>
      <c r="G14" s="26">
        <f>IFERROR(INDEX(Comparatif!$T$7:$T$178,MATCH($A14,Comparatif!$R$7:$R$178,0)),"")</f>
        <v/>
      </c>
      <c r="H14" s="26">
        <f>IFERROR(INDEX(Comparatif!$V$7:$V$178,MATCH($A14,Comparatif!$R$7:$R$178,0)),"")</f>
        <v/>
      </c>
    </row>
    <row r="15" ht="48" customHeight="1">
      <c r="A15" s="26" t="n">
        <v>11</v>
      </c>
      <c r="B15" s="26">
        <f>IFERROR(INDEX(Comparatif!$A$7:$A$178,MATCH($A15,Comparatif!$R$7:$R$178,0)),"")</f>
        <v/>
      </c>
      <c r="C15" s="26">
        <f>IFERROR(INDEX(Comparatif!$B$7:$B$178,MATCH($A15,Comparatif!$R$7:$R$178,0)),"")</f>
        <v/>
      </c>
      <c r="D15" s="166">
        <f>IFERROR(INDEX(Comparatif!$Q$7:$Q$178,MATCH($A15,Comparatif!$R$7:$R$178,0)),"")</f>
        <v/>
      </c>
      <c r="E15" s="26">
        <f>IFERROR(INDEX(Comparatif!$U$7:$U$178,MATCH($A15,Comparatif!$R$7:$R$178,0)),"")</f>
        <v/>
      </c>
      <c r="F15" s="26">
        <f>IFERROR(INDEX(Comparatif!$S$7:$S$178,MATCH($A15,Comparatif!$R$7:$R$178,0)),"")</f>
        <v/>
      </c>
      <c r="G15" s="26">
        <f>IFERROR(INDEX(Comparatif!$T$7:$T$178,MATCH($A15,Comparatif!$R$7:$R$178,0)),"")</f>
        <v/>
      </c>
      <c r="H15" s="26">
        <f>IFERROR(INDEX(Comparatif!$V$7:$V$178,MATCH($A15,Comparatif!$R$7:$R$178,0)),"")</f>
        <v/>
      </c>
    </row>
    <row r="16" ht="48" customHeight="1">
      <c r="A16" s="26" t="n">
        <v>12</v>
      </c>
      <c r="B16" s="26">
        <f>IFERROR(INDEX(Comparatif!$A$7:$A$178,MATCH($A16,Comparatif!$R$7:$R$178,0)),"")</f>
        <v/>
      </c>
      <c r="C16" s="26">
        <f>IFERROR(INDEX(Comparatif!$B$7:$B$178,MATCH($A16,Comparatif!$R$7:$R$178,0)),"")</f>
        <v/>
      </c>
      <c r="D16" s="166">
        <f>IFERROR(INDEX(Comparatif!$Q$7:$Q$178,MATCH($A16,Comparatif!$R$7:$R$178,0)),"")</f>
        <v/>
      </c>
      <c r="E16" s="26">
        <f>IFERROR(INDEX(Comparatif!$U$7:$U$178,MATCH($A16,Comparatif!$R$7:$R$178,0)),"")</f>
        <v/>
      </c>
      <c r="F16" s="26">
        <f>IFERROR(INDEX(Comparatif!$S$7:$S$178,MATCH($A16,Comparatif!$R$7:$R$178,0)),"")</f>
        <v/>
      </c>
      <c r="G16" s="26">
        <f>IFERROR(INDEX(Comparatif!$T$7:$T$178,MATCH($A16,Comparatif!$R$7:$R$178,0)),"")</f>
        <v/>
      </c>
      <c r="H16" s="26">
        <f>IFERROR(INDEX(Comparatif!$V$7:$V$178,MATCH($A16,Comparatif!$R$7:$R$178,0)),"")</f>
        <v/>
      </c>
    </row>
    <row r="18">
      <c r="J18" s="88" t="inlineStr">
        <is>
          <t>Couverture des avis</t>
        </is>
      </c>
      <c r="K18" s="26" t="n"/>
    </row>
    <row r="19">
      <c r="J19" s="89" t="inlineStr">
        <is>
          <t>Références totales</t>
        </is>
      </c>
      <c r="K19" s="26">
        <f>COUNTA(Comparatif!B5:B178)</f>
        <v/>
      </c>
    </row>
    <row r="20">
      <c r="J20" s="89" t="inlineStr">
        <is>
          <t>Avec résumé d’avis</t>
        </is>
      </c>
      <c r="K20" s="26">
        <f>COUNTIF(Comparatif!AG5:AG178,"&lt;&gt;")</f>
        <v/>
      </c>
    </row>
    <row r="21">
      <c r="J21" s="89" t="inlineStr">
        <is>
          <t>Sans review indépendante fiable</t>
        </is>
      </c>
      <c r="K21" s="26">
        <f>COUNTIF(Comparatif!AM5:AM178,"Très faible*")</f>
        <v/>
      </c>
    </row>
    <row r="22">
      <c r="J22" s="89" t="inlineStr">
        <is>
          <t>Confiance faible / faible à moyenne</t>
        </is>
      </c>
      <c r="K22" s="26">
        <f>COUNTIF(Comparatif!AM5:AM178,"Faible*")+COUNTIF(Comparatif!AM5:AM178,"Très faible*")</f>
        <v/>
      </c>
    </row>
    <row r="23">
      <c r="J23" s="89" t="inlineStr">
        <is>
          <t>Confiance moyenne / moyenne à élevée</t>
        </is>
      </c>
      <c r="K23" s="26">
        <f>COUNTIF(Comparatif!AM5:AM178,"Moyenne*")</f>
        <v/>
      </c>
    </row>
    <row r="24">
      <c r="J24" s="89" t="inlineStr">
        <is>
          <t>Objectif</t>
        </is>
      </c>
      <c r="K24" s="26" t="inlineStr">
        <is>
          <t>Notes 1–10 synthétisées à partir des avis consolidés selon les pondérations du classeur; aucune note n’est attribuée lorsqu’il n’existe pas de review indépendante exploitable.</t>
        </is>
      </c>
    </row>
    <row r="29">
      <c r="A29" s="96" t="inlineStr">
        <is>
          <t>Couverture multi-sources</t>
        </is>
      </c>
    </row>
    <row r="30">
      <c r="A30" t="inlineStr">
        <is>
          <t>Appareils avec 3+ reviews/sources</t>
        </is>
      </c>
      <c r="B30" t="n">
        <v>171</v>
      </c>
    </row>
    <row r="31">
      <c r="A31" t="inlineStr">
        <is>
          <t>Avec 2</t>
        </is>
      </c>
      <c r="B31" t="n">
        <v>0</v>
      </c>
    </row>
    <row r="32">
      <c r="A32" t="inlineStr">
        <is>
          <t>Avec 1</t>
        </is>
      </c>
      <c r="B32" t="n">
        <v>1</v>
      </c>
    </row>
    <row r="33">
      <c r="A33" t="inlineStr">
        <is>
          <t>Sans review indépendante</t>
        </is>
      </c>
      <c r="B33" t="n">
        <v>2</v>
      </c>
    </row>
    <row r="35">
      <c r="A35" s="96" t="inlineStr">
        <is>
          <t>Exceptions restantes (&lt;3 sources)</t>
        </is>
      </c>
      <c r="B35" s="96" t="inlineStr">
        <is>
          <t>Nb sources</t>
        </is>
      </c>
      <c r="C35" s="96" t="inlineStr">
        <is>
          <t>Pourquoi</t>
        </is>
      </c>
    </row>
    <row r="36">
      <c r="A36" s="26" t="inlineStr">
        <is>
          <t>Swan Song Audio Mini Black</t>
        </is>
      </c>
      <c r="B36" s="26" t="n">
        <v>1</v>
      </c>
      <c r="C36" s="26" t="inlineStr">
        <is>
          <t>Un seul vrai test exact trouvé (Headfonics). La page Alpha Audio est une présentation/actualité, donc non comptée comme review.</t>
        </is>
      </c>
    </row>
    <row r="37">
      <c r="A37" s="26" t="inlineStr">
        <is>
          <t>ROSESELSA RS9029</t>
        </is>
      </c>
      <c r="B37" s="26" t="n">
        <v>0</v>
      </c>
      <c r="C37" s="26" t="inlineStr">
        <is>
          <t>Aucune review indépendante exploitable trouvée; les résultats disponibles sont surtout des fiches produit.</t>
        </is>
      </c>
    </row>
    <row r="38">
      <c r="A38" s="26" t="inlineStr">
        <is>
          <t>iFi Audio GO Link 2 Max</t>
        </is>
      </c>
      <c r="B38" s="26" t="n">
        <v>0</v>
      </c>
      <c r="C38" s="26" t="inlineStr">
        <is>
          <t>Modèle très récent: articles de lancement disponibles, mais pas encore de review indépendante complète trouvée au 07/08/2026.</t>
        </is>
      </c>
    </row>
  </sheetData>
  <mergeCells count="6">
    <mergeCell ref="J1:L1"/>
    <mergeCell ref="M1:P1"/>
    <mergeCell ref="A2:H2"/>
    <mergeCell ref="J12:L14"/>
    <mergeCell ref="M2:P2"/>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144"/>
  <sheetViews>
    <sheetView showGridLines="0" workbookViewId="0">
      <pane xSplit="5" ySplit="4" topLeftCell="F5"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7" customWidth="1" min="2" max="2"/>
    <col width="14" customWidth="1" min="3" max="3"/>
    <col width="14" customWidth="1" min="4" max="4"/>
    <col width="10" customWidth="1" min="5" max="5"/>
    <col width="20" customWidth="1" min="6" max="6"/>
    <col width="28" customWidth="1" min="7" max="7"/>
    <col width="12" customWidth="1" min="8" max="8"/>
    <col width="20" customWidth="1" min="9" max="9"/>
    <col width="52" customWidth="1" min="10" max="10"/>
    <col width="46" customWidth="1" min="11" max="11"/>
    <col width="48" customWidth="1" min="12" max="12"/>
    <col width="20" customWidth="1" min="13" max="13"/>
  </cols>
  <sheetData>
    <row r="1" ht="26" customHeight="1">
      <c r="A1" s="62" t="inlineStr">
        <is>
          <t>Headfonics — Portable Amps &amp; DACs — pages 1 à 7</t>
        </is>
      </c>
    </row>
    <row r="2" ht="44" customHeight="1">
      <c r="A2" s="63" t="inlineStr">
        <is>
          <t>140 entrées, ordre chronologique au 07/08/2026. La page 1 est vérifiée en direct; les pages suivantes sont reconstruites par ordre chronologique à 20 entrées/page car les caches Headfonics ne sont pas synchronisés. Les Reader Scores évoluent avec les votes.</t>
        </is>
      </c>
    </row>
    <row r="3">
      <c r="A3" s="41" t="inlineStr">
        <is>
          <t>https://headfonics.com/category/portable-amps-dacs/</t>
        </is>
      </c>
    </row>
    <row r="4" ht="34" customHeight="1">
      <c r="A4" s="64" t="inlineStr">
        <is>
          <t>Rang chrono</t>
        </is>
      </c>
      <c r="B4" s="64" t="inlineStr">
        <is>
          <t>Page reconstruite</t>
        </is>
      </c>
      <c r="C4" s="64" t="inlineStr">
        <is>
          <t>Position page</t>
        </is>
      </c>
      <c r="D4" s="64" t="inlineStr">
        <is>
          <t>Date review</t>
        </is>
      </c>
      <c r="E4" s="64" t="inlineStr">
        <is>
          <t>Année</t>
        </is>
      </c>
      <c r="F4" s="64" t="inlineStr">
        <is>
          <t>Marque</t>
        </is>
      </c>
      <c r="G4" s="64" t="inlineStr">
        <is>
          <t>Modèle</t>
        </is>
      </c>
      <c r="H4" s="64" t="inlineStr">
        <is>
          <t>Score HF</t>
        </is>
      </c>
      <c r="I4" s="64" t="inlineStr">
        <is>
          <t>Type score</t>
        </is>
      </c>
      <c r="J4" s="64" t="inlineStr">
        <is>
          <t>Résumé / caractéristique</t>
        </is>
      </c>
      <c r="K4" s="64" t="inlineStr">
        <is>
          <t>Recherche Headfonics</t>
        </is>
      </c>
      <c r="L4" s="64" t="inlineStr">
        <is>
          <t>Archive page</t>
        </is>
      </c>
      <c r="M4" s="64" t="inlineStr">
        <is>
          <t>Présent avant import ?</t>
        </is>
      </c>
    </row>
    <row r="5">
      <c r="A5" s="65" t="n">
        <v>1</v>
      </c>
      <c r="B5" s="65">
        <f>ROUNDUP(A5/20,0)</f>
        <v/>
      </c>
      <c r="C5" s="65">
        <f>MOD(A5-1,20)+1</f>
        <v/>
      </c>
      <c r="D5" s="84" t="n">
        <v>46223</v>
      </c>
      <c r="E5" s="65">
        <f>YEAR(D5)</f>
        <v/>
      </c>
      <c r="F5" s="67" t="inlineStr">
        <is>
          <t>Questyle</t>
        </is>
      </c>
      <c r="G5" s="67" t="inlineStr">
        <is>
          <t>M18i Max</t>
        </is>
      </c>
      <c r="H5" s="68" t="n">
        <v>8.699999999999999</v>
      </c>
      <c r="I5" s="24" t="inlineStr">
        <is>
          <t>Award</t>
        </is>
      </c>
      <c r="J5" s="24" t="inlineStr">
        <is>
          <t>ESS ES9219Q wireless portable DAC/amp</t>
        </is>
      </c>
      <c r="K5" s="69" t="inlineStr">
        <is>
          <t>https://headfonics.com/?s=Questyle+M18i+Max</t>
        </is>
      </c>
      <c r="L5" s="69" t="inlineStr">
        <is>
          <t>https://headfonics.com/category/portable-amps-dacs/</t>
        </is>
      </c>
      <c r="M5" s="67" t="inlineStr">
        <is>
          <t>Non</t>
        </is>
      </c>
    </row>
    <row r="6">
      <c r="A6" s="70" t="n">
        <v>2</v>
      </c>
      <c r="B6" s="70">
        <f>ROUNDUP(A6/20,0)</f>
        <v/>
      </c>
      <c r="C6" s="70">
        <f>MOD(A6-1,20)+1</f>
        <v/>
      </c>
      <c r="D6" s="85" t="n">
        <v>46209</v>
      </c>
      <c r="E6" s="70">
        <f>YEAR(D6)</f>
        <v/>
      </c>
      <c r="F6" s="72" t="inlineStr">
        <is>
          <t>AFUL</t>
        </is>
      </c>
      <c r="G6" s="72" t="inlineStr">
        <is>
          <t>ICEBORNE</t>
        </is>
      </c>
      <c r="H6" s="73" t="n">
        <v>8.300000000000001</v>
      </c>
      <c r="I6" s="74" t="inlineStr">
        <is>
          <t>Award</t>
        </is>
      </c>
      <c r="J6" s="74" t="inlineStr">
        <is>
          <t>Dual CS43198 dongle DAC, up to 300 mW</t>
        </is>
      </c>
      <c r="K6" s="75" t="inlineStr">
        <is>
          <t>https://headfonics.com/?s=AFUL+ICEBORNE</t>
        </is>
      </c>
      <c r="L6" s="75" t="inlineStr">
        <is>
          <t>https://headfonics.com/category/portable-amps-dacs/</t>
        </is>
      </c>
      <c r="M6" s="72" t="inlineStr">
        <is>
          <t>Non</t>
        </is>
      </c>
    </row>
    <row r="7">
      <c r="A7" s="65" t="n">
        <v>3</v>
      </c>
      <c r="B7" s="65">
        <f>ROUNDUP(A7/20,0)</f>
        <v/>
      </c>
      <c r="C7" s="65">
        <f>MOD(A7-1,20)+1</f>
        <v/>
      </c>
      <c r="D7" s="84" t="n">
        <v>46207</v>
      </c>
      <c r="E7" s="65">
        <f>YEAR(D7)</f>
        <v/>
      </c>
      <c r="F7" s="67" t="inlineStr">
        <is>
          <t>Fosi Audio</t>
        </is>
      </c>
      <c r="G7" s="67" t="inlineStr">
        <is>
          <t>MD3</t>
        </is>
      </c>
      <c r="H7" s="76" t="n">
        <v>7.9</v>
      </c>
      <c r="I7" s="24" t="inlineStr">
        <is>
          <t>Award</t>
        </is>
      </c>
      <c r="J7" s="24" t="inlineStr">
        <is>
          <t>MagSafe ES9039Q2M portable DAC/amp, 180 mW</t>
        </is>
      </c>
      <c r="K7" s="69" t="inlineStr">
        <is>
          <t>https://headfonics.com/?s=Fosi+Audio+MD3</t>
        </is>
      </c>
      <c r="L7" s="69" t="inlineStr">
        <is>
          <t>https://headfonics.com/category/portable-amps-dacs/</t>
        </is>
      </c>
      <c r="M7" s="67" t="inlineStr">
        <is>
          <t>Non</t>
        </is>
      </c>
    </row>
    <row r="8">
      <c r="A8" s="70" t="n">
        <v>4</v>
      </c>
      <c r="B8" s="70">
        <f>ROUNDUP(A8/20,0)</f>
        <v/>
      </c>
      <c r="C8" s="70">
        <f>MOD(A8-1,20)+1</f>
        <v/>
      </c>
      <c r="D8" s="85" t="n">
        <v>46197</v>
      </c>
      <c r="E8" s="70">
        <f>YEAR(D8)</f>
        <v/>
      </c>
      <c r="F8" s="72" t="inlineStr">
        <is>
          <t>iFi audio</t>
        </is>
      </c>
      <c r="G8" s="72" t="inlineStr">
        <is>
          <t>GO link 2</t>
        </is>
      </c>
      <c r="H8" s="73" t="n">
        <v>8.1</v>
      </c>
      <c r="I8" s="74" t="inlineStr">
        <is>
          <t>Award</t>
        </is>
      </c>
      <c r="J8" s="74" t="inlineStr">
        <is>
          <t>Dual ESS dongle DAC, up to 244 mW</t>
        </is>
      </c>
      <c r="K8" s="75" t="inlineStr">
        <is>
          <t>https://headfonics.com/?s=iFi+audio+GO+link+2</t>
        </is>
      </c>
      <c r="L8" s="75" t="inlineStr">
        <is>
          <t>https://headfonics.com/category/portable-amps-dacs/</t>
        </is>
      </c>
      <c r="M8" s="72" t="inlineStr">
        <is>
          <t>Non</t>
        </is>
      </c>
    </row>
    <row r="9">
      <c r="A9" s="65" t="n">
        <v>5</v>
      </c>
      <c r="B9" s="65">
        <f>ROUNDUP(A9/20,0)</f>
        <v/>
      </c>
      <c r="C9" s="65">
        <f>MOD(A9-1,20)+1</f>
        <v/>
      </c>
      <c r="D9" s="84" t="n">
        <v>46181</v>
      </c>
      <c r="E9" s="65">
        <f>YEAR(D9)</f>
        <v/>
      </c>
      <c r="F9" s="67" t="inlineStr">
        <is>
          <t>MUSE HiFi</t>
        </is>
      </c>
      <c r="G9" s="67" t="inlineStr">
        <is>
          <t>M3 Ultra</t>
        </is>
      </c>
      <c r="H9" s="73" t="n">
        <v>8.300000000000001</v>
      </c>
      <c r="I9" s="24" t="inlineStr">
        <is>
          <t>Award</t>
        </is>
      </c>
      <c r="J9" s="24" t="inlineStr">
        <is>
          <t>ES9028Q2M + dual JAN6418 tube portable amp, 480 mW</t>
        </is>
      </c>
      <c r="K9" s="69" t="inlineStr">
        <is>
          <t>https://headfonics.com/?s=MUSE+HiFi+M3+Ultra</t>
        </is>
      </c>
      <c r="L9" s="69" t="inlineStr">
        <is>
          <t>https://headfonics.com/category/portable-amps-dacs/</t>
        </is>
      </c>
      <c r="M9" s="67" t="inlineStr">
        <is>
          <t>Non</t>
        </is>
      </c>
    </row>
    <row r="10">
      <c r="A10" s="70" t="n">
        <v>6</v>
      </c>
      <c r="B10" s="70">
        <f>ROUNDUP(A10/20,0)</f>
        <v/>
      </c>
      <c r="C10" s="70">
        <f>MOD(A10-1,20)+1</f>
        <v/>
      </c>
      <c r="D10" s="85" t="n">
        <v>46178</v>
      </c>
      <c r="E10" s="70">
        <f>YEAR(D10)</f>
        <v/>
      </c>
      <c r="F10" s="72" t="inlineStr">
        <is>
          <t>xDuoo</t>
        </is>
      </c>
      <c r="G10" s="72" t="inlineStr">
        <is>
          <t>Link3</t>
        </is>
      </c>
      <c r="H10" s="73" t="n">
        <v>8.6</v>
      </c>
      <c r="I10" s="74" t="inlineStr">
        <is>
          <t>Award</t>
        </is>
      </c>
      <c r="J10" s="74" t="inlineStr">
        <is>
          <t>Dongle DAC with microSD slot</t>
        </is>
      </c>
      <c r="K10" s="75" t="inlineStr">
        <is>
          <t>https://headfonics.com/?s=xDuoo+Link3</t>
        </is>
      </c>
      <c r="L10" s="75" t="inlineStr">
        <is>
          <t>https://headfonics.com/category/portable-amps-dacs/</t>
        </is>
      </c>
      <c r="M10" s="72" t="inlineStr">
        <is>
          <t>Non</t>
        </is>
      </c>
    </row>
    <row r="11">
      <c r="A11" s="65" t="n">
        <v>7</v>
      </c>
      <c r="B11" s="65">
        <f>ROUNDUP(A11/20,0)</f>
        <v/>
      </c>
      <c r="C11" s="65">
        <f>MOD(A11-1,20)+1</f>
        <v/>
      </c>
      <c r="D11" s="84" t="n">
        <v>46157</v>
      </c>
      <c r="E11" s="65">
        <f>YEAR(D11)</f>
        <v/>
      </c>
      <c r="F11" s="67" t="inlineStr">
        <is>
          <t>xDuoo</t>
        </is>
      </c>
      <c r="G11" s="67" t="inlineStr">
        <is>
          <t>XP-2 Bal</t>
        </is>
      </c>
      <c r="H11" s="73" t="n">
        <v>8.4</v>
      </c>
      <c r="I11" s="24" t="inlineStr">
        <is>
          <t>Award</t>
        </is>
      </c>
      <c r="J11" s="24" t="inlineStr">
        <is>
          <t>Portable DAC/amp, balanced 320 mW, Bluetooth</t>
        </is>
      </c>
      <c r="K11" s="69" t="inlineStr">
        <is>
          <t>https://headfonics.com/?s=xDuoo+XP-2+Bal</t>
        </is>
      </c>
      <c r="L11" s="69" t="inlineStr">
        <is>
          <t>https://headfonics.com/category/portable-amps-dacs/</t>
        </is>
      </c>
      <c r="M11" s="67" t="inlineStr">
        <is>
          <t>Non</t>
        </is>
      </c>
    </row>
    <row r="12">
      <c r="A12" s="70" t="n">
        <v>8</v>
      </c>
      <c r="B12" s="70">
        <f>ROUNDUP(A12/20,0)</f>
        <v/>
      </c>
      <c r="C12" s="70">
        <f>MOD(A12-1,20)+1</f>
        <v/>
      </c>
      <c r="D12" s="85" t="n">
        <v>46144</v>
      </c>
      <c r="E12" s="70">
        <f>YEAR(D12)</f>
        <v/>
      </c>
      <c r="F12" s="72" t="inlineStr">
        <is>
          <t>Moondrop</t>
        </is>
      </c>
      <c r="G12" s="72" t="inlineStr">
        <is>
          <t>Moonriver 3</t>
        </is>
      </c>
      <c r="H12" s="68" t="n">
        <v>8.699999999999999</v>
      </c>
      <c r="I12" s="74" t="inlineStr">
        <is>
          <t>Award</t>
        </is>
      </c>
      <c r="J12" s="74" t="inlineStr">
        <is>
          <t>Dual CS43198 dongle DAC, DSP, up to 500 mW</t>
        </is>
      </c>
      <c r="K12" s="75" t="inlineStr">
        <is>
          <t>https://headfonics.com/?s=Moondrop+Moonriver+3</t>
        </is>
      </c>
      <c r="L12" s="75" t="inlineStr">
        <is>
          <t>https://headfonics.com/category/portable-amps-dacs/</t>
        </is>
      </c>
      <c r="M12" s="77" t="inlineStr">
        <is>
          <t>Oui</t>
        </is>
      </c>
    </row>
    <row r="13">
      <c r="A13" s="65" t="n">
        <v>9</v>
      </c>
      <c r="B13" s="65">
        <f>ROUNDUP(A13/20,0)</f>
        <v/>
      </c>
      <c r="C13" s="65">
        <f>MOD(A13-1,20)+1</f>
        <v/>
      </c>
      <c r="D13" s="84" t="n">
        <v>46081</v>
      </c>
      <c r="E13" s="65">
        <f>YEAR(D13)</f>
        <v/>
      </c>
      <c r="F13" s="67" t="inlineStr">
        <is>
          <t>iBasso</t>
        </is>
      </c>
      <c r="G13" s="67" t="inlineStr">
        <is>
          <t>PB6 MACAW</t>
        </is>
      </c>
      <c r="H13" s="68" t="n">
        <v>9</v>
      </c>
      <c r="I13" s="24" t="inlineStr">
        <is>
          <t>Award</t>
        </is>
      </c>
      <c r="J13" s="24" t="inlineStr">
        <is>
          <t>Quad JAN6418 tube portable headphone amplifier, up to 2.3 W</t>
        </is>
      </c>
      <c r="K13" s="69" t="inlineStr">
        <is>
          <t>https://headfonics.com/?s=iBasso+PB6+MACAW</t>
        </is>
      </c>
      <c r="L13" s="69" t="inlineStr">
        <is>
          <t>https://headfonics.com/category/portable-amps-dacs/</t>
        </is>
      </c>
      <c r="M13" s="67" t="inlineStr">
        <is>
          <t>Non</t>
        </is>
      </c>
    </row>
    <row r="14">
      <c r="A14" s="70" t="n">
        <v>10</v>
      </c>
      <c r="B14" s="70">
        <f>ROUNDUP(A14/20,0)</f>
        <v/>
      </c>
      <c r="C14" s="70">
        <f>MOD(A14-1,20)+1</f>
        <v/>
      </c>
      <c r="D14" s="85" t="n">
        <v>46066</v>
      </c>
      <c r="E14" s="70">
        <f>YEAR(D14)</f>
        <v/>
      </c>
      <c r="F14" s="72" t="inlineStr">
        <is>
          <t>HiBy</t>
        </is>
      </c>
      <c r="G14" s="72" t="inlineStr">
        <is>
          <t>W4</t>
        </is>
      </c>
      <c r="H14" s="73" t="n">
        <v>8.300000000000001</v>
      </c>
      <c r="I14" s="74" t="inlineStr">
        <is>
          <t>Award</t>
        </is>
      </c>
      <c r="J14" s="74" t="inlineStr">
        <is>
          <t>Bluetooth 5.4 dual-DAC portable amp, up to 475 mW</t>
        </is>
      </c>
      <c r="K14" s="75" t="inlineStr">
        <is>
          <t>https://headfonics.com/?s=HiBy+W4</t>
        </is>
      </c>
      <c r="L14" s="75" t="inlineStr">
        <is>
          <t>https://headfonics.com/category/portable-amps-dacs/</t>
        </is>
      </c>
      <c r="M14" s="72" t="inlineStr">
        <is>
          <t>Non</t>
        </is>
      </c>
    </row>
    <row r="15">
      <c r="A15" s="65" t="n">
        <v>11</v>
      </c>
      <c r="B15" s="65">
        <f>ROUNDUP(A15/20,0)</f>
        <v/>
      </c>
      <c r="C15" s="65">
        <f>MOD(A15-1,20)+1</f>
        <v/>
      </c>
      <c r="D15" s="84" t="n">
        <v>46053</v>
      </c>
      <c r="E15" s="65">
        <f>YEAR(D15)</f>
        <v/>
      </c>
      <c r="F15" s="67" t="inlineStr">
        <is>
          <t>Questyle</t>
        </is>
      </c>
      <c r="G15" s="67" t="inlineStr">
        <is>
          <t>SIGMA Pro</t>
        </is>
      </c>
      <c r="H15" s="73" t="n">
        <v>8.6</v>
      </c>
      <c r="I15" s="24" t="inlineStr">
        <is>
          <t>Award</t>
        </is>
      </c>
      <c r="J15" s="24" t="inlineStr">
        <is>
          <t>Bluetooth-capable Current Mode portable DAC/amp</t>
        </is>
      </c>
      <c r="K15" s="69" t="inlineStr">
        <is>
          <t>https://headfonics.com/?s=Questyle+SIGMA+Pro</t>
        </is>
      </c>
      <c r="L15" s="69" t="inlineStr">
        <is>
          <t>https://headfonics.com/category/portable-amps-dacs/</t>
        </is>
      </c>
      <c r="M15" s="67" t="inlineStr">
        <is>
          <t>Non</t>
        </is>
      </c>
    </row>
    <row r="16">
      <c r="A16" s="70" t="n">
        <v>12</v>
      </c>
      <c r="B16" s="70">
        <f>ROUNDUP(A16/20,0)</f>
        <v/>
      </c>
      <c r="C16" s="70">
        <f>MOD(A16-1,20)+1</f>
        <v/>
      </c>
      <c r="D16" s="85" t="n">
        <v>46050</v>
      </c>
      <c r="E16" s="70">
        <f>YEAR(D16)</f>
        <v/>
      </c>
      <c r="F16" s="72" t="inlineStr">
        <is>
          <t>Shanling</t>
        </is>
      </c>
      <c r="G16" s="72" t="inlineStr">
        <is>
          <t>UA7</t>
        </is>
      </c>
      <c r="H16" s="73" t="n">
        <v>8.6</v>
      </c>
      <c r="I16" s="74" t="inlineStr">
        <is>
          <t>Award</t>
        </is>
      </c>
      <c r="J16" s="74" t="inlineStr">
        <is>
          <t>Dual JAN6418 tube dongle DAC, up to 577 mW</t>
        </is>
      </c>
      <c r="K16" s="75" t="inlineStr">
        <is>
          <t>https://headfonics.com/?s=Shanling+UA7</t>
        </is>
      </c>
      <c r="L16" s="75" t="inlineStr">
        <is>
          <t>https://headfonics.com/category/portable-amps-dacs/</t>
        </is>
      </c>
      <c r="M16" s="77" t="inlineStr">
        <is>
          <t>Oui</t>
        </is>
      </c>
    </row>
    <row r="17">
      <c r="A17" s="65" t="n">
        <v>13</v>
      </c>
      <c r="B17" s="65">
        <f>ROUNDUP(A17/20,0)</f>
        <v/>
      </c>
      <c r="C17" s="65">
        <f>MOD(A17-1,20)+1</f>
        <v/>
      </c>
      <c r="D17" s="84" t="n">
        <v>45992</v>
      </c>
      <c r="E17" s="65">
        <f>YEAR(D17)</f>
        <v/>
      </c>
      <c r="F17" s="67" t="inlineStr">
        <is>
          <t>iBasso</t>
        </is>
      </c>
      <c r="G17" s="67" t="inlineStr">
        <is>
          <t>D17 Atheris</t>
        </is>
      </c>
      <c r="H17" s="68" t="n">
        <v>9</v>
      </c>
      <c r="I17" s="24" t="inlineStr">
        <is>
          <t>Reader</t>
        </is>
      </c>
      <c r="J17" s="24" t="inlineStr">
        <is>
          <t>Discrete R2R + 1-bit portable DAC/amp, up to 1.2 W</t>
        </is>
      </c>
      <c r="K17" s="69" t="inlineStr">
        <is>
          <t>https://headfonics.com/?s=iBasso+D17+Atheris</t>
        </is>
      </c>
      <c r="L17" s="69" t="inlineStr">
        <is>
          <t>https://headfonics.com/category/portable-amps-dacs/</t>
        </is>
      </c>
      <c r="M17" s="67" t="inlineStr">
        <is>
          <t>Non</t>
        </is>
      </c>
    </row>
    <row r="18">
      <c r="A18" s="70" t="n">
        <v>14</v>
      </c>
      <c r="B18" s="70">
        <f>ROUNDUP(A18/20,0)</f>
        <v/>
      </c>
      <c r="C18" s="70">
        <f>MOD(A18-1,20)+1</f>
        <v/>
      </c>
      <c r="D18" s="85" t="n">
        <v>45990</v>
      </c>
      <c r="E18" s="70">
        <f>YEAR(D18)</f>
        <v/>
      </c>
      <c r="F18" s="72" t="inlineStr">
        <is>
          <t>Cayin</t>
        </is>
      </c>
      <c r="G18" s="72" t="inlineStr">
        <is>
          <t>RU3</t>
        </is>
      </c>
      <c r="H18" s="73" t="n">
        <v>8.199999999999999</v>
      </c>
      <c r="I18" s="74" t="inlineStr">
        <is>
          <t>Reader</t>
        </is>
      </c>
      <c r="J18" s="74" t="inlineStr">
        <is>
          <t>ES9069Q dongle DAC, app integration, up to 560 mW</t>
        </is>
      </c>
      <c r="K18" s="75" t="inlineStr">
        <is>
          <t>https://headfonics.com/?s=Cayin+RU3</t>
        </is>
      </c>
      <c r="L18" s="75" t="inlineStr">
        <is>
          <t>https://headfonics.com/category/portable-amps-dacs/</t>
        </is>
      </c>
      <c r="M18" s="72" t="inlineStr">
        <is>
          <t>Non</t>
        </is>
      </c>
    </row>
    <row r="19">
      <c r="A19" s="65" t="n">
        <v>15</v>
      </c>
      <c r="B19" s="65">
        <f>ROUNDUP(A19/20,0)</f>
        <v/>
      </c>
      <c r="C19" s="65">
        <f>MOD(A19-1,20)+1</f>
        <v/>
      </c>
      <c r="D19" s="84" t="n">
        <v>45989</v>
      </c>
      <c r="E19" s="65">
        <f>YEAR(D19)</f>
        <v/>
      </c>
      <c r="F19" s="67" t="inlineStr">
        <is>
          <t>FiiO</t>
        </is>
      </c>
      <c r="G19" s="67" t="inlineStr">
        <is>
          <t>SNOWSKY Tiny</t>
        </is>
      </c>
      <c r="H19" s="73" t="n">
        <v>8.1</v>
      </c>
      <c r="I19" s="24" t="inlineStr">
        <is>
          <t>Reader</t>
        </is>
      </c>
      <c r="J19" s="24" t="inlineStr">
        <is>
          <t>Affordable dongle DAC, PCM384/DSD256, 10-band PEQ</t>
        </is>
      </c>
      <c r="K19" s="69" t="inlineStr">
        <is>
          <t>https://headfonics.com/?s=FiiO+SNOWSKY+Tiny</t>
        </is>
      </c>
      <c r="L19" s="69" t="inlineStr">
        <is>
          <t>https://headfonics.com/category/portable-amps-dacs/</t>
        </is>
      </c>
      <c r="M19" s="67" t="inlineStr">
        <is>
          <t>Non</t>
        </is>
      </c>
    </row>
    <row r="20">
      <c r="A20" s="70" t="n">
        <v>16</v>
      </c>
      <c r="B20" s="70">
        <f>ROUNDUP(A20/20,0)</f>
        <v/>
      </c>
      <c r="C20" s="70">
        <f>MOD(A20-1,20)+1</f>
        <v/>
      </c>
      <c r="D20" s="85" t="n">
        <v>45987</v>
      </c>
      <c r="E20" s="70">
        <f>YEAR(D20)</f>
        <v/>
      </c>
      <c r="F20" s="72" t="inlineStr">
        <is>
          <t>ONIX</t>
        </is>
      </c>
      <c r="G20" s="72" t="inlineStr">
        <is>
          <t>Beta XI2</t>
        </is>
      </c>
      <c r="H20" s="73" t="n">
        <v>8.5</v>
      </c>
      <c r="I20" s="74" t="inlineStr">
        <is>
          <t>Reader</t>
        </is>
      </c>
      <c r="J20" s="74" t="inlineStr">
        <is>
          <t>Hybrid solid-state/JAN6418 tube dongle DAC</t>
        </is>
      </c>
      <c r="K20" s="75" t="inlineStr">
        <is>
          <t>https://headfonics.com/?s=ONIX+Beta+XI2</t>
        </is>
      </c>
      <c r="L20" s="75" t="inlineStr">
        <is>
          <t>https://headfonics.com/category/portable-amps-dacs/</t>
        </is>
      </c>
      <c r="M20" s="77" t="inlineStr">
        <is>
          <t>Oui</t>
        </is>
      </c>
    </row>
    <row r="21">
      <c r="A21" s="65" t="n">
        <v>17</v>
      </c>
      <c r="B21" s="65">
        <f>ROUNDUP(A21/20,0)</f>
        <v/>
      </c>
      <c r="C21" s="65">
        <f>MOD(A21-1,20)+1</f>
        <v/>
      </c>
      <c r="D21" s="84" t="n">
        <v>45965</v>
      </c>
      <c r="E21" s="65">
        <f>YEAR(D21)</f>
        <v/>
      </c>
      <c r="F21" s="67" t="inlineStr">
        <is>
          <t>Khadas</t>
        </is>
      </c>
      <c r="G21" s="67" t="inlineStr">
        <is>
          <t>Tea Pro</t>
        </is>
      </c>
      <c r="H21" s="73" t="n">
        <v>8.1</v>
      </c>
      <c r="I21" s="24" t="inlineStr">
        <is>
          <t>Reader</t>
        </is>
      </c>
      <c r="J21" s="24" t="inlineStr">
        <is>
          <t>Wireless ES9039Q2M magnetic portable DAC/amp</t>
        </is>
      </c>
      <c r="K21" s="69" t="inlineStr">
        <is>
          <t>https://headfonics.com/?s=Khadas+Tea+Pro</t>
        </is>
      </c>
      <c r="L21" s="69" t="inlineStr">
        <is>
          <t>https://headfonics.com/category/portable-amps-dacs/</t>
        </is>
      </c>
      <c r="M21" s="67" t="inlineStr">
        <is>
          <t>Non</t>
        </is>
      </c>
    </row>
    <row r="22">
      <c r="A22" s="70" t="n">
        <v>18</v>
      </c>
      <c r="B22" s="70">
        <f>ROUNDUP(A22/20,0)</f>
        <v/>
      </c>
      <c r="C22" s="70">
        <f>MOD(A22-1,20)+1</f>
        <v/>
      </c>
      <c r="D22" s="85" t="n">
        <v>45964</v>
      </c>
      <c r="E22" s="70">
        <f>YEAR(D22)</f>
        <v/>
      </c>
      <c r="F22" s="72" t="inlineStr">
        <is>
          <t>ddHiFi</t>
        </is>
      </c>
      <c r="G22" s="72" t="inlineStr">
        <is>
          <t>TC44Grip</t>
        </is>
      </c>
      <c r="H22" s="76" t="n">
        <v>7.7</v>
      </c>
      <c r="I22" s="74" t="inlineStr">
        <is>
          <t>Reader</t>
        </is>
      </c>
      <c r="J22" s="74" t="inlineStr">
        <is>
          <t>Dual CS43198 smartphone-mounted dongle DAC, 330 mW</t>
        </is>
      </c>
      <c r="K22" s="75" t="inlineStr">
        <is>
          <t>https://headfonics.com/?s=ddHiFi+TC44Grip</t>
        </is>
      </c>
      <c r="L22" s="75" t="inlineStr">
        <is>
          <t>https://headfonics.com/category/portable-amps-dacs/</t>
        </is>
      </c>
      <c r="M22" s="72" t="inlineStr">
        <is>
          <t>Non</t>
        </is>
      </c>
    </row>
    <row r="23">
      <c r="A23" s="65" t="n">
        <v>19</v>
      </c>
      <c r="B23" s="65">
        <f>ROUNDUP(A23/20,0)</f>
        <v/>
      </c>
      <c r="C23" s="65">
        <f>MOD(A23-1,20)+1</f>
        <v/>
      </c>
      <c r="D23" s="84" t="n">
        <v>45958</v>
      </c>
      <c r="E23" s="65">
        <f>YEAR(D23)</f>
        <v/>
      </c>
      <c r="F23" s="67" t="inlineStr">
        <is>
          <t>MUSE HiFi</t>
        </is>
      </c>
      <c r="G23" s="67" t="inlineStr">
        <is>
          <t>M6 Double</t>
        </is>
      </c>
      <c r="H23" s="73" t="n">
        <v>8.6</v>
      </c>
      <c r="I23" s="24" t="inlineStr">
        <is>
          <t>Reader</t>
        </is>
      </c>
      <c r="J23" s="24" t="inlineStr">
        <is>
          <t>Dual-mode transistor/JAN6418 tube portable DAC/amp</t>
        </is>
      </c>
      <c r="K23" s="69" t="inlineStr">
        <is>
          <t>https://headfonics.com/?s=MUSE+HiFi+M6+Double</t>
        </is>
      </c>
      <c r="L23" s="69" t="inlineStr">
        <is>
          <t>https://headfonics.com/category/portable-amps-dacs/</t>
        </is>
      </c>
      <c r="M23" s="77" t="inlineStr">
        <is>
          <t>Oui</t>
        </is>
      </c>
    </row>
    <row r="24">
      <c r="A24" s="70" t="n">
        <v>20</v>
      </c>
      <c r="B24" s="70">
        <f>ROUNDUP(A24/20,0)</f>
        <v/>
      </c>
      <c r="C24" s="70">
        <f>MOD(A24-1,20)+1</f>
        <v/>
      </c>
      <c r="D24" s="85" t="n">
        <v>45945</v>
      </c>
      <c r="E24" s="70">
        <f>YEAR(D24)</f>
        <v/>
      </c>
      <c r="F24" s="72" t="inlineStr">
        <is>
          <t>ddHiFi</t>
        </is>
      </c>
      <c r="G24" s="72" t="inlineStr">
        <is>
          <t>TC44 Pro E3</t>
        </is>
      </c>
      <c r="H24" s="76" t="n">
        <v>7.9</v>
      </c>
      <c r="I24" s="74" t="inlineStr">
        <is>
          <t>Reader</t>
        </is>
      </c>
      <c r="J24" s="74" t="inlineStr">
        <is>
          <t>Dual CS43198 dongle DAC, up to 510 mW</t>
        </is>
      </c>
      <c r="K24" s="75" t="inlineStr">
        <is>
          <t>https://headfonics.com/?s=ddHiFi+TC44+Pro+E3</t>
        </is>
      </c>
      <c r="L24" s="75" t="inlineStr">
        <is>
          <t>https://headfonics.com/category/portable-amps-dacs/</t>
        </is>
      </c>
      <c r="M24" s="72" t="inlineStr">
        <is>
          <t>Non</t>
        </is>
      </c>
    </row>
    <row r="25">
      <c r="A25" s="65" t="n">
        <v>21</v>
      </c>
      <c r="B25" s="65">
        <f>ROUNDUP(A25/20,0)</f>
        <v/>
      </c>
      <c r="C25" s="65">
        <f>MOD(A25-1,20)+1</f>
        <v/>
      </c>
      <c r="D25" s="84" t="n">
        <v>45931</v>
      </c>
      <c r="E25" s="65">
        <f>YEAR(D25)</f>
        <v/>
      </c>
      <c r="F25" s="67" t="inlineStr">
        <is>
          <t>xDuoo</t>
        </is>
      </c>
      <c r="G25" s="67" t="inlineStr">
        <is>
          <t>Link10</t>
        </is>
      </c>
      <c r="H25" s="76" t="n">
        <v>7.7</v>
      </c>
      <c r="I25" s="24" t="inlineStr">
        <is>
          <t>Reader</t>
        </is>
      </c>
      <c r="J25" s="24" t="inlineStr">
        <is>
          <t>Dual CS43131 USB DAC/amp, up to 300 mW</t>
        </is>
      </c>
      <c r="K25" s="69" t="inlineStr">
        <is>
          <t>https://headfonics.com/?s=xDuoo+Link10</t>
        </is>
      </c>
      <c r="L25" s="69" t="inlineStr">
        <is>
          <t>https://headfonics.com/category/portable-amps-dacs/page/2/</t>
        </is>
      </c>
      <c r="M25" s="67" t="inlineStr">
        <is>
          <t>Non</t>
        </is>
      </c>
    </row>
    <row r="26">
      <c r="A26" s="70" t="n">
        <v>22</v>
      </c>
      <c r="B26" s="70">
        <f>ROUNDUP(A26/20,0)</f>
        <v/>
      </c>
      <c r="C26" s="70">
        <f>MOD(A26-1,20)+1</f>
        <v/>
      </c>
      <c r="D26" s="85" t="n">
        <v>45927</v>
      </c>
      <c r="E26" s="70">
        <f>YEAR(D26)</f>
        <v/>
      </c>
      <c r="F26" s="72" t="inlineStr">
        <is>
          <t>FiiO</t>
        </is>
      </c>
      <c r="G26" s="72" t="inlineStr">
        <is>
          <t>JIEZI</t>
        </is>
      </c>
      <c r="H26" s="78" t="n">
        <v>7.4</v>
      </c>
      <c r="I26" s="74" t="inlineStr">
        <is>
          <t>Reader</t>
        </is>
      </c>
      <c r="J26" s="74" t="inlineStr">
        <is>
          <t>Affordable 4.4 mm dongle DAC with 10-band PEQ</t>
        </is>
      </c>
      <c r="K26" s="75" t="inlineStr">
        <is>
          <t>https://headfonics.com/?s=FiiO+JIEZI</t>
        </is>
      </c>
      <c r="L26" s="75" t="inlineStr">
        <is>
          <t>https://headfonics.com/category/portable-amps-dacs/page/2/</t>
        </is>
      </c>
      <c r="M26" s="72" t="inlineStr">
        <is>
          <t>Non</t>
        </is>
      </c>
    </row>
    <row r="27">
      <c r="A27" s="65" t="n">
        <v>23</v>
      </c>
      <c r="B27" s="65">
        <f>ROUNDUP(A27/20,0)</f>
        <v/>
      </c>
      <c r="C27" s="65">
        <f>MOD(A27-1,20)+1</f>
        <v/>
      </c>
      <c r="D27" s="84" t="n">
        <v>45913</v>
      </c>
      <c r="E27" s="65">
        <f>YEAR(D27)</f>
        <v/>
      </c>
      <c r="F27" s="67" t="inlineStr">
        <is>
          <t>FiiO</t>
        </is>
      </c>
      <c r="G27" s="67" t="inlineStr">
        <is>
          <t>SNOWSKY Melody</t>
        </is>
      </c>
      <c r="H27" s="76" t="n">
        <v>7.7</v>
      </c>
      <c r="I27" s="24" t="inlineStr">
        <is>
          <t>Reader</t>
        </is>
      </c>
      <c r="J27" s="24" t="inlineStr">
        <is>
          <t>Dual CS43131 wood-design dongle DAC, 250 mW</t>
        </is>
      </c>
      <c r="K27" s="69" t="inlineStr">
        <is>
          <t>https://headfonics.com/?s=FiiO+SNOWSKY+Melody</t>
        </is>
      </c>
      <c r="L27" s="69" t="inlineStr">
        <is>
          <t>https://headfonics.com/category/portable-amps-dacs/page/2/</t>
        </is>
      </c>
      <c r="M27" s="67" t="inlineStr">
        <is>
          <t>Non</t>
        </is>
      </c>
    </row>
    <row r="28">
      <c r="A28" s="70" t="n">
        <v>24</v>
      </c>
      <c r="B28" s="70">
        <f>ROUNDUP(A28/20,0)</f>
        <v/>
      </c>
      <c r="C28" s="70">
        <f>MOD(A28-1,20)+1</f>
        <v/>
      </c>
      <c r="D28" s="85" t="n">
        <v>45899</v>
      </c>
      <c r="E28" s="70">
        <f>YEAR(D28)</f>
        <v/>
      </c>
      <c r="F28" s="72" t="inlineStr">
        <is>
          <t>SMSL</t>
        </is>
      </c>
      <c r="G28" s="72" t="inlineStr">
        <is>
          <t>DS20</t>
        </is>
      </c>
      <c r="H28" s="73" t="n">
        <v>8.300000000000001</v>
      </c>
      <c r="I28" s="74" t="inlineStr">
        <is>
          <t>Reader</t>
        </is>
      </c>
      <c r="J28" s="74" t="inlineStr">
        <is>
          <t>Quad CS43131 portable DAC/amp, up to 500 mW</t>
        </is>
      </c>
      <c r="K28" s="75" t="inlineStr">
        <is>
          <t>https://headfonics.com/?s=SMSL+DS20</t>
        </is>
      </c>
      <c r="L28" s="75" t="inlineStr">
        <is>
          <t>https://headfonics.com/category/portable-amps-dacs/page/2/</t>
        </is>
      </c>
      <c r="M28" s="77" t="inlineStr">
        <is>
          <t>Oui</t>
        </is>
      </c>
    </row>
    <row r="29">
      <c r="A29" s="65" t="n">
        <v>25</v>
      </c>
      <c r="B29" s="65">
        <f>ROUNDUP(A29/20,0)</f>
        <v/>
      </c>
      <c r="C29" s="65">
        <f>MOD(A29-1,20)+1</f>
        <v/>
      </c>
      <c r="D29" s="84" t="n">
        <v>45892</v>
      </c>
      <c r="E29" s="65">
        <f>YEAR(D29)</f>
        <v/>
      </c>
      <c r="F29" s="67" t="inlineStr">
        <is>
          <t>FiiO</t>
        </is>
      </c>
      <c r="G29" s="67" t="inlineStr">
        <is>
          <t>QX13</t>
        </is>
      </c>
      <c r="H29" s="73" t="n">
        <v>8.5</v>
      </c>
      <c r="I29" s="24" t="inlineStr">
        <is>
          <t>Reader</t>
        </is>
      </c>
      <c r="J29" s="24" t="inlineStr">
        <is>
          <t>ES9027SPRO high-end dongle DAC with color display</t>
        </is>
      </c>
      <c r="K29" s="69" t="inlineStr">
        <is>
          <t>https://headfonics.com/?s=FiiO+QX13</t>
        </is>
      </c>
      <c r="L29" s="69" t="inlineStr">
        <is>
          <t>https://headfonics.com/category/portable-amps-dacs/page/2/</t>
        </is>
      </c>
      <c r="M29" s="77" t="inlineStr">
        <is>
          <t>Oui</t>
        </is>
      </c>
    </row>
    <row r="30">
      <c r="A30" s="70" t="n">
        <v>26</v>
      </c>
      <c r="B30" s="70">
        <f>ROUNDUP(A30/20,0)</f>
        <v/>
      </c>
      <c r="C30" s="70">
        <f>MOD(A30-1,20)+1</f>
        <v/>
      </c>
      <c r="D30" s="85" t="n">
        <v>45889</v>
      </c>
      <c r="E30" s="70">
        <f>YEAR(D30)</f>
        <v/>
      </c>
      <c r="F30" s="72" t="inlineStr">
        <is>
          <t>xDuoo</t>
        </is>
      </c>
      <c r="G30" s="72" t="inlineStr">
        <is>
          <t>XD05 Basic2</t>
        </is>
      </c>
      <c r="H30" s="73" t="n">
        <v>8.300000000000001</v>
      </c>
      <c r="I30" s="74" t="inlineStr">
        <is>
          <t>Reader</t>
        </is>
      </c>
      <c r="J30" s="74" t="inlineStr">
        <is>
          <t>CS43131 portable DAC/amp, 750 mW, swappable op-amps, wireless</t>
        </is>
      </c>
      <c r="K30" s="75" t="inlineStr">
        <is>
          <t>https://headfonics.com/?s=xDuoo+XD05+Basic2</t>
        </is>
      </c>
      <c r="L30" s="75" t="inlineStr">
        <is>
          <t>https://headfonics.com/category/portable-amps-dacs/page/2/</t>
        </is>
      </c>
      <c r="M30" s="72" t="inlineStr">
        <is>
          <t>Non</t>
        </is>
      </c>
    </row>
    <row r="31">
      <c r="A31" s="65" t="n">
        <v>27</v>
      </c>
      <c r="B31" s="65">
        <f>ROUNDUP(A31/20,0)</f>
        <v/>
      </c>
      <c r="C31" s="65">
        <f>MOD(A31-1,20)+1</f>
        <v/>
      </c>
      <c r="D31" s="84" t="n">
        <v>45864</v>
      </c>
      <c r="E31" s="65">
        <f>YEAR(D31)</f>
        <v/>
      </c>
      <c r="F31" s="67" t="inlineStr">
        <is>
          <t>iBasso</t>
        </is>
      </c>
      <c r="G31" s="67" t="inlineStr">
        <is>
          <t>Nunchaku</t>
        </is>
      </c>
      <c r="H31" s="73" t="n">
        <v>8.6</v>
      </c>
      <c r="I31" s="24" t="inlineStr">
        <is>
          <t>Reader</t>
        </is>
      </c>
      <c r="J31" s="24" t="inlineStr">
        <is>
          <t>Portable DAC/amp; Headfonics category entry added after older cache snapshots</t>
        </is>
      </c>
      <c r="K31" s="69" t="inlineStr">
        <is>
          <t>https://headfonics.com/?s=iBasso+Nunchaku</t>
        </is>
      </c>
      <c r="L31" s="69" t="inlineStr">
        <is>
          <t>https://headfonics.com/category/portable-amps-dacs/page/2/</t>
        </is>
      </c>
      <c r="M31" s="67" t="inlineStr">
        <is>
          <t>Non</t>
        </is>
      </c>
    </row>
    <row r="32">
      <c r="A32" s="70" t="n">
        <v>28</v>
      </c>
      <c r="B32" s="70">
        <f>ROUNDUP(A32/20,0)</f>
        <v/>
      </c>
      <c r="C32" s="70">
        <f>MOD(A32-1,20)+1</f>
        <v/>
      </c>
      <c r="D32" s="85" t="n">
        <v>45859</v>
      </c>
      <c r="E32" s="70">
        <f>YEAR(D32)</f>
        <v/>
      </c>
      <c r="F32" s="72" t="inlineStr">
        <is>
          <t>NiPO</t>
        </is>
      </c>
      <c r="G32" s="72" t="inlineStr">
        <is>
          <t>A100</t>
        </is>
      </c>
      <c r="H32" s="73" t="n">
        <v>8</v>
      </c>
      <c r="I32" s="74" t="inlineStr">
        <is>
          <t>Reader</t>
        </is>
      </c>
      <c r="J32" s="74" t="inlineStr">
        <is>
          <t>ES9039Q2M portable DAC/amp, up to 550 mW</t>
        </is>
      </c>
      <c r="K32" s="75" t="inlineStr">
        <is>
          <t>https://headfonics.com/?s=NiPO+A100</t>
        </is>
      </c>
      <c r="L32" s="75" t="inlineStr">
        <is>
          <t>https://headfonics.com/category/portable-amps-dacs/page/2/</t>
        </is>
      </c>
      <c r="M32" s="72" t="inlineStr">
        <is>
          <t>Non</t>
        </is>
      </c>
    </row>
    <row r="33">
      <c r="A33" s="65" t="n">
        <v>29</v>
      </c>
      <c r="B33" s="65">
        <f>ROUNDUP(A33/20,0)</f>
        <v/>
      </c>
      <c r="C33" s="65">
        <f>MOD(A33-1,20)+1</f>
        <v/>
      </c>
      <c r="D33" s="84" t="n">
        <v>45852</v>
      </c>
      <c r="E33" s="65">
        <f>YEAR(D33)</f>
        <v/>
      </c>
      <c r="F33" s="67" t="inlineStr">
        <is>
          <t>ddHiFi</t>
        </is>
      </c>
      <c r="G33" s="67" t="inlineStr">
        <is>
          <t>TC44Pro M3</t>
        </is>
      </c>
      <c r="H33" s="73" t="n">
        <v>8</v>
      </c>
      <c r="I33" s="24" t="inlineStr">
        <is>
          <t>Reader</t>
        </is>
      </c>
      <c r="J33" s="24" t="inlineStr">
        <is>
          <t>Dual CS43198 dongle DAC, up to 120 mW balanced</t>
        </is>
      </c>
      <c r="K33" s="69" t="inlineStr">
        <is>
          <t>https://headfonics.com/?s=ddHiFi+TC44Pro+M3</t>
        </is>
      </c>
      <c r="L33" s="69" t="inlineStr">
        <is>
          <t>https://headfonics.com/category/portable-amps-dacs/page/2/</t>
        </is>
      </c>
      <c r="M33" s="67" t="inlineStr">
        <is>
          <t>Non</t>
        </is>
      </c>
    </row>
    <row r="34">
      <c r="A34" s="70" t="n">
        <v>30</v>
      </c>
      <c r="B34" s="70">
        <f>ROUNDUP(A34/20,0)</f>
        <v/>
      </c>
      <c r="C34" s="70">
        <f>MOD(A34-1,20)+1</f>
        <v/>
      </c>
      <c r="D34" s="85" t="n">
        <v>45850</v>
      </c>
      <c r="E34" s="70">
        <f>YEAR(D34)</f>
        <v/>
      </c>
      <c r="F34" s="72" t="inlineStr">
        <is>
          <t>Cayin</t>
        </is>
      </c>
      <c r="G34" s="72" t="inlineStr">
        <is>
          <t>RU9</t>
        </is>
      </c>
      <c r="H34" s="73" t="n">
        <v>8.6</v>
      </c>
      <c r="I34" s="74" t="inlineStr">
        <is>
          <t>Reader</t>
        </is>
      </c>
      <c r="J34" s="74" t="inlineStr">
        <is>
          <t>Tube/solid-state USB DAC/amp, up to 1 W</t>
        </is>
      </c>
      <c r="K34" s="75" t="inlineStr">
        <is>
          <t>https://headfonics.com/?s=Cayin+RU9</t>
        </is>
      </c>
      <c r="L34" s="75" t="inlineStr">
        <is>
          <t>https://headfonics.com/category/portable-amps-dacs/page/2/</t>
        </is>
      </c>
      <c r="M34" s="72" t="inlineStr">
        <is>
          <t>Non</t>
        </is>
      </c>
    </row>
    <row r="35">
      <c r="A35" s="65" t="n">
        <v>31</v>
      </c>
      <c r="B35" s="65">
        <f>ROUNDUP(A35/20,0)</f>
        <v/>
      </c>
      <c r="C35" s="65">
        <f>MOD(A35-1,20)+1</f>
        <v/>
      </c>
      <c r="D35" s="84" t="n">
        <v>45847</v>
      </c>
      <c r="E35" s="65">
        <f>YEAR(D35)</f>
        <v/>
      </c>
      <c r="F35" s="67" t="inlineStr">
        <is>
          <t>Shanling</t>
        </is>
      </c>
      <c r="G35" s="67" t="inlineStr">
        <is>
          <t>UP6</t>
        </is>
      </c>
      <c r="H35" s="73" t="n">
        <v>8.4</v>
      </c>
      <c r="I35" s="24" t="inlineStr">
        <is>
          <t>Reader</t>
        </is>
      </c>
      <c r="J35" s="24" t="inlineStr">
        <is>
          <t>Dual ES9069Q Bluetooth DAC/amp with LDAC/aptX</t>
        </is>
      </c>
      <c r="K35" s="69" t="inlineStr">
        <is>
          <t>https://headfonics.com/?s=Shanling+UP6</t>
        </is>
      </c>
      <c r="L35" s="69" t="inlineStr">
        <is>
          <t>https://headfonics.com/category/portable-amps-dacs/page/2/</t>
        </is>
      </c>
      <c r="M35" s="67" t="inlineStr">
        <is>
          <t>Non</t>
        </is>
      </c>
    </row>
    <row r="36">
      <c r="A36" s="70" t="n">
        <v>32</v>
      </c>
      <c r="B36" s="70">
        <f>ROUNDUP(A36/20,0)</f>
        <v/>
      </c>
      <c r="C36" s="70">
        <f>MOD(A36-1,20)+1</f>
        <v/>
      </c>
      <c r="D36" s="85" t="n">
        <v>45800</v>
      </c>
      <c r="E36" s="70">
        <f>YEAR(D36)</f>
        <v/>
      </c>
      <c r="F36" s="72" t="inlineStr">
        <is>
          <t>MUSE HiFi</t>
        </is>
      </c>
      <c r="G36" s="72" t="inlineStr">
        <is>
          <t>M5 Ultra</t>
        </is>
      </c>
      <c r="H36" s="73" t="n">
        <v>8.1</v>
      </c>
      <c r="I36" s="74" t="inlineStr">
        <is>
          <t>Reader</t>
        </is>
      </c>
      <c r="J36" s="74" t="inlineStr">
        <is>
          <t>Bluetooth ES9038Q2M tube/solid-state portable DAC/amp</t>
        </is>
      </c>
      <c r="K36" s="75" t="inlineStr">
        <is>
          <t>https://headfonics.com/?s=MUSE+HiFi+M5+Ultra</t>
        </is>
      </c>
      <c r="L36" s="75" t="inlineStr">
        <is>
          <t>https://headfonics.com/category/portable-amps-dacs/page/2/</t>
        </is>
      </c>
      <c r="M36" s="77" t="inlineStr">
        <is>
          <t>Oui</t>
        </is>
      </c>
    </row>
    <row r="37">
      <c r="A37" s="65" t="n">
        <v>33</v>
      </c>
      <c r="B37" s="65">
        <f>ROUNDUP(A37/20,0)</f>
        <v/>
      </c>
      <c r="C37" s="65">
        <f>MOD(A37-1,20)+1</f>
        <v/>
      </c>
      <c r="D37" s="84" t="n">
        <v>45798</v>
      </c>
      <c r="E37" s="65">
        <f>YEAR(D37)</f>
        <v/>
      </c>
      <c r="F37" s="67" t="inlineStr">
        <is>
          <t>Questyle</t>
        </is>
      </c>
      <c r="G37" s="67" t="inlineStr">
        <is>
          <t>M18i</t>
        </is>
      </c>
      <c r="H37" s="73" t="n">
        <v>8.300000000000001</v>
      </c>
      <c r="I37" s="24" t="inlineStr">
        <is>
          <t>Reader</t>
        </is>
      </c>
      <c r="J37" s="24" t="inlineStr">
        <is>
          <t>ES9219Q wireless dongle DAC with Current Mode amplification</t>
        </is>
      </c>
      <c r="K37" s="69" t="inlineStr">
        <is>
          <t>https://headfonics.com/?s=Questyle+M18i</t>
        </is>
      </c>
      <c r="L37" s="69" t="inlineStr">
        <is>
          <t>https://headfonics.com/category/portable-amps-dacs/page/2/</t>
        </is>
      </c>
      <c r="M37" s="67" t="inlineStr">
        <is>
          <t>Non</t>
        </is>
      </c>
    </row>
    <row r="38">
      <c r="A38" s="70" t="n">
        <v>34</v>
      </c>
      <c r="B38" s="70">
        <f>ROUNDUP(A38/20,0)</f>
        <v/>
      </c>
      <c r="C38" s="70">
        <f>MOD(A38-1,20)+1</f>
        <v/>
      </c>
      <c r="D38" s="85" t="n">
        <v>45787</v>
      </c>
      <c r="E38" s="70">
        <f>YEAR(D38)</f>
        <v/>
      </c>
      <c r="F38" s="72" t="inlineStr">
        <is>
          <t>FiiO</t>
        </is>
      </c>
      <c r="G38" s="72" t="inlineStr">
        <is>
          <t>RR11</t>
        </is>
      </c>
      <c r="H38" s="76" t="n">
        <v>7.7</v>
      </c>
      <c r="I38" s="74" t="inlineStr">
        <is>
          <t>Reader</t>
        </is>
      </c>
      <c r="J38" s="74" t="inlineStr">
        <is>
          <t>Portable FM radio with dongle functionality</t>
        </is>
      </c>
      <c r="K38" s="75" t="inlineStr">
        <is>
          <t>https://headfonics.com/?s=FiiO+RR11</t>
        </is>
      </c>
      <c r="L38" s="75" t="inlineStr">
        <is>
          <t>https://headfonics.com/category/portable-amps-dacs/page/2/</t>
        </is>
      </c>
      <c r="M38" s="72" t="inlineStr">
        <is>
          <t>Non</t>
        </is>
      </c>
    </row>
    <row r="39">
      <c r="A39" s="65" t="n">
        <v>35</v>
      </c>
      <c r="B39" s="65">
        <f>ROUNDUP(A39/20,0)</f>
        <v/>
      </c>
      <c r="C39" s="65">
        <f>MOD(A39-1,20)+1</f>
        <v/>
      </c>
      <c r="D39" s="84" t="n">
        <v>45770</v>
      </c>
      <c r="E39" s="65">
        <f>YEAR(D39)</f>
        <v/>
      </c>
      <c r="F39" s="67" t="inlineStr">
        <is>
          <t>EarMen</t>
        </is>
      </c>
      <c r="G39" s="67" t="inlineStr">
        <is>
          <t>L-Amp</t>
        </is>
      </c>
      <c r="H39" s="73" t="n">
        <v>8.6</v>
      </c>
      <c r="I39" s="24" t="inlineStr">
        <is>
          <t>Reader</t>
        </is>
      </c>
      <c r="J39" s="24" t="inlineStr">
        <is>
          <t>Dual JAN6418 NOS tube portable headphone amplifier/DAC</t>
        </is>
      </c>
      <c r="K39" s="69" t="inlineStr">
        <is>
          <t>https://headfonics.com/?s=EarMen+L-Amp</t>
        </is>
      </c>
      <c r="L39" s="69" t="inlineStr">
        <is>
          <t>https://headfonics.com/category/portable-amps-dacs/page/2/</t>
        </is>
      </c>
      <c r="M39" s="67" t="inlineStr">
        <is>
          <t>Non</t>
        </is>
      </c>
    </row>
    <row r="40">
      <c r="A40" s="70" t="n">
        <v>36</v>
      </c>
      <c r="B40" s="70">
        <f>ROUNDUP(A40/20,0)</f>
        <v/>
      </c>
      <c r="C40" s="70">
        <f>MOD(A40-1,20)+1</f>
        <v/>
      </c>
      <c r="D40" s="85" t="n">
        <v>45745</v>
      </c>
      <c r="E40" s="70">
        <f>YEAR(D40)</f>
        <v/>
      </c>
      <c r="F40" s="72" t="inlineStr">
        <is>
          <t>FiiO</t>
        </is>
      </c>
      <c r="G40" s="72" t="inlineStr">
        <is>
          <t>SNOWSKY RETRO NANO</t>
        </is>
      </c>
      <c r="H40" s="73" t="n">
        <v>8.1</v>
      </c>
      <c r="I40" s="74" t="inlineStr">
        <is>
          <t>Reader</t>
        </is>
      </c>
      <c r="J40" s="74" t="inlineStr">
        <is>
          <t>Self-powered Bluetooth dongle DAC, up to 220 mW</t>
        </is>
      </c>
      <c r="K40" s="75" t="inlineStr">
        <is>
          <t>https://headfonics.com/?s=FiiO+SNOWSKY+RETRO+NANO</t>
        </is>
      </c>
      <c r="L40" s="75" t="inlineStr">
        <is>
          <t>https://headfonics.com/category/portable-amps-dacs/page/2/</t>
        </is>
      </c>
      <c r="M40" s="72" t="inlineStr">
        <is>
          <t>Non</t>
        </is>
      </c>
    </row>
    <row r="41">
      <c r="A41" s="65" t="n">
        <v>37</v>
      </c>
      <c r="B41" s="65">
        <f>ROUNDUP(A41/20,0)</f>
        <v/>
      </c>
      <c r="C41" s="65">
        <f>MOD(A41-1,20)+1</f>
        <v/>
      </c>
      <c r="D41" s="84" t="n">
        <v>45735</v>
      </c>
      <c r="E41" s="65">
        <f>YEAR(D41)</f>
        <v/>
      </c>
      <c r="F41" s="67" t="inlineStr">
        <is>
          <t>Cayin</t>
        </is>
      </c>
      <c r="G41" s="67" t="inlineStr">
        <is>
          <t>C9ii</t>
        </is>
      </c>
      <c r="H41" s="68" t="n">
        <v>9.1</v>
      </c>
      <c r="I41" s="24" t="inlineStr">
        <is>
          <t>Reader</t>
        </is>
      </c>
      <c r="J41" s="24" t="inlineStr">
        <is>
          <t>Solid-state / Gen 5 Nutube portable headphone amplifier</t>
        </is>
      </c>
      <c r="K41" s="69" t="inlineStr">
        <is>
          <t>https://headfonics.com/?s=Cayin+C9ii</t>
        </is>
      </c>
      <c r="L41" s="69" t="inlineStr">
        <is>
          <t>https://headfonics.com/category/portable-amps-dacs/page/2/</t>
        </is>
      </c>
      <c r="M41" s="67" t="inlineStr">
        <is>
          <t>Non</t>
        </is>
      </c>
    </row>
    <row r="42">
      <c r="A42" s="70" t="n">
        <v>38</v>
      </c>
      <c r="B42" s="70">
        <f>ROUNDUP(A42/20,0)</f>
        <v/>
      </c>
      <c r="C42" s="70">
        <f>MOD(A42-1,20)+1</f>
        <v/>
      </c>
      <c r="D42" s="85" t="n">
        <v>45691</v>
      </c>
      <c r="E42" s="70">
        <f>YEAR(D42)</f>
        <v/>
      </c>
      <c r="F42" s="72" t="inlineStr">
        <is>
          <t>ddHiFi</t>
        </is>
      </c>
      <c r="G42" s="72" t="inlineStr">
        <is>
          <t>TC35M2</t>
        </is>
      </c>
      <c r="H42" s="76" t="n">
        <v>7.9</v>
      </c>
      <c r="I42" s="74" t="inlineStr">
        <is>
          <t>Reader</t>
        </is>
      </c>
      <c r="J42" s="74" t="inlineStr">
        <is>
          <t>Tiny 384 kHz USB-C DAC to 3.5 mm converter</t>
        </is>
      </c>
      <c r="K42" s="75" t="inlineStr">
        <is>
          <t>https://headfonics.com/?s=ddHiFi+TC35M2</t>
        </is>
      </c>
      <c r="L42" s="75" t="inlineStr">
        <is>
          <t>https://headfonics.com/category/portable-amps-dacs/page/2/</t>
        </is>
      </c>
      <c r="M42" s="72" t="inlineStr">
        <is>
          <t>Non</t>
        </is>
      </c>
    </row>
    <row r="43">
      <c r="A43" s="65" t="n">
        <v>39</v>
      </c>
      <c r="B43" s="65">
        <f>ROUNDUP(A43/20,0)</f>
        <v/>
      </c>
      <c r="C43" s="65">
        <f>MOD(A43-1,20)+1</f>
        <v/>
      </c>
      <c r="D43" s="84" t="n">
        <v>45672</v>
      </c>
      <c r="E43" s="65">
        <f>YEAR(D43)</f>
        <v/>
      </c>
      <c r="F43" s="67" t="inlineStr">
        <is>
          <t>iFi audio</t>
        </is>
      </c>
      <c r="G43" s="67" t="inlineStr">
        <is>
          <t>GO link Max</t>
        </is>
      </c>
      <c r="H43" s="76" t="n">
        <v>7.8</v>
      </c>
      <c r="I43" s="24" t="inlineStr">
        <is>
          <t>Reader</t>
        </is>
      </c>
      <c r="J43" s="24" t="inlineStr">
        <is>
          <t>Compact DSD256-capable dongle DAC</t>
        </is>
      </c>
      <c r="K43" s="69" t="inlineStr">
        <is>
          <t>https://headfonics.com/?s=iFi+audio+GO+link+Max</t>
        </is>
      </c>
      <c r="L43" s="69" t="inlineStr">
        <is>
          <t>https://headfonics.com/category/portable-amps-dacs/page/2/</t>
        </is>
      </c>
      <c r="M43" s="67" t="inlineStr">
        <is>
          <t>Non</t>
        </is>
      </c>
    </row>
    <row r="44">
      <c r="A44" s="70" t="n">
        <v>40</v>
      </c>
      <c r="B44" s="70">
        <f>ROUNDUP(A44/20,0)</f>
        <v/>
      </c>
      <c r="C44" s="70">
        <f>MOD(A44-1,20)+1</f>
        <v/>
      </c>
      <c r="D44" s="85" t="n">
        <v>45665</v>
      </c>
      <c r="E44" s="70">
        <f>YEAR(D44)</f>
        <v/>
      </c>
      <c r="F44" s="72" t="inlineStr">
        <is>
          <t>Heartfield</t>
        </is>
      </c>
      <c r="G44" s="72" t="inlineStr">
        <is>
          <t>R1</t>
        </is>
      </c>
      <c r="H44" s="76" t="n">
        <v>7.7</v>
      </c>
      <c r="I44" s="74" t="inlineStr">
        <is>
          <t>Reader</t>
        </is>
      </c>
      <c r="J44" s="74" t="inlineStr">
        <is>
          <t>64-resistor R2R balanced dongle DAC</t>
        </is>
      </c>
      <c r="K44" s="75" t="inlineStr">
        <is>
          <t>https://headfonics.com/?s=Heartfield+R1</t>
        </is>
      </c>
      <c r="L44" s="75" t="inlineStr">
        <is>
          <t>https://headfonics.com/category/portable-amps-dacs/page/2/</t>
        </is>
      </c>
      <c r="M44" s="72" t="inlineStr">
        <is>
          <t>Non</t>
        </is>
      </c>
    </row>
    <row r="45">
      <c r="A45" s="65" t="n">
        <v>41</v>
      </c>
      <c r="B45" s="65">
        <f>ROUNDUP(A45/20,0)</f>
        <v/>
      </c>
      <c r="C45" s="65">
        <f>MOD(A45-1,20)+1</f>
        <v/>
      </c>
      <c r="D45" s="84" t="n">
        <v>45663</v>
      </c>
      <c r="E45" s="65">
        <f>YEAR(D45)</f>
        <v/>
      </c>
      <c r="F45" s="67" t="inlineStr">
        <is>
          <t>Questyle</t>
        </is>
      </c>
      <c r="G45" s="67" t="inlineStr">
        <is>
          <t>M15C</t>
        </is>
      </c>
      <c r="H45" s="73" t="n">
        <v>8</v>
      </c>
      <c r="I45" s="24" t="inlineStr">
        <is>
          <t>Reader</t>
        </is>
      </c>
      <c r="J45" s="24" t="inlineStr">
        <is>
          <t>Balanced dongle DAC; updated M15 family</t>
        </is>
      </c>
      <c r="K45" s="69" t="inlineStr">
        <is>
          <t>https://headfonics.com/?s=Questyle+M15C</t>
        </is>
      </c>
      <c r="L45" s="69" t="inlineStr">
        <is>
          <t>https://headfonics.com/category/portable-amps-dacs/page/3/</t>
        </is>
      </c>
      <c r="M45" s="77" t="inlineStr">
        <is>
          <t>Oui</t>
        </is>
      </c>
    </row>
    <row r="46">
      <c r="A46" s="70" t="n">
        <v>42</v>
      </c>
      <c r="B46" s="70">
        <f>ROUNDUP(A46/20,0)</f>
        <v/>
      </c>
      <c r="C46" s="70">
        <f>MOD(A46-1,20)+1</f>
        <v/>
      </c>
      <c r="D46" s="85" t="n">
        <v>45647</v>
      </c>
      <c r="E46" s="70">
        <f>YEAR(D46)</f>
        <v/>
      </c>
      <c r="F46" s="72" t="inlineStr">
        <is>
          <t>iBasso</t>
        </is>
      </c>
      <c r="G46" s="72" t="inlineStr">
        <is>
          <t>PB5 Osprey</t>
        </is>
      </c>
      <c r="H46" s="68" t="n">
        <v>9</v>
      </c>
      <c r="I46" s="74" t="inlineStr">
        <is>
          <t>Reader</t>
        </is>
      </c>
      <c r="J46" s="74" t="inlineStr">
        <is>
          <t>Dual Nutube 6P1 portable headphone amplifier, up to 1.7 W</t>
        </is>
      </c>
      <c r="K46" s="75" t="inlineStr">
        <is>
          <t>https://headfonics.com/?s=iBasso+PB5+Osprey</t>
        </is>
      </c>
      <c r="L46" s="75" t="inlineStr">
        <is>
          <t>https://headfonics.com/category/portable-amps-dacs/page/3/</t>
        </is>
      </c>
      <c r="M46" s="72" t="inlineStr">
        <is>
          <t>Non</t>
        </is>
      </c>
    </row>
    <row r="47">
      <c r="A47" s="65" t="n">
        <v>43</v>
      </c>
      <c r="B47" s="65">
        <f>ROUNDUP(A47/20,0)</f>
        <v/>
      </c>
      <c r="C47" s="65">
        <f>MOD(A47-1,20)+1</f>
        <v/>
      </c>
      <c r="D47" s="84" t="n">
        <v>45619</v>
      </c>
      <c r="E47" s="65">
        <f>YEAR(D47)</f>
        <v/>
      </c>
      <c r="F47" s="67" t="inlineStr">
        <is>
          <t>FiiO</t>
        </is>
      </c>
      <c r="G47" s="67" t="inlineStr">
        <is>
          <t>KA15</t>
        </is>
      </c>
      <c r="H47" s="73" t="n">
        <v>8.1</v>
      </c>
      <c r="I47" s="24" t="inlineStr">
        <is>
          <t>Reader</t>
        </is>
      </c>
      <c r="J47" s="24" t="inlineStr">
        <is>
          <t>Dual CS43198 dongle DAC, up to 500 mW</t>
        </is>
      </c>
      <c r="K47" s="69" t="inlineStr">
        <is>
          <t>https://headfonics.com/?s=FiiO+KA15</t>
        </is>
      </c>
      <c r="L47" s="69" t="inlineStr">
        <is>
          <t>https://headfonics.com/category/portable-amps-dacs/page/3/</t>
        </is>
      </c>
      <c r="M47" s="67" t="inlineStr">
        <is>
          <t>Non</t>
        </is>
      </c>
    </row>
    <row r="48">
      <c r="A48" s="70" t="n">
        <v>44</v>
      </c>
      <c r="B48" s="70">
        <f>ROUNDUP(A48/20,0)</f>
        <v/>
      </c>
      <c r="C48" s="70">
        <f>MOD(A48-1,20)+1</f>
        <v/>
      </c>
      <c r="D48" s="85" t="n">
        <v>45609</v>
      </c>
      <c r="E48" s="70">
        <f>YEAR(D48)</f>
        <v/>
      </c>
      <c r="F48" s="72" t="inlineStr">
        <is>
          <t>TempoTec</t>
        </is>
      </c>
      <c r="G48" s="72" t="inlineStr">
        <is>
          <t>Sonata BHD Pro</t>
        </is>
      </c>
      <c r="H48" s="78" t="n">
        <v>7</v>
      </c>
      <c r="I48" s="74" t="inlineStr">
        <is>
          <t>Reader</t>
        </is>
      </c>
      <c r="J48" s="74" t="inlineStr">
        <is>
          <t>Dual CS43131 dongle DAC, up to 280 mW</t>
        </is>
      </c>
      <c r="K48" s="75" t="inlineStr">
        <is>
          <t>https://headfonics.com/?s=TempoTec+Sonata+BHD+Pro</t>
        </is>
      </c>
      <c r="L48" s="75" t="inlineStr">
        <is>
          <t>https://headfonics.com/category/portable-amps-dacs/page/3/</t>
        </is>
      </c>
      <c r="M48" s="72" t="inlineStr">
        <is>
          <t>Non</t>
        </is>
      </c>
    </row>
    <row r="49">
      <c r="A49" s="65" t="n">
        <v>45</v>
      </c>
      <c r="B49" s="65">
        <f>ROUNDUP(A49/20,0)</f>
        <v/>
      </c>
      <c r="C49" s="65">
        <f>MOD(A49-1,20)+1</f>
        <v/>
      </c>
      <c r="D49" s="84" t="n">
        <v>45593</v>
      </c>
      <c r="E49" s="65">
        <f>YEAR(D49)</f>
        <v/>
      </c>
      <c r="F49" s="67" t="inlineStr">
        <is>
          <t>ONIX</t>
        </is>
      </c>
      <c r="G49" s="67" t="inlineStr">
        <is>
          <t>Alpha XI1</t>
        </is>
      </c>
      <c r="H49" s="76" t="n">
        <v>7.9</v>
      </c>
      <c r="I49" s="24" t="inlineStr">
        <is>
          <t>Reader</t>
        </is>
      </c>
      <c r="J49" s="24" t="inlineStr">
        <is>
          <t>Dual CS43198 dongle DAC, up to 500 mW</t>
        </is>
      </c>
      <c r="K49" s="69" t="inlineStr">
        <is>
          <t>https://headfonics.com/?s=ONIX+Alpha+XI1</t>
        </is>
      </c>
      <c r="L49" s="69" t="inlineStr">
        <is>
          <t>https://headfonics.com/category/portable-amps-dacs/page/3/</t>
        </is>
      </c>
      <c r="M49" s="77" t="inlineStr">
        <is>
          <t>Oui</t>
        </is>
      </c>
    </row>
    <row r="50">
      <c r="A50" s="70" t="n">
        <v>46</v>
      </c>
      <c r="B50" s="70">
        <f>ROUNDUP(A50/20,0)</f>
        <v/>
      </c>
      <c r="C50" s="70">
        <f>MOD(A50-1,20)+1</f>
        <v/>
      </c>
      <c r="D50" s="85" t="n">
        <v>45591</v>
      </c>
      <c r="E50" s="70">
        <f>YEAR(D50)</f>
        <v/>
      </c>
      <c r="F50" s="72" t="inlineStr">
        <is>
          <t>iBasso</t>
        </is>
      </c>
      <c r="G50" s="72" t="inlineStr">
        <is>
          <t>D16 Taipan</t>
        </is>
      </c>
      <c r="H50" s="68" t="n">
        <v>8.699999999999999</v>
      </c>
      <c r="I50" s="74" t="inlineStr">
        <is>
          <t>Reader</t>
        </is>
      </c>
      <c r="J50" s="74" t="inlineStr">
        <is>
          <t>Discrete 1-bit DAC + Super Class A amp, up to 1.125 W</t>
        </is>
      </c>
      <c r="K50" s="75" t="inlineStr">
        <is>
          <t>https://headfonics.com/?s=iBasso+D16+Taipan</t>
        </is>
      </c>
      <c r="L50" s="75" t="inlineStr">
        <is>
          <t>https://headfonics.com/category/portable-amps-dacs/page/3/</t>
        </is>
      </c>
      <c r="M50" s="72" t="inlineStr">
        <is>
          <t>Non</t>
        </is>
      </c>
    </row>
    <row r="51">
      <c r="A51" s="65" t="n">
        <v>47</v>
      </c>
      <c r="B51" s="65">
        <f>ROUNDUP(A51/20,0)</f>
        <v/>
      </c>
      <c r="C51" s="65">
        <f>MOD(A51-1,20)+1</f>
        <v/>
      </c>
      <c r="D51" s="84" t="n">
        <v>45567</v>
      </c>
      <c r="E51" s="65">
        <f>YEAR(D51)</f>
        <v/>
      </c>
      <c r="F51" s="67" t="inlineStr">
        <is>
          <t>7Hz</t>
        </is>
      </c>
      <c r="G51" s="67" t="inlineStr">
        <is>
          <t>Artemis39</t>
        </is>
      </c>
      <c r="H51" s="73" t="n">
        <v>8</v>
      </c>
      <c r="I51" s="24" t="inlineStr">
        <is>
          <t>Reader</t>
        </is>
      </c>
      <c r="J51" s="24" t="inlineStr">
        <is>
          <t>Wireless ES9039Q2M dongle DAC, LDAC, up to 405 mW</t>
        </is>
      </c>
      <c r="K51" s="69" t="inlineStr">
        <is>
          <t>https://headfonics.com/?s=7Hz+Artemis39</t>
        </is>
      </c>
      <c r="L51" s="69" t="inlineStr">
        <is>
          <t>https://headfonics.com/category/portable-amps-dacs/page/3/</t>
        </is>
      </c>
      <c r="M51" s="67" t="inlineStr">
        <is>
          <t>Non</t>
        </is>
      </c>
    </row>
    <row r="52">
      <c r="A52" s="70" t="n">
        <v>48</v>
      </c>
      <c r="B52" s="70">
        <f>ROUNDUP(A52/20,0)</f>
        <v/>
      </c>
      <c r="C52" s="70">
        <f>MOD(A52-1,20)+1</f>
        <v/>
      </c>
      <c r="D52" s="85" t="n">
        <v>45555</v>
      </c>
      <c r="E52" s="70">
        <f>YEAR(D52)</f>
        <v/>
      </c>
      <c r="F52" s="72" t="inlineStr">
        <is>
          <t>SMSL</t>
        </is>
      </c>
      <c r="G52" s="72" t="inlineStr">
        <is>
          <t>D10</t>
        </is>
      </c>
      <c r="H52" s="73" t="n">
        <v>8.1</v>
      </c>
      <c r="I52" s="74" t="inlineStr">
        <is>
          <t>Reader</t>
        </is>
      </c>
      <c r="J52" s="74" t="inlineStr">
        <is>
          <t>Dual CS43131 balanced dongle DAC, up to 500 mW</t>
        </is>
      </c>
      <c r="K52" s="75" t="inlineStr">
        <is>
          <t>https://headfonics.com/?s=SMSL+D10</t>
        </is>
      </c>
      <c r="L52" s="75" t="inlineStr">
        <is>
          <t>https://headfonics.com/category/portable-amps-dacs/page/3/</t>
        </is>
      </c>
      <c r="M52" s="72" t="inlineStr">
        <is>
          <t>Non</t>
        </is>
      </c>
    </row>
    <row r="53">
      <c r="A53" s="65" t="n">
        <v>49</v>
      </c>
      <c r="B53" s="65">
        <f>ROUNDUP(A53/20,0)</f>
        <v/>
      </c>
      <c r="C53" s="65">
        <f>MOD(A53-1,20)+1</f>
        <v/>
      </c>
      <c r="D53" s="84" t="n">
        <v>45513</v>
      </c>
      <c r="E53" s="65">
        <f>YEAR(D53)</f>
        <v/>
      </c>
      <c r="F53" s="67" t="inlineStr">
        <is>
          <t>FiiO</t>
        </is>
      </c>
      <c r="G53" s="67" t="inlineStr">
        <is>
          <t>JA11</t>
        </is>
      </c>
      <c r="H53" s="76" t="n">
        <v>7.5</v>
      </c>
      <c r="I53" s="24" t="inlineStr">
        <is>
          <t>Reader</t>
        </is>
      </c>
      <c r="J53" s="24" t="inlineStr">
        <is>
          <t>Portable dongle DAC/amp</t>
        </is>
      </c>
      <c r="K53" s="69" t="inlineStr">
        <is>
          <t>https://headfonics.com/?s=FiiO+JA11</t>
        </is>
      </c>
      <c r="L53" s="69" t="inlineStr">
        <is>
          <t>https://headfonics.com/category/portable-amps-dacs/page/3/</t>
        </is>
      </c>
      <c r="M53" s="67" t="inlineStr">
        <is>
          <t>Non</t>
        </is>
      </c>
    </row>
    <row r="54">
      <c r="A54" s="70" t="n">
        <v>50</v>
      </c>
      <c r="B54" s="70">
        <f>ROUNDUP(A54/20,0)</f>
        <v/>
      </c>
      <c r="C54" s="70">
        <f>MOD(A54-1,20)+1</f>
        <v/>
      </c>
      <c r="D54" s="85" t="n">
        <v>45509</v>
      </c>
      <c r="E54" s="70">
        <f>YEAR(D54)</f>
        <v/>
      </c>
      <c r="F54" s="72" t="inlineStr">
        <is>
          <t>Shanling</t>
        </is>
      </c>
      <c r="G54" s="72" t="inlineStr">
        <is>
          <t>H2</t>
        </is>
      </c>
      <c r="H54" s="73" t="n">
        <v>8.1</v>
      </c>
      <c r="I54" s="74" t="inlineStr">
        <is>
          <t>Reader</t>
        </is>
      </c>
      <c r="J54" s="74" t="inlineStr">
        <is>
          <t>CS43198 portable DAC/headphone amp</t>
        </is>
      </c>
      <c r="K54" s="75" t="inlineStr">
        <is>
          <t>https://headfonics.com/?s=Shanling+H2</t>
        </is>
      </c>
      <c r="L54" s="75" t="inlineStr">
        <is>
          <t>https://headfonics.com/category/portable-amps-dacs/page/3/</t>
        </is>
      </c>
      <c r="M54" s="72" t="inlineStr">
        <is>
          <t>Non</t>
        </is>
      </c>
    </row>
    <row r="55">
      <c r="A55" s="65" t="n">
        <v>51</v>
      </c>
      <c r="B55" s="65">
        <f>ROUNDUP(A55/20,0)</f>
        <v/>
      </c>
      <c r="C55" s="65">
        <f>MOD(A55-1,20)+1</f>
        <v/>
      </c>
      <c r="D55" s="84" t="n">
        <v>45499</v>
      </c>
      <c r="E55" s="65">
        <f>YEAR(D55)</f>
        <v/>
      </c>
      <c r="F55" s="67" t="inlineStr">
        <is>
          <t>iBasso</t>
        </is>
      </c>
      <c r="G55" s="67" t="inlineStr">
        <is>
          <t>DC-Elite</t>
        </is>
      </c>
      <c r="H55" s="73" t="n">
        <v>8.6</v>
      </c>
      <c r="I55" s="24" t="inlineStr">
        <is>
          <t>Reader</t>
        </is>
      </c>
      <c r="J55" s="24" t="inlineStr">
        <is>
          <t>Flagship dongle DAC/amp</t>
        </is>
      </c>
      <c r="K55" s="69" t="inlineStr">
        <is>
          <t>https://headfonics.com/?s=iBasso+DC-Elite</t>
        </is>
      </c>
      <c r="L55" s="69" t="inlineStr">
        <is>
          <t>https://headfonics.com/category/portable-amps-dacs/page/3/</t>
        </is>
      </c>
      <c r="M55" s="77" t="inlineStr">
        <is>
          <t>Oui</t>
        </is>
      </c>
    </row>
    <row r="56">
      <c r="A56" s="70" t="n">
        <v>52</v>
      </c>
      <c r="B56" s="70">
        <f>ROUNDUP(A56/20,0)</f>
        <v/>
      </c>
      <c r="C56" s="70">
        <f>MOD(A56-1,20)+1</f>
        <v/>
      </c>
      <c r="D56" s="85" t="n">
        <v>45495</v>
      </c>
      <c r="E56" s="70">
        <f>YEAR(D56)</f>
        <v/>
      </c>
      <c r="F56" s="72" t="inlineStr">
        <is>
          <t>LETSHUOER</t>
        </is>
      </c>
      <c r="G56" s="72" t="inlineStr">
        <is>
          <t>DT03</t>
        </is>
      </c>
      <c r="H56" s="76" t="n">
        <v>7.8</v>
      </c>
      <c r="I56" s="74" t="inlineStr">
        <is>
          <t>Reader</t>
        </is>
      </c>
      <c r="J56" s="74" t="inlineStr">
        <is>
          <t>Portable dongle DAC/amp</t>
        </is>
      </c>
      <c r="K56" s="75" t="inlineStr">
        <is>
          <t>https://headfonics.com/?s=LETSHUOER+DT03</t>
        </is>
      </c>
      <c r="L56" s="75" t="inlineStr">
        <is>
          <t>https://headfonics.com/category/portable-amps-dacs/page/3/</t>
        </is>
      </c>
      <c r="M56" s="72" t="inlineStr">
        <is>
          <t>Non</t>
        </is>
      </c>
    </row>
    <row r="57">
      <c r="A57" s="65" t="n">
        <v>53</v>
      </c>
      <c r="B57" s="65">
        <f>ROUNDUP(A57/20,0)</f>
        <v/>
      </c>
      <c r="C57" s="65">
        <f>MOD(A57-1,20)+1</f>
        <v/>
      </c>
      <c r="D57" s="84" t="n">
        <v>45476</v>
      </c>
      <c r="E57" s="65">
        <f>YEAR(D57)</f>
        <v/>
      </c>
      <c r="F57" s="67" t="inlineStr">
        <is>
          <t>Kiwi Ears</t>
        </is>
      </c>
      <c r="G57" s="67" t="inlineStr">
        <is>
          <t>Allegro</t>
        </is>
      </c>
      <c r="H57" s="76" t="n">
        <v>7.7</v>
      </c>
      <c r="I57" s="24" t="inlineStr">
        <is>
          <t>Reader</t>
        </is>
      </c>
      <c r="J57" s="24" t="inlineStr">
        <is>
          <t>Portable dongle DAC/amp</t>
        </is>
      </c>
      <c r="K57" s="69" t="inlineStr">
        <is>
          <t>https://headfonics.com/?s=Kiwi+Ears+Allegro</t>
        </is>
      </c>
      <c r="L57" s="69" t="inlineStr">
        <is>
          <t>https://headfonics.com/category/portable-amps-dacs/page/3/</t>
        </is>
      </c>
      <c r="M57" s="67" t="inlineStr">
        <is>
          <t>Non</t>
        </is>
      </c>
    </row>
    <row r="58">
      <c r="A58" s="70" t="n">
        <v>54</v>
      </c>
      <c r="B58" s="70">
        <f>ROUNDUP(A58/20,0)</f>
        <v/>
      </c>
      <c r="C58" s="70">
        <f>MOD(A58-1,20)+1</f>
        <v/>
      </c>
      <c r="D58" s="85" t="n">
        <v>45471</v>
      </c>
      <c r="E58" s="70">
        <f>YEAR(D58)</f>
        <v/>
      </c>
      <c r="F58" s="72" t="inlineStr">
        <is>
          <t>Hidizs</t>
        </is>
      </c>
      <c r="G58" s="72" t="inlineStr">
        <is>
          <t>S8 Pro Robin</t>
        </is>
      </c>
      <c r="H58" s="73" t="n">
        <v>8</v>
      </c>
      <c r="I58" s="74" t="inlineStr">
        <is>
          <t>Reader</t>
        </is>
      </c>
      <c r="J58" s="74" t="inlineStr">
        <is>
          <t>Portable dongle DAC/amp</t>
        </is>
      </c>
      <c r="K58" s="75" t="inlineStr">
        <is>
          <t>https://headfonics.com/?s=Hidizs+S8+Pro+Robin</t>
        </is>
      </c>
      <c r="L58" s="75" t="inlineStr">
        <is>
          <t>https://headfonics.com/category/portable-amps-dacs/page/3/</t>
        </is>
      </c>
      <c r="M58" s="72" t="inlineStr">
        <is>
          <t>Non</t>
        </is>
      </c>
    </row>
    <row r="59">
      <c r="A59" s="65" t="n">
        <v>55</v>
      </c>
      <c r="B59" s="65">
        <f>ROUNDUP(A59/20,0)</f>
        <v/>
      </c>
      <c r="C59" s="65">
        <f>MOD(A59-1,20)+1</f>
        <v/>
      </c>
      <c r="D59" s="84" t="n">
        <v>45465</v>
      </c>
      <c r="E59" s="65">
        <f>YEAR(D59)</f>
        <v/>
      </c>
      <c r="F59" s="67" t="inlineStr">
        <is>
          <t>iFi audio</t>
        </is>
      </c>
      <c r="G59" s="67" t="inlineStr">
        <is>
          <t>GO bar Kensei</t>
        </is>
      </c>
      <c r="H59" s="73" t="n">
        <v>8.1</v>
      </c>
      <c r="I59" s="24" t="inlineStr">
        <is>
          <t>Reader</t>
        </is>
      </c>
      <c r="J59" s="24" t="inlineStr">
        <is>
          <t>Portable dongle DAC/amp</t>
        </is>
      </c>
      <c r="K59" s="69" t="inlineStr">
        <is>
          <t>https://headfonics.com/?s=iFi+audio+GO+bar+Kensei</t>
        </is>
      </c>
      <c r="L59" s="69" t="inlineStr">
        <is>
          <t>https://headfonics.com/category/portable-amps-dacs/page/3/</t>
        </is>
      </c>
      <c r="M59" s="67" t="inlineStr">
        <is>
          <t>Non</t>
        </is>
      </c>
    </row>
    <row r="60">
      <c r="A60" s="70" t="n">
        <v>56</v>
      </c>
      <c r="B60" s="70">
        <f>ROUNDUP(A60/20,0)</f>
        <v/>
      </c>
      <c r="C60" s="70">
        <f>MOD(A60-1,20)+1</f>
        <v/>
      </c>
      <c r="D60" s="85" t="n">
        <v>45439</v>
      </c>
      <c r="E60" s="70">
        <f>YEAR(D60)</f>
        <v/>
      </c>
      <c r="F60" s="72" t="inlineStr">
        <is>
          <t>ONIX</t>
        </is>
      </c>
      <c r="G60" s="72" t="inlineStr">
        <is>
          <t>Mystic XP1</t>
        </is>
      </c>
      <c r="H60" s="68" t="n">
        <v>8.699999999999999</v>
      </c>
      <c r="I60" s="74" t="inlineStr">
        <is>
          <t>Reader</t>
        </is>
      </c>
      <c r="J60" s="74" t="inlineStr">
        <is>
          <t>Portable amplifier/DAC</t>
        </is>
      </c>
      <c r="K60" s="75" t="inlineStr">
        <is>
          <t>https://headfonics.com/?s=ONIX+Mystic+XP1</t>
        </is>
      </c>
      <c r="L60" s="75" t="inlineStr">
        <is>
          <t>https://headfonics.com/category/portable-amps-dacs/page/3/</t>
        </is>
      </c>
      <c r="M60" s="72" t="inlineStr">
        <is>
          <t>Non</t>
        </is>
      </c>
    </row>
    <row r="61">
      <c r="A61" s="65" t="n">
        <v>57</v>
      </c>
      <c r="B61" s="65">
        <f>ROUNDUP(A61/20,0)</f>
        <v/>
      </c>
      <c r="C61" s="65">
        <f>MOD(A61-1,20)+1</f>
        <v/>
      </c>
      <c r="D61" s="84" t="n">
        <v>45425</v>
      </c>
      <c r="E61" s="65">
        <f>YEAR(D61)</f>
        <v/>
      </c>
      <c r="F61" s="67" t="inlineStr">
        <is>
          <t>Shanling</t>
        </is>
      </c>
      <c r="G61" s="67" t="inlineStr">
        <is>
          <t>UA4</t>
        </is>
      </c>
      <c r="H61" s="76" t="n">
        <v>7.5</v>
      </c>
      <c r="I61" s="24" t="inlineStr">
        <is>
          <t>Reader</t>
        </is>
      </c>
      <c r="J61" s="24" t="inlineStr">
        <is>
          <t>Portable dongle DAC/amp</t>
        </is>
      </c>
      <c r="K61" s="69" t="inlineStr">
        <is>
          <t>https://headfonics.com/?s=Shanling+UA4</t>
        </is>
      </c>
      <c r="L61" s="69" t="inlineStr">
        <is>
          <t>https://headfonics.com/category/portable-amps-dacs/page/3/</t>
        </is>
      </c>
      <c r="M61" s="67" t="inlineStr">
        <is>
          <t>Non</t>
        </is>
      </c>
    </row>
    <row r="62">
      <c r="A62" s="70" t="n">
        <v>58</v>
      </c>
      <c r="B62" s="70">
        <f>ROUNDUP(A62/20,0)</f>
        <v/>
      </c>
      <c r="C62" s="70">
        <f>MOD(A62-1,20)+1</f>
        <v/>
      </c>
      <c r="D62" s="85" t="n">
        <v>45418</v>
      </c>
      <c r="E62" s="70">
        <f>YEAR(D62)</f>
        <v/>
      </c>
      <c r="F62" s="72" t="inlineStr">
        <is>
          <t>FiiO</t>
        </is>
      </c>
      <c r="G62" s="72" t="inlineStr">
        <is>
          <t>KA11</t>
        </is>
      </c>
      <c r="H62" s="72" t="n"/>
      <c r="I62" s="74" t="inlineStr">
        <is>
          <t>Reader (non relevé)</t>
        </is>
      </c>
      <c r="J62" s="74" t="inlineStr">
        <is>
          <t>Portable dongle DAC/amp</t>
        </is>
      </c>
      <c r="K62" s="75" t="inlineStr">
        <is>
          <t>https://headfonics.com/?s=FiiO+KA11</t>
        </is>
      </c>
      <c r="L62" s="75" t="inlineStr">
        <is>
          <t>https://headfonics.com/category/portable-amps-dacs/page/3/</t>
        </is>
      </c>
      <c r="M62" s="72" t="inlineStr">
        <is>
          <t>Non</t>
        </is>
      </c>
    </row>
    <row r="63">
      <c r="A63" s="65" t="n">
        <v>59</v>
      </c>
      <c r="B63" s="65">
        <f>ROUNDUP(A63/20,0)</f>
        <v/>
      </c>
      <c r="C63" s="65">
        <f>MOD(A63-1,20)+1</f>
        <v/>
      </c>
      <c r="D63" s="84" t="n">
        <v>45409</v>
      </c>
      <c r="E63" s="65">
        <f>YEAR(D63)</f>
        <v/>
      </c>
      <c r="F63" s="67" t="inlineStr">
        <is>
          <t>FiiO</t>
        </is>
      </c>
      <c r="G63" s="67" t="inlineStr">
        <is>
          <t>KA17</t>
        </is>
      </c>
      <c r="H63" s="67" t="n"/>
      <c r="I63" s="24" t="inlineStr">
        <is>
          <t>Reader (non relevé)</t>
        </is>
      </c>
      <c r="J63" s="24" t="inlineStr">
        <is>
          <t>Portable dongle DAC/amp</t>
        </is>
      </c>
      <c r="K63" s="69" t="inlineStr">
        <is>
          <t>https://headfonics.com/?s=FiiO+KA17</t>
        </is>
      </c>
      <c r="L63" s="69" t="inlineStr">
        <is>
          <t>https://headfonics.com/category/portable-amps-dacs/page/3/</t>
        </is>
      </c>
      <c r="M63" s="67" t="inlineStr">
        <is>
          <t>Non</t>
        </is>
      </c>
    </row>
    <row r="64">
      <c r="A64" s="70" t="n">
        <v>60</v>
      </c>
      <c r="B64" s="70">
        <f>ROUNDUP(A64/20,0)</f>
        <v/>
      </c>
      <c r="C64" s="70">
        <f>MOD(A64-1,20)+1</f>
        <v/>
      </c>
      <c r="D64" s="85" t="n">
        <v>45408</v>
      </c>
      <c r="E64" s="70">
        <f>YEAR(D64)</f>
        <v/>
      </c>
      <c r="F64" s="72" t="inlineStr">
        <is>
          <t>Colorfly</t>
        </is>
      </c>
      <c r="G64" s="72" t="inlineStr">
        <is>
          <t>CDA-M2</t>
        </is>
      </c>
      <c r="H64" s="73" t="n">
        <v>8</v>
      </c>
      <c r="I64" s="74" t="inlineStr">
        <is>
          <t>Reader</t>
        </is>
      </c>
      <c r="J64" s="74" t="inlineStr">
        <is>
          <t>Portable dongle DAC/amp</t>
        </is>
      </c>
      <c r="K64" s="75" t="inlineStr">
        <is>
          <t>https://headfonics.com/?s=Colorfly+CDA-M2</t>
        </is>
      </c>
      <c r="L64" s="75" t="inlineStr">
        <is>
          <t>https://headfonics.com/category/portable-amps-dacs/page/3/</t>
        </is>
      </c>
      <c r="M64" s="72" t="inlineStr">
        <is>
          <t>Non</t>
        </is>
      </c>
    </row>
    <row r="65">
      <c r="A65" s="65" t="n">
        <v>61</v>
      </c>
      <c r="B65" s="65">
        <f>ROUNDUP(A65/20,0)</f>
        <v/>
      </c>
      <c r="C65" s="65">
        <f>MOD(A65-1,20)+1</f>
        <v/>
      </c>
      <c r="D65" s="84" t="n">
        <v>45394</v>
      </c>
      <c r="E65" s="65">
        <f>YEAR(D65)</f>
        <v/>
      </c>
      <c r="F65" s="67" t="inlineStr">
        <is>
          <t>ddHiFi</t>
        </is>
      </c>
      <c r="G65" s="67" t="inlineStr">
        <is>
          <t>TC44Pro E2</t>
        </is>
      </c>
      <c r="H65" s="73" t="n">
        <v>8</v>
      </c>
      <c r="I65" s="24" t="inlineStr">
        <is>
          <t>Reader</t>
        </is>
      </c>
      <c r="J65" s="24" t="inlineStr">
        <is>
          <t>Portable dongle DAC/amp</t>
        </is>
      </c>
      <c r="K65" s="69" t="inlineStr">
        <is>
          <t>https://headfonics.com/?s=ddHiFi+TC44Pro+E2</t>
        </is>
      </c>
      <c r="L65" s="69" t="inlineStr">
        <is>
          <t>https://headfonics.com/category/portable-amps-dacs/page/4/</t>
        </is>
      </c>
      <c r="M65" s="67" t="inlineStr">
        <is>
          <t>Non</t>
        </is>
      </c>
    </row>
    <row r="66">
      <c r="A66" s="70" t="n">
        <v>62</v>
      </c>
      <c r="B66" s="70">
        <f>ROUNDUP(A66/20,0)</f>
        <v/>
      </c>
      <c r="C66" s="70">
        <f>MOD(A66-1,20)+1</f>
        <v/>
      </c>
      <c r="D66" s="85" t="n">
        <v>45359</v>
      </c>
      <c r="E66" s="70">
        <f>YEAR(D66)</f>
        <v/>
      </c>
      <c r="F66" s="72" t="inlineStr">
        <is>
          <t>Hidizs</t>
        </is>
      </c>
      <c r="G66" s="72" t="inlineStr">
        <is>
          <t>SD2</t>
        </is>
      </c>
      <c r="H66" s="76" t="n">
        <v>7.8</v>
      </c>
      <c r="I66" s="74" t="inlineStr">
        <is>
          <t>Reader</t>
        </is>
      </c>
      <c r="J66" s="74" t="inlineStr">
        <is>
          <t>Portable dongle DAC/amp</t>
        </is>
      </c>
      <c r="K66" s="75" t="inlineStr">
        <is>
          <t>https://headfonics.com/?s=Hidizs+SD2</t>
        </is>
      </c>
      <c r="L66" s="75" t="inlineStr">
        <is>
          <t>https://headfonics.com/category/portable-amps-dacs/page/4/</t>
        </is>
      </c>
      <c r="M66" s="72" t="inlineStr">
        <is>
          <t>Non</t>
        </is>
      </c>
    </row>
    <row r="67">
      <c r="A67" s="65" t="n">
        <v>63</v>
      </c>
      <c r="B67" s="65">
        <f>ROUNDUP(A67/20,0)</f>
        <v/>
      </c>
      <c r="C67" s="65">
        <f>MOD(A67-1,20)+1</f>
        <v/>
      </c>
      <c r="D67" s="84" t="n">
        <v>45350</v>
      </c>
      <c r="E67" s="65">
        <f>YEAR(D67)</f>
        <v/>
      </c>
      <c r="F67" s="67" t="inlineStr">
        <is>
          <t>Colorfly</t>
        </is>
      </c>
      <c r="G67" s="67" t="inlineStr">
        <is>
          <t>CDA-M1P</t>
        </is>
      </c>
      <c r="H67" s="73" t="n">
        <v>8.199999999999999</v>
      </c>
      <c r="I67" s="24" t="inlineStr">
        <is>
          <t>Reader</t>
        </is>
      </c>
      <c r="J67" s="24" t="inlineStr">
        <is>
          <t>Portable dongle DAC/amp</t>
        </is>
      </c>
      <c r="K67" s="69" t="inlineStr">
        <is>
          <t>https://headfonics.com/?s=Colorfly+CDA-M1P</t>
        </is>
      </c>
      <c r="L67" s="69" t="inlineStr">
        <is>
          <t>https://headfonics.com/category/portable-amps-dacs/page/4/</t>
        </is>
      </c>
      <c r="M67" s="67" t="inlineStr">
        <is>
          <t>Non</t>
        </is>
      </c>
    </row>
    <row r="68">
      <c r="A68" s="70" t="n">
        <v>64</v>
      </c>
      <c r="B68" s="70">
        <f>ROUNDUP(A68/20,0)</f>
        <v/>
      </c>
      <c r="C68" s="70">
        <f>MOD(A68-1,20)+1</f>
        <v/>
      </c>
      <c r="D68" s="85" t="n">
        <v>45339</v>
      </c>
      <c r="E68" s="70">
        <f>YEAR(D68)</f>
        <v/>
      </c>
      <c r="F68" s="72" t="inlineStr">
        <is>
          <t>FiiO</t>
        </is>
      </c>
      <c r="G68" s="72" t="inlineStr">
        <is>
          <t>Q15</t>
        </is>
      </c>
      <c r="H68" s="72" t="n"/>
      <c r="I68" s="74" t="inlineStr">
        <is>
          <t>Reader (non relevé)</t>
        </is>
      </c>
      <c r="J68" s="74" t="inlineStr">
        <is>
          <t>Portable DAC/amp</t>
        </is>
      </c>
      <c r="K68" s="75" t="inlineStr">
        <is>
          <t>https://headfonics.com/?s=FiiO+Q15</t>
        </is>
      </c>
      <c r="L68" s="75" t="inlineStr">
        <is>
          <t>https://headfonics.com/category/portable-amps-dacs/page/4/</t>
        </is>
      </c>
      <c r="M68" s="72" t="inlineStr">
        <is>
          <t>Non</t>
        </is>
      </c>
    </row>
    <row r="69">
      <c r="A69" s="65" t="n">
        <v>65</v>
      </c>
      <c r="B69" s="65">
        <f>ROUNDUP(A69/20,0)</f>
        <v/>
      </c>
      <c r="C69" s="65">
        <f>MOD(A69-1,20)+1</f>
        <v/>
      </c>
      <c r="D69" s="84" t="n">
        <v>45318</v>
      </c>
      <c r="E69" s="65">
        <f>YEAR(D69)</f>
        <v/>
      </c>
      <c r="F69" s="67" t="inlineStr">
        <is>
          <t>iFi audio</t>
        </is>
      </c>
      <c r="G69" s="67" t="inlineStr">
        <is>
          <t>iDSD Diablo 2</t>
        </is>
      </c>
      <c r="H69" s="68" t="n">
        <v>8.800000000000001</v>
      </c>
      <c r="I69" s="24" t="inlineStr">
        <is>
          <t>Reader</t>
        </is>
      </c>
      <c r="J69" s="24" t="inlineStr">
        <is>
          <t>Transportable/portable DAC/amp</t>
        </is>
      </c>
      <c r="K69" s="69" t="inlineStr">
        <is>
          <t>https://headfonics.com/?s=iFi+audio+iDSD+Diablo+2</t>
        </is>
      </c>
      <c r="L69" s="69" t="inlineStr">
        <is>
          <t>https://headfonics.com/category/portable-amps-dacs/page/4/</t>
        </is>
      </c>
      <c r="M69" s="67" t="inlineStr">
        <is>
          <t>Non</t>
        </is>
      </c>
    </row>
    <row r="70">
      <c r="A70" s="70" t="n">
        <v>66</v>
      </c>
      <c r="B70" s="70">
        <f>ROUNDUP(A70/20,0)</f>
        <v/>
      </c>
      <c r="C70" s="70">
        <f>MOD(A70-1,20)+1</f>
        <v/>
      </c>
      <c r="D70" s="85" t="n">
        <v>45294</v>
      </c>
      <c r="E70" s="70">
        <f>YEAR(D70)</f>
        <v/>
      </c>
      <c r="F70" s="72" t="inlineStr">
        <is>
          <t>ddHiFi</t>
        </is>
      </c>
      <c r="G70" s="72" t="inlineStr">
        <is>
          <t>TC35Pro Eye2 &amp; Mountain2</t>
        </is>
      </c>
      <c r="H70" s="76" t="n">
        <v>7.9</v>
      </c>
      <c r="I70" s="74" t="inlineStr">
        <is>
          <t>Reader</t>
        </is>
      </c>
      <c r="J70" s="74" t="inlineStr">
        <is>
          <t>Portable USB DAC adapters</t>
        </is>
      </c>
      <c r="K70" s="75" t="inlineStr">
        <is>
          <t>https://headfonics.com/?s=ddHiFi+TC35Pro+Eye2+%26+Mountain2</t>
        </is>
      </c>
      <c r="L70" s="75" t="inlineStr">
        <is>
          <t>https://headfonics.com/category/portable-amps-dacs/page/4/</t>
        </is>
      </c>
      <c r="M70" s="72" t="inlineStr">
        <is>
          <t>Non</t>
        </is>
      </c>
    </row>
    <row r="71">
      <c r="A71" s="65" t="n">
        <v>67</v>
      </c>
      <c r="B71" s="65">
        <f>ROUNDUP(A71/20,0)</f>
        <v/>
      </c>
      <c r="C71" s="65">
        <f>MOD(A71-1,20)+1</f>
        <v/>
      </c>
      <c r="D71" s="84" t="n">
        <v>45290</v>
      </c>
      <c r="E71" s="65">
        <f>YEAR(D71)</f>
        <v/>
      </c>
      <c r="F71" s="67" t="inlineStr">
        <is>
          <t>Shanling</t>
        </is>
      </c>
      <c r="G71" s="67" t="inlineStr">
        <is>
          <t>UA1 Plus</t>
        </is>
      </c>
      <c r="H71" s="73" t="n">
        <v>8</v>
      </c>
      <c r="I71" s="24" t="inlineStr">
        <is>
          <t>Reader</t>
        </is>
      </c>
      <c r="J71" s="24" t="inlineStr">
        <is>
          <t>Portable dongle DAC/amp</t>
        </is>
      </c>
      <c r="K71" s="69" t="inlineStr">
        <is>
          <t>https://headfonics.com/?s=Shanling+UA1+Plus</t>
        </is>
      </c>
      <c r="L71" s="69" t="inlineStr">
        <is>
          <t>https://headfonics.com/category/portable-amps-dacs/page/4/</t>
        </is>
      </c>
      <c r="M71" s="67" t="inlineStr">
        <is>
          <t>Non</t>
        </is>
      </c>
    </row>
    <row r="72">
      <c r="A72" s="70" t="n">
        <v>68</v>
      </c>
      <c r="B72" s="70">
        <f>ROUNDUP(A72/20,0)</f>
        <v/>
      </c>
      <c r="C72" s="70">
        <f>MOD(A72-1,20)+1</f>
        <v/>
      </c>
      <c r="D72" s="85" t="n">
        <v>45271</v>
      </c>
      <c r="E72" s="70">
        <f>YEAR(D72)</f>
        <v/>
      </c>
      <c r="F72" s="72" t="inlineStr">
        <is>
          <t>iFi audio</t>
        </is>
      </c>
      <c r="G72" s="72" t="inlineStr">
        <is>
          <t>hip-dac 3</t>
        </is>
      </c>
      <c r="H72" s="73" t="n">
        <v>8.1</v>
      </c>
      <c r="I72" s="74" t="inlineStr">
        <is>
          <t>Reader</t>
        </is>
      </c>
      <c r="J72" s="74" t="inlineStr">
        <is>
          <t>Battery portable DAC/amp</t>
        </is>
      </c>
      <c r="K72" s="75" t="inlineStr">
        <is>
          <t>https://headfonics.com/?s=iFi+audio+hip-dac+3</t>
        </is>
      </c>
      <c r="L72" s="75" t="inlineStr">
        <is>
          <t>https://headfonics.com/category/portable-amps-dacs/page/4/</t>
        </is>
      </c>
      <c r="M72" s="72" t="inlineStr">
        <is>
          <t>Non</t>
        </is>
      </c>
    </row>
    <row r="73">
      <c r="A73" s="65" t="n">
        <v>69</v>
      </c>
      <c r="B73" s="65">
        <f>ROUNDUP(A73/20,0)</f>
        <v/>
      </c>
      <c r="C73" s="65">
        <f>MOD(A73-1,20)+1</f>
        <v/>
      </c>
      <c r="D73" s="84" t="n">
        <v>45264</v>
      </c>
      <c r="E73" s="65">
        <f>YEAR(D73)</f>
        <v/>
      </c>
      <c r="F73" s="67" t="inlineStr">
        <is>
          <t>Hidizs</t>
        </is>
      </c>
      <c r="G73" s="67" t="inlineStr">
        <is>
          <t>S9 Pro Plus Martha</t>
        </is>
      </c>
      <c r="H73" s="73" t="n">
        <v>8.1</v>
      </c>
      <c r="I73" s="24" t="inlineStr">
        <is>
          <t>Reader</t>
        </is>
      </c>
      <c r="J73" s="24" t="inlineStr">
        <is>
          <t>Portable dongle DAC/amp</t>
        </is>
      </c>
      <c r="K73" s="69" t="inlineStr">
        <is>
          <t>https://headfonics.com/?s=Hidizs+S9+Pro+Plus+Martha</t>
        </is>
      </c>
      <c r="L73" s="69" t="inlineStr">
        <is>
          <t>https://headfonics.com/category/portable-amps-dacs/page/4/</t>
        </is>
      </c>
      <c r="M73" s="67" t="inlineStr">
        <is>
          <t>Non</t>
        </is>
      </c>
    </row>
    <row r="74">
      <c r="A74" s="70" t="n">
        <v>70</v>
      </c>
      <c r="B74" s="70">
        <f>ROUNDUP(A74/20,0)</f>
        <v/>
      </c>
      <c r="C74" s="70">
        <f>MOD(A74-1,20)+1</f>
        <v/>
      </c>
      <c r="D74" s="85" t="n">
        <v>45250</v>
      </c>
      <c r="E74" s="70">
        <f>YEAR(D74)</f>
        <v/>
      </c>
      <c r="F74" s="72" t="inlineStr">
        <is>
          <t>xDuoo</t>
        </is>
      </c>
      <c r="G74" s="72" t="inlineStr">
        <is>
          <t>XD05 Pro</t>
        </is>
      </c>
      <c r="H74" s="68" t="n">
        <v>8.699999999999999</v>
      </c>
      <c r="I74" s="74" t="inlineStr">
        <is>
          <t>Reader</t>
        </is>
      </c>
      <c r="J74" s="74" t="inlineStr">
        <is>
          <t>Modular transportable DAC/amp</t>
        </is>
      </c>
      <c r="K74" s="75" t="inlineStr">
        <is>
          <t>https://headfonics.com/?s=xDuoo+XD05+Pro</t>
        </is>
      </c>
      <c r="L74" s="75" t="inlineStr">
        <is>
          <t>https://headfonics.com/category/portable-amps-dacs/page/4/</t>
        </is>
      </c>
      <c r="M74" s="72" t="inlineStr">
        <is>
          <t>Non</t>
        </is>
      </c>
    </row>
    <row r="75">
      <c r="A75" s="65" t="n">
        <v>71</v>
      </c>
      <c r="B75" s="65">
        <f>ROUNDUP(A75/20,0)</f>
        <v/>
      </c>
      <c r="C75" s="65">
        <f>MOD(A75-1,20)+1</f>
        <v/>
      </c>
      <c r="D75" s="84" t="n">
        <v>45234</v>
      </c>
      <c r="E75" s="65">
        <f>YEAR(D75)</f>
        <v/>
      </c>
      <c r="F75" s="67" t="inlineStr">
        <is>
          <t>FiiO</t>
        </is>
      </c>
      <c r="G75" s="67" t="inlineStr">
        <is>
          <t>KA13</t>
        </is>
      </c>
      <c r="H75" s="67" t="n"/>
      <c r="I75" s="24" t="inlineStr">
        <is>
          <t>Reader (non relevé)</t>
        </is>
      </c>
      <c r="J75" s="24" t="inlineStr">
        <is>
          <t>Portable dongle DAC/amp</t>
        </is>
      </c>
      <c r="K75" s="69" t="inlineStr">
        <is>
          <t>https://headfonics.com/?s=FiiO+KA13</t>
        </is>
      </c>
      <c r="L75" s="69" t="inlineStr">
        <is>
          <t>https://headfonics.com/category/portable-amps-dacs/page/4/</t>
        </is>
      </c>
      <c r="M75" s="67" t="inlineStr">
        <is>
          <t>Non</t>
        </is>
      </c>
    </row>
    <row r="76">
      <c r="A76" s="70" t="n">
        <v>72</v>
      </c>
      <c r="B76" s="70">
        <f>ROUNDUP(A76/20,0)</f>
        <v/>
      </c>
      <c r="C76" s="70">
        <f>MOD(A76-1,20)+1</f>
        <v/>
      </c>
      <c r="D76" s="85" t="n">
        <v>45231</v>
      </c>
      <c r="E76" s="70">
        <f>YEAR(D76)</f>
        <v/>
      </c>
      <c r="F76" s="72" t="inlineStr">
        <is>
          <t>Audirect</t>
        </is>
      </c>
      <c r="G76" s="72" t="inlineStr">
        <is>
          <t>Beam 4</t>
        </is>
      </c>
      <c r="H76" s="73" t="n">
        <v>8</v>
      </c>
      <c r="I76" s="74" t="inlineStr">
        <is>
          <t>Reader</t>
        </is>
      </c>
      <c r="J76" s="74" t="inlineStr">
        <is>
          <t>Portable DAC/amp</t>
        </is>
      </c>
      <c r="K76" s="75" t="inlineStr">
        <is>
          <t>https://headfonics.com/?s=Audirect+Beam+4</t>
        </is>
      </c>
      <c r="L76" s="75" t="inlineStr">
        <is>
          <t>https://headfonics.com/category/portable-amps-dacs/page/4/</t>
        </is>
      </c>
      <c r="M76" s="72" t="inlineStr">
        <is>
          <t>Non</t>
        </is>
      </c>
    </row>
    <row r="77">
      <c r="A77" s="65" t="n">
        <v>73</v>
      </c>
      <c r="B77" s="65">
        <f>ROUNDUP(A77/20,0)</f>
        <v/>
      </c>
      <c r="C77" s="65">
        <f>MOD(A77-1,20)+1</f>
        <v/>
      </c>
      <c r="D77" s="84" t="n">
        <v>45229</v>
      </c>
      <c r="E77" s="65">
        <f>YEAR(D77)</f>
        <v/>
      </c>
      <c r="F77" s="67" t="inlineStr">
        <is>
          <t>ddHiFi</t>
        </is>
      </c>
      <c r="G77" s="67" t="inlineStr">
        <is>
          <t>TC44Pro</t>
        </is>
      </c>
      <c r="H77" s="73" t="n">
        <v>8.199999999999999</v>
      </c>
      <c r="I77" s="24" t="inlineStr">
        <is>
          <t>Reader</t>
        </is>
      </c>
      <c r="J77" s="24" t="inlineStr">
        <is>
          <t>Portable dongle DAC/amp</t>
        </is>
      </c>
      <c r="K77" s="69" t="inlineStr">
        <is>
          <t>https://headfonics.com/?s=ddHiFi+TC44Pro</t>
        </is>
      </c>
      <c r="L77" s="69" t="inlineStr">
        <is>
          <t>https://headfonics.com/category/portable-amps-dacs/page/4/</t>
        </is>
      </c>
      <c r="M77" s="67" t="inlineStr">
        <is>
          <t>Non</t>
        </is>
      </c>
    </row>
    <row r="78">
      <c r="A78" s="70" t="n">
        <v>74</v>
      </c>
      <c r="B78" s="70">
        <f>ROUNDUP(A78/20,0)</f>
        <v/>
      </c>
      <c r="C78" s="70">
        <f>MOD(A78-1,20)+1</f>
        <v/>
      </c>
      <c r="D78" s="85" t="n">
        <v>45219</v>
      </c>
      <c r="E78" s="70">
        <f>YEAR(D78)</f>
        <v/>
      </c>
      <c r="F78" s="72" t="inlineStr">
        <is>
          <t>Moondrop</t>
        </is>
      </c>
      <c r="G78" s="72" t="inlineStr">
        <is>
          <t>Dawn Pro</t>
        </is>
      </c>
      <c r="H78" s="76" t="n">
        <v>7.7</v>
      </c>
      <c r="I78" s="74" t="inlineStr">
        <is>
          <t>Reader</t>
        </is>
      </c>
      <c r="J78" s="74" t="inlineStr">
        <is>
          <t>Portable dongle DAC/amp</t>
        </is>
      </c>
      <c r="K78" s="75" t="inlineStr">
        <is>
          <t>https://headfonics.com/?s=Moondrop+Dawn+Pro</t>
        </is>
      </c>
      <c r="L78" s="75" t="inlineStr">
        <is>
          <t>https://headfonics.com/category/portable-amps-dacs/page/4/</t>
        </is>
      </c>
      <c r="M78" s="72" t="inlineStr">
        <is>
          <t>Non</t>
        </is>
      </c>
    </row>
    <row r="79">
      <c r="A79" s="65" t="n">
        <v>75</v>
      </c>
      <c r="B79" s="65">
        <f>ROUNDUP(A79/20,0)</f>
        <v/>
      </c>
      <c r="C79" s="65">
        <f>MOD(A79-1,20)+1</f>
        <v/>
      </c>
      <c r="D79" s="84" t="n">
        <v>45185</v>
      </c>
      <c r="E79" s="65">
        <f>YEAR(D79)</f>
        <v/>
      </c>
      <c r="F79" s="67" t="inlineStr">
        <is>
          <t>Shanling</t>
        </is>
      </c>
      <c r="G79" s="67" t="inlineStr">
        <is>
          <t>H5</t>
        </is>
      </c>
      <c r="H79" s="73" t="n">
        <v>8.300000000000001</v>
      </c>
      <c r="I79" s="24" t="inlineStr">
        <is>
          <t>Reader</t>
        </is>
      </c>
      <c r="J79" s="24" t="inlineStr">
        <is>
          <t>Battery portable DAC/amp</t>
        </is>
      </c>
      <c r="K79" s="69" t="inlineStr">
        <is>
          <t>https://headfonics.com/?s=Shanling+H5</t>
        </is>
      </c>
      <c r="L79" s="69" t="inlineStr">
        <is>
          <t>https://headfonics.com/category/portable-amps-dacs/page/4/</t>
        </is>
      </c>
      <c r="M79" s="77" t="inlineStr">
        <is>
          <t>Oui</t>
        </is>
      </c>
    </row>
    <row r="80">
      <c r="A80" s="70" t="n">
        <v>76</v>
      </c>
      <c r="B80" s="70">
        <f>ROUNDUP(A80/20,0)</f>
        <v/>
      </c>
      <c r="C80" s="70">
        <f>MOD(A80-1,20)+1</f>
        <v/>
      </c>
      <c r="D80" s="85" t="n">
        <v>45184</v>
      </c>
      <c r="E80" s="70">
        <f>YEAR(D80)</f>
        <v/>
      </c>
      <c r="F80" s="72" t="inlineStr">
        <is>
          <t>xDuoo</t>
        </is>
      </c>
      <c r="G80" s="72" t="inlineStr">
        <is>
          <t>XD05 BAL 2</t>
        </is>
      </c>
      <c r="H80" s="73" t="n">
        <v>8</v>
      </c>
      <c r="I80" s="74" t="inlineStr">
        <is>
          <t>Reader</t>
        </is>
      </c>
      <c r="J80" s="74" t="inlineStr">
        <is>
          <t>High-power battery portable DAC/amp</t>
        </is>
      </c>
      <c r="K80" s="75" t="inlineStr">
        <is>
          <t>https://headfonics.com/?s=xDuoo+XD05+BAL+2</t>
        </is>
      </c>
      <c r="L80" s="75" t="inlineStr">
        <is>
          <t>https://headfonics.com/category/portable-amps-dacs/page/4/</t>
        </is>
      </c>
      <c r="M80" s="77" t="inlineStr">
        <is>
          <t>Oui</t>
        </is>
      </c>
    </row>
    <row r="81">
      <c r="A81" s="65" t="n">
        <v>77</v>
      </c>
      <c r="B81" s="65">
        <f>ROUNDUP(A81/20,0)</f>
        <v/>
      </c>
      <c r="C81" s="65">
        <f>MOD(A81-1,20)+1</f>
        <v/>
      </c>
      <c r="D81" s="84" t="n">
        <v>45163</v>
      </c>
      <c r="E81" s="65">
        <f>YEAR(D81)</f>
        <v/>
      </c>
      <c r="F81" s="67" t="inlineStr">
        <is>
          <t>Moondrop</t>
        </is>
      </c>
      <c r="G81" s="67" t="inlineStr">
        <is>
          <t>MoonRiver 2: Ti</t>
        </is>
      </c>
      <c r="H81" s="67" t="n"/>
      <c r="I81" s="24" t="inlineStr">
        <is>
          <t>Reader (non relevé)</t>
        </is>
      </c>
      <c r="J81" s="24" t="inlineStr">
        <is>
          <t>Portable dongle DAC/amp</t>
        </is>
      </c>
      <c r="K81" s="69" t="inlineStr">
        <is>
          <t>https://headfonics.com/?s=Moondrop+MoonRiver+2%3A+Ti</t>
        </is>
      </c>
      <c r="L81" s="69" t="inlineStr">
        <is>
          <t>https://headfonics.com/category/portable-amps-dacs/page/4/</t>
        </is>
      </c>
      <c r="M81" s="67" t="inlineStr">
        <is>
          <t>Non</t>
        </is>
      </c>
    </row>
    <row r="82">
      <c r="A82" s="70" t="n">
        <v>78</v>
      </c>
      <c r="B82" s="70">
        <f>ROUNDUP(A82/20,0)</f>
        <v/>
      </c>
      <c r="C82" s="70">
        <f>MOD(A82-1,20)+1</f>
        <v/>
      </c>
      <c r="D82" s="85" t="n">
        <v>45143</v>
      </c>
      <c r="E82" s="70">
        <f>YEAR(D82)</f>
        <v/>
      </c>
      <c r="F82" s="72" t="inlineStr">
        <is>
          <t>Cayin</t>
        </is>
      </c>
      <c r="G82" s="72" t="inlineStr">
        <is>
          <t>RU7</t>
        </is>
      </c>
      <c r="H82" s="73" t="n">
        <v>8.6</v>
      </c>
      <c r="I82" s="74" t="inlineStr">
        <is>
          <t>Reader</t>
        </is>
      </c>
      <c r="J82" s="74" t="inlineStr">
        <is>
          <t>1-bit discrete resistor-network dongle DAC/amp</t>
        </is>
      </c>
      <c r="K82" s="75" t="inlineStr">
        <is>
          <t>https://headfonics.com/?s=Cayin+RU7</t>
        </is>
      </c>
      <c r="L82" s="75" t="inlineStr">
        <is>
          <t>https://headfonics.com/category/portable-amps-dacs/page/4/</t>
        </is>
      </c>
      <c r="M82" s="77" t="inlineStr">
        <is>
          <t>Oui</t>
        </is>
      </c>
    </row>
    <row r="83">
      <c r="A83" s="65" t="n">
        <v>79</v>
      </c>
      <c r="B83" s="65">
        <f>ROUNDUP(A83/20,0)</f>
        <v/>
      </c>
      <c r="C83" s="65">
        <f>MOD(A83-1,20)+1</f>
        <v/>
      </c>
      <c r="D83" s="84" t="n">
        <v>45124</v>
      </c>
      <c r="E83" s="65">
        <f>YEAR(D83)</f>
        <v/>
      </c>
      <c r="F83" s="67" t="inlineStr">
        <is>
          <t>HiBy</t>
        </is>
      </c>
      <c r="G83" s="67" t="inlineStr">
        <is>
          <t>FC6</t>
        </is>
      </c>
      <c r="H83" s="67" t="n"/>
      <c r="I83" s="24" t="inlineStr">
        <is>
          <t>Reader (non relevé)</t>
        </is>
      </c>
      <c r="J83" s="24" t="inlineStr">
        <is>
          <t>Portable dongle DAC/amp</t>
        </is>
      </c>
      <c r="K83" s="69" t="inlineStr">
        <is>
          <t>https://headfonics.com/?s=HiBy+FC6</t>
        </is>
      </c>
      <c r="L83" s="69" t="inlineStr">
        <is>
          <t>https://headfonics.com/category/portable-amps-dacs/page/4/</t>
        </is>
      </c>
      <c r="M83" s="67" t="inlineStr">
        <is>
          <t>Non</t>
        </is>
      </c>
    </row>
    <row r="84">
      <c r="A84" s="70" t="n">
        <v>80</v>
      </c>
      <c r="B84" s="70">
        <f>ROUNDUP(A84/20,0)</f>
        <v/>
      </c>
      <c r="C84" s="70">
        <f>MOD(A84-1,20)+1</f>
        <v/>
      </c>
      <c r="D84" s="85" t="n">
        <v>45114</v>
      </c>
      <c r="E84" s="70">
        <f>YEAR(D84)</f>
        <v/>
      </c>
      <c r="F84" s="72" t="inlineStr">
        <is>
          <t>ddHiFi</t>
        </is>
      </c>
      <c r="G84" s="72" t="inlineStr">
        <is>
          <t>TC35C</t>
        </is>
      </c>
      <c r="H84" s="76" t="n">
        <v>7.9</v>
      </c>
      <c r="I84" s="74" t="inlineStr">
        <is>
          <t>Reader</t>
        </is>
      </c>
      <c r="J84" s="74" t="inlineStr">
        <is>
          <t>Portable USB DAC adapter</t>
        </is>
      </c>
      <c r="K84" s="75" t="inlineStr">
        <is>
          <t>https://headfonics.com/?s=ddHiFi+TC35C</t>
        </is>
      </c>
      <c r="L84" s="75" t="inlineStr">
        <is>
          <t>https://headfonics.com/category/portable-amps-dacs/page/4/</t>
        </is>
      </c>
      <c r="M84" s="72" t="inlineStr">
        <is>
          <t>Non</t>
        </is>
      </c>
    </row>
    <row r="85">
      <c r="A85" s="65" t="n">
        <v>81</v>
      </c>
      <c r="B85" s="65">
        <f>ROUNDUP(A85/20,0)</f>
        <v/>
      </c>
      <c r="C85" s="65">
        <f>MOD(A85-1,20)+1</f>
        <v/>
      </c>
      <c r="D85" s="84" t="n">
        <v>45103</v>
      </c>
      <c r="E85" s="65">
        <f>YEAR(D85)</f>
        <v/>
      </c>
      <c r="F85" s="67" t="inlineStr">
        <is>
          <t>FiiO</t>
        </is>
      </c>
      <c r="G85" s="67" t="inlineStr">
        <is>
          <t>KA5</t>
        </is>
      </c>
      <c r="H85" s="67" t="n"/>
      <c r="I85" s="24" t="inlineStr">
        <is>
          <t>Reader (non relevé)</t>
        </is>
      </c>
      <c r="J85" s="24" t="inlineStr">
        <is>
          <t>Portable dongle DAC/amp</t>
        </is>
      </c>
      <c r="K85" s="69" t="inlineStr">
        <is>
          <t>https://headfonics.com/?s=FiiO+KA5</t>
        </is>
      </c>
      <c r="L85" s="69" t="inlineStr">
        <is>
          <t>https://headfonics.com/category/portable-amps-dacs/page/5/</t>
        </is>
      </c>
      <c r="M85" s="67" t="inlineStr">
        <is>
          <t>Non</t>
        </is>
      </c>
    </row>
    <row r="86">
      <c r="A86" s="70" t="n">
        <v>82</v>
      </c>
      <c r="B86" s="70">
        <f>ROUNDUP(A86/20,0)</f>
        <v/>
      </c>
      <c r="C86" s="70">
        <f>MOD(A86-1,20)+1</f>
        <v/>
      </c>
      <c r="D86" s="85" t="n">
        <v>45073</v>
      </c>
      <c r="E86" s="70">
        <f>YEAR(D86)</f>
        <v/>
      </c>
      <c r="F86" s="72" t="inlineStr">
        <is>
          <t>FiiO</t>
        </is>
      </c>
      <c r="G86" s="72" t="inlineStr">
        <is>
          <t>Q11</t>
        </is>
      </c>
      <c r="H86" s="72" t="n"/>
      <c r="I86" s="74" t="inlineStr">
        <is>
          <t>Reader (non relevé)</t>
        </is>
      </c>
      <c r="J86" s="74" t="inlineStr">
        <is>
          <t>Battery portable DAC/amp</t>
        </is>
      </c>
      <c r="K86" s="75" t="inlineStr">
        <is>
          <t>https://headfonics.com/?s=FiiO+Q11</t>
        </is>
      </c>
      <c r="L86" s="75" t="inlineStr">
        <is>
          <t>https://headfonics.com/category/portable-amps-dacs/page/5/</t>
        </is>
      </c>
      <c r="M86" s="72" t="inlineStr">
        <is>
          <t>Non</t>
        </is>
      </c>
    </row>
    <row r="87">
      <c r="A87" s="65" t="n">
        <v>83</v>
      </c>
      <c r="B87" s="65">
        <f>ROUNDUP(A87/20,0)</f>
        <v/>
      </c>
      <c r="C87" s="65">
        <f>MOD(A87-1,20)+1</f>
        <v/>
      </c>
      <c r="D87" s="84" t="n">
        <v>45066</v>
      </c>
      <c r="E87" s="65">
        <f>YEAR(D87)</f>
        <v/>
      </c>
      <c r="F87" s="67" t="inlineStr">
        <is>
          <t>iFi audio</t>
        </is>
      </c>
      <c r="G87" s="67" t="inlineStr">
        <is>
          <t>UNO</t>
        </is>
      </c>
      <c r="H87" s="73" t="n">
        <v>8.300000000000001</v>
      </c>
      <c r="I87" s="24" t="inlineStr">
        <is>
          <t>Reader</t>
        </is>
      </c>
      <c r="J87" s="24" t="inlineStr">
        <is>
          <t>Portable/desktop USB DAC/amp</t>
        </is>
      </c>
      <c r="K87" s="69" t="inlineStr">
        <is>
          <t>https://headfonics.com/?s=iFi+audio+UNO</t>
        </is>
      </c>
      <c r="L87" s="69" t="inlineStr">
        <is>
          <t>https://headfonics.com/category/portable-amps-dacs/page/5/</t>
        </is>
      </c>
      <c r="M87" s="67" t="inlineStr">
        <is>
          <t>Non</t>
        </is>
      </c>
    </row>
    <row r="88">
      <c r="A88" s="70" t="n">
        <v>84</v>
      </c>
      <c r="B88" s="70">
        <f>ROUNDUP(A88/20,0)</f>
        <v/>
      </c>
      <c r="C88" s="70">
        <f>MOD(A88-1,20)+1</f>
        <v/>
      </c>
      <c r="D88" s="85" t="n">
        <v>45028</v>
      </c>
      <c r="E88" s="70">
        <f>YEAR(D88)</f>
        <v/>
      </c>
      <c r="F88" s="72" t="inlineStr">
        <is>
          <t>7Hz</t>
        </is>
      </c>
      <c r="G88" s="72" t="inlineStr">
        <is>
          <t>SEVENHERTZ 71</t>
        </is>
      </c>
      <c r="H88" s="76" t="n">
        <v>7.7</v>
      </c>
      <c r="I88" s="74" t="inlineStr">
        <is>
          <t>Reader</t>
        </is>
      </c>
      <c r="J88" s="74" t="inlineStr">
        <is>
          <t>Portable dongle DAC/amp</t>
        </is>
      </c>
      <c r="K88" s="75" t="inlineStr">
        <is>
          <t>https://headfonics.com/?s=7Hz+SEVENHERTZ+71</t>
        </is>
      </c>
      <c r="L88" s="75" t="inlineStr">
        <is>
          <t>https://headfonics.com/category/portable-amps-dacs/page/5/</t>
        </is>
      </c>
      <c r="M88" s="72" t="inlineStr">
        <is>
          <t>Non</t>
        </is>
      </c>
    </row>
    <row r="89">
      <c r="A89" s="65" t="n">
        <v>85</v>
      </c>
      <c r="B89" s="65">
        <f>ROUNDUP(A89/20,0)</f>
        <v/>
      </c>
      <c r="C89" s="65">
        <f>MOD(A89-1,20)+1</f>
        <v/>
      </c>
      <c r="D89" s="84" t="n">
        <v>45021</v>
      </c>
      <c r="E89" s="65">
        <f>YEAR(D89)</f>
        <v/>
      </c>
      <c r="F89" s="67" t="inlineStr">
        <is>
          <t>Venture Electronics</t>
        </is>
      </c>
      <c r="G89" s="67" t="inlineStr">
        <is>
          <t>Megatron</t>
        </is>
      </c>
      <c r="H89" s="67" t="n"/>
      <c r="I89" s="24" t="inlineStr">
        <is>
          <t>Reader (non relevé)</t>
        </is>
      </c>
      <c r="J89" s="24" t="inlineStr">
        <is>
          <t>Portable DAC/amp</t>
        </is>
      </c>
      <c r="K89" s="69" t="inlineStr">
        <is>
          <t>https://headfonics.com/?s=Venture+Electronics+Megatron</t>
        </is>
      </c>
      <c r="L89" s="69" t="inlineStr">
        <is>
          <t>https://headfonics.com/category/portable-amps-dacs/page/5/</t>
        </is>
      </c>
      <c r="M89" s="67" t="inlineStr">
        <is>
          <t>Non</t>
        </is>
      </c>
    </row>
    <row r="90">
      <c r="A90" s="70" t="n">
        <v>86</v>
      </c>
      <c r="B90" s="70">
        <f>ROUNDUP(A90/20,0)</f>
        <v/>
      </c>
      <c r="C90" s="70">
        <f>MOD(A90-1,20)+1</f>
        <v/>
      </c>
      <c r="D90" s="85" t="n">
        <v>45003</v>
      </c>
      <c r="E90" s="70">
        <f>YEAR(D90)</f>
        <v/>
      </c>
      <c r="F90" s="72" t="inlineStr">
        <is>
          <t>Shanling</t>
        </is>
      </c>
      <c r="G90" s="72" t="inlineStr">
        <is>
          <t>H7</t>
        </is>
      </c>
      <c r="H90" s="68" t="n">
        <v>8.699999999999999</v>
      </c>
      <c r="I90" s="74" t="inlineStr">
        <is>
          <t>Reader</t>
        </is>
      </c>
      <c r="J90" s="74" t="inlineStr">
        <is>
          <t>Battery portable DAC/amp</t>
        </is>
      </c>
      <c r="K90" s="75" t="inlineStr">
        <is>
          <t>https://headfonics.com/?s=Shanling+H7</t>
        </is>
      </c>
      <c r="L90" s="75" t="inlineStr">
        <is>
          <t>https://headfonics.com/category/portable-amps-dacs/page/5/</t>
        </is>
      </c>
      <c r="M90" s="72" t="inlineStr">
        <is>
          <t>Non</t>
        </is>
      </c>
    </row>
    <row r="91">
      <c r="A91" s="65" t="n">
        <v>87</v>
      </c>
      <c r="B91" s="65">
        <f>ROUNDUP(A91/20,0)</f>
        <v/>
      </c>
      <c r="C91" s="65">
        <f>MOD(A91-1,20)+1</f>
        <v/>
      </c>
      <c r="D91" s="84" t="n">
        <v>44935</v>
      </c>
      <c r="E91" s="65">
        <f>YEAR(D91)</f>
        <v/>
      </c>
      <c r="F91" s="67" t="inlineStr">
        <is>
          <t>iKKO</t>
        </is>
      </c>
      <c r="G91" s="67" t="inlineStr">
        <is>
          <t>Zerda ITM02</t>
        </is>
      </c>
      <c r="H91" s="78" t="n">
        <v>7.3</v>
      </c>
      <c r="I91" s="24" t="inlineStr">
        <is>
          <t>Reader</t>
        </is>
      </c>
      <c r="J91" s="24" t="inlineStr">
        <is>
          <t>Portable dongle DAC/amp</t>
        </is>
      </c>
      <c r="K91" s="69" t="inlineStr">
        <is>
          <t>https://headfonics.com/?s=iKKO+Zerda+ITM02</t>
        </is>
      </c>
      <c r="L91" s="69" t="inlineStr">
        <is>
          <t>https://headfonics.com/category/portable-amps-dacs/page/5/</t>
        </is>
      </c>
      <c r="M91" s="67" t="inlineStr">
        <is>
          <t>Non</t>
        </is>
      </c>
    </row>
    <row r="92">
      <c r="A92" s="70" t="n">
        <v>88</v>
      </c>
      <c r="B92" s="70">
        <f>ROUNDUP(A92/20,0)</f>
        <v/>
      </c>
      <c r="C92" s="70">
        <f>MOD(A92-1,20)+1</f>
        <v/>
      </c>
      <c r="D92" s="85" t="n">
        <v>44921</v>
      </c>
      <c r="E92" s="70">
        <f>YEAR(D92)</f>
        <v/>
      </c>
      <c r="F92" s="72" t="inlineStr">
        <is>
          <t>Quloos</t>
        </is>
      </c>
      <c r="G92" s="72" t="inlineStr">
        <is>
          <t>QLS MC01</t>
        </is>
      </c>
      <c r="H92" s="73" t="n">
        <v>8.5</v>
      </c>
      <c r="I92" s="74" t="inlineStr">
        <is>
          <t>Reader</t>
        </is>
      </c>
      <c r="J92" s="74" t="inlineStr">
        <is>
          <t>Portable dongle DAC/amp</t>
        </is>
      </c>
      <c r="K92" s="75" t="inlineStr">
        <is>
          <t>https://headfonics.com/?s=Quloos+QLS+MC01</t>
        </is>
      </c>
      <c r="L92" s="75" t="inlineStr">
        <is>
          <t>https://headfonics.com/category/portable-amps-dacs/page/5/</t>
        </is>
      </c>
      <c r="M92" s="72" t="inlineStr">
        <is>
          <t>Non</t>
        </is>
      </c>
    </row>
    <row r="93">
      <c r="A93" s="65" t="n">
        <v>89</v>
      </c>
      <c r="B93" s="65">
        <f>ROUNDUP(A93/20,0)</f>
        <v/>
      </c>
      <c r="C93" s="65">
        <f>MOD(A93-1,20)+1</f>
        <v/>
      </c>
      <c r="D93" s="84" t="n">
        <v>44909</v>
      </c>
      <c r="E93" s="65">
        <f>YEAR(D93)</f>
        <v/>
      </c>
      <c r="F93" s="67" t="inlineStr">
        <is>
          <t>Hidizs</t>
        </is>
      </c>
      <c r="G93" s="67" t="inlineStr">
        <is>
          <t>XO</t>
        </is>
      </c>
      <c r="H93" s="73" t="n">
        <v>8.300000000000001</v>
      </c>
      <c r="I93" s="24" t="inlineStr">
        <is>
          <t>Reader</t>
        </is>
      </c>
      <c r="J93" s="24" t="inlineStr">
        <is>
          <t>Portable dongle DAC/amp</t>
        </is>
      </c>
      <c r="K93" s="69" t="inlineStr">
        <is>
          <t>https://headfonics.com/?s=Hidizs+XO</t>
        </is>
      </c>
      <c r="L93" s="69" t="inlineStr">
        <is>
          <t>https://headfonics.com/category/portable-amps-dacs/page/5/</t>
        </is>
      </c>
      <c r="M93" s="67" t="inlineStr">
        <is>
          <t>Non</t>
        </is>
      </c>
    </row>
    <row r="94">
      <c r="A94" s="70" t="n">
        <v>90</v>
      </c>
      <c r="B94" s="70">
        <f>ROUNDUP(A94/20,0)</f>
        <v/>
      </c>
      <c r="C94" s="70">
        <f>MOD(A94-1,20)+1</f>
        <v/>
      </c>
      <c r="D94" s="85" t="n">
        <v>44891</v>
      </c>
      <c r="E94" s="70">
        <f>YEAR(D94)</f>
        <v/>
      </c>
      <c r="F94" s="72" t="inlineStr">
        <is>
          <t>FiiO</t>
        </is>
      </c>
      <c r="G94" s="72" t="inlineStr">
        <is>
          <t>Q7</t>
        </is>
      </c>
      <c r="H94" s="73" t="n">
        <v>8.4</v>
      </c>
      <c r="I94" s="74" t="inlineStr">
        <is>
          <t>Reader</t>
        </is>
      </c>
      <c r="J94" s="74" t="inlineStr">
        <is>
          <t>High-power portable DAC/amp</t>
        </is>
      </c>
      <c r="K94" s="75" t="inlineStr">
        <is>
          <t>https://headfonics.com/?s=FiiO+Q7</t>
        </is>
      </c>
      <c r="L94" s="75" t="inlineStr">
        <is>
          <t>https://headfonics.com/category/portable-amps-dacs/page/5/</t>
        </is>
      </c>
      <c r="M94" s="72" t="inlineStr">
        <is>
          <t>Non</t>
        </is>
      </c>
    </row>
    <row r="95">
      <c r="A95" s="65" t="n">
        <v>91</v>
      </c>
      <c r="B95" s="65">
        <f>ROUNDUP(A95/20,0)</f>
        <v/>
      </c>
      <c r="C95" s="65">
        <f>MOD(A95-1,20)+1</f>
        <v/>
      </c>
      <c r="D95" s="84" t="n">
        <v>44867</v>
      </c>
      <c r="E95" s="65">
        <f>YEAR(D95)</f>
        <v/>
      </c>
      <c r="F95" s="67" t="inlineStr">
        <is>
          <t>EarMen</t>
        </is>
      </c>
      <c r="G95" s="67" t="inlineStr">
        <is>
          <t>Angel</t>
        </is>
      </c>
      <c r="H95" s="68" t="n">
        <v>8.800000000000001</v>
      </c>
      <c r="I95" s="24" t="inlineStr">
        <is>
          <t>Reader</t>
        </is>
      </c>
      <c r="J95" s="24" t="inlineStr">
        <is>
          <t>Battery portable DAC/amp</t>
        </is>
      </c>
      <c r="K95" s="69" t="inlineStr">
        <is>
          <t>https://headfonics.com/?s=EarMen+Angel</t>
        </is>
      </c>
      <c r="L95" s="69" t="inlineStr">
        <is>
          <t>https://headfonics.com/category/portable-amps-dacs/page/5/</t>
        </is>
      </c>
      <c r="M95" s="67" t="inlineStr">
        <is>
          <t>Non</t>
        </is>
      </c>
    </row>
    <row r="96">
      <c r="A96" s="70" t="n">
        <v>92</v>
      </c>
      <c r="B96" s="70">
        <f>ROUNDUP(A96/20,0)</f>
        <v/>
      </c>
      <c r="C96" s="70">
        <f>MOD(A96-1,20)+1</f>
        <v/>
      </c>
      <c r="D96" s="85" t="n">
        <v>44865</v>
      </c>
      <c r="E96" s="70">
        <f>YEAR(D96)</f>
        <v/>
      </c>
      <c r="F96" s="72" t="inlineStr">
        <is>
          <t>Moondrop</t>
        </is>
      </c>
      <c r="G96" s="72" t="inlineStr">
        <is>
          <t>Dawn</t>
        </is>
      </c>
      <c r="H96" s="76" t="n">
        <v>7.5</v>
      </c>
      <c r="I96" s="74" t="inlineStr">
        <is>
          <t>Reader</t>
        </is>
      </c>
      <c r="J96" s="74" t="inlineStr">
        <is>
          <t>Portable dongle DAC/amp</t>
        </is>
      </c>
      <c r="K96" s="75" t="inlineStr">
        <is>
          <t>https://headfonics.com/?s=Moondrop+Dawn</t>
        </is>
      </c>
      <c r="L96" s="75" t="inlineStr">
        <is>
          <t>https://headfonics.com/category/portable-amps-dacs/page/5/</t>
        </is>
      </c>
      <c r="M96" s="72" t="inlineStr">
        <is>
          <t>Non</t>
        </is>
      </c>
    </row>
    <row r="97">
      <c r="A97" s="65" t="n">
        <v>93</v>
      </c>
      <c r="B97" s="65">
        <f>ROUNDUP(A97/20,0)</f>
        <v/>
      </c>
      <c r="C97" s="65">
        <f>MOD(A97-1,20)+1</f>
        <v/>
      </c>
      <c r="D97" s="84" t="n">
        <v>44858</v>
      </c>
      <c r="E97" s="65">
        <f>YEAR(D97)</f>
        <v/>
      </c>
      <c r="F97" s="67" t="inlineStr">
        <is>
          <t>FiiO</t>
        </is>
      </c>
      <c r="G97" s="67" t="inlineStr">
        <is>
          <t>KA2</t>
        </is>
      </c>
      <c r="H97" s="67" t="n"/>
      <c r="I97" s="24" t="inlineStr">
        <is>
          <t>Reader (non relevé)</t>
        </is>
      </c>
      <c r="J97" s="24" t="inlineStr">
        <is>
          <t>Portable dongle DAC/amp</t>
        </is>
      </c>
      <c r="K97" s="69" t="inlineStr">
        <is>
          <t>https://headfonics.com/?s=FiiO+KA2</t>
        </is>
      </c>
      <c r="L97" s="69" t="inlineStr">
        <is>
          <t>https://headfonics.com/category/portable-amps-dacs/page/5/</t>
        </is>
      </c>
      <c r="M97" s="67" t="inlineStr">
        <is>
          <t>Non</t>
        </is>
      </c>
    </row>
    <row r="98">
      <c r="A98" s="70" t="n">
        <v>94</v>
      </c>
      <c r="B98" s="70">
        <f>ROUNDUP(A98/20,0)</f>
        <v/>
      </c>
      <c r="C98" s="70">
        <f>MOD(A98-1,20)+1</f>
        <v/>
      </c>
      <c r="D98" s="85" t="n">
        <v>44846</v>
      </c>
      <c r="E98" s="70">
        <f>YEAR(D98)</f>
        <v/>
      </c>
      <c r="F98" s="72" t="inlineStr">
        <is>
          <t>ddHiFi</t>
        </is>
      </c>
      <c r="G98" s="72" t="inlineStr">
        <is>
          <t>TC44A Lightning DAC</t>
        </is>
      </c>
      <c r="H98" s="73" t="n">
        <v>8.300000000000001</v>
      </c>
      <c r="I98" s="74" t="inlineStr">
        <is>
          <t>Reader</t>
        </is>
      </c>
      <c r="J98" s="74" t="inlineStr">
        <is>
          <t>Lightning portable DAC/amp</t>
        </is>
      </c>
      <c r="K98" s="75" t="inlineStr">
        <is>
          <t>https://headfonics.com/?s=ddHiFi+TC44A+Lightning+DAC</t>
        </is>
      </c>
      <c r="L98" s="75" t="inlineStr">
        <is>
          <t>https://headfonics.com/category/portable-amps-dacs/page/5/</t>
        </is>
      </c>
      <c r="M98" s="72" t="inlineStr">
        <is>
          <t>Non</t>
        </is>
      </c>
    </row>
    <row r="99">
      <c r="A99" s="65" t="n">
        <v>95</v>
      </c>
      <c r="B99" s="65">
        <f>ROUNDUP(A99/20,0)</f>
        <v/>
      </c>
      <c r="C99" s="65">
        <f>MOD(A99-1,20)+1</f>
        <v/>
      </c>
      <c r="D99" s="84" t="n">
        <v>44841</v>
      </c>
      <c r="E99" s="65">
        <f>YEAR(D99)</f>
        <v/>
      </c>
      <c r="F99" s="67" t="inlineStr">
        <is>
          <t>xDuoo</t>
        </is>
      </c>
      <c r="G99" s="67" t="inlineStr">
        <is>
          <t>Link2 Bal</t>
        </is>
      </c>
      <c r="H99" s="73" t="n">
        <v>8.4</v>
      </c>
      <c r="I99" s="24" t="inlineStr">
        <is>
          <t>Reader</t>
        </is>
      </c>
      <c r="J99" s="24" t="inlineStr">
        <is>
          <t>Portable dongle DAC/amp</t>
        </is>
      </c>
      <c r="K99" s="69" t="inlineStr">
        <is>
          <t>https://headfonics.com/?s=xDuoo+Link2+Bal</t>
        </is>
      </c>
      <c r="L99" s="69" t="inlineStr">
        <is>
          <t>https://headfonics.com/category/portable-amps-dacs/page/5/</t>
        </is>
      </c>
      <c r="M99" s="67" t="inlineStr">
        <is>
          <t>Non</t>
        </is>
      </c>
    </row>
    <row r="100">
      <c r="A100" s="70" t="n">
        <v>96</v>
      </c>
      <c r="B100" s="70">
        <f>ROUNDUP(A100/20,0)</f>
        <v/>
      </c>
      <c r="C100" s="70">
        <f>MOD(A100-1,20)+1</f>
        <v/>
      </c>
      <c r="D100" s="85" t="n">
        <v>44832</v>
      </c>
      <c r="E100" s="70">
        <f>YEAR(D100)</f>
        <v/>
      </c>
      <c r="F100" s="72" t="inlineStr">
        <is>
          <t>Shanling</t>
        </is>
      </c>
      <c r="G100" s="72" t="inlineStr">
        <is>
          <t>UA3</t>
        </is>
      </c>
      <c r="H100" s="72" t="n"/>
      <c r="I100" s="74" t="inlineStr">
        <is>
          <t>Reader (non relevé)</t>
        </is>
      </c>
      <c r="J100" s="74" t="inlineStr">
        <is>
          <t>Portable dongle DAC/amp</t>
        </is>
      </c>
      <c r="K100" s="75" t="inlineStr">
        <is>
          <t>https://headfonics.com/?s=Shanling+UA3</t>
        </is>
      </c>
      <c r="L100" s="75" t="inlineStr">
        <is>
          <t>https://headfonics.com/category/portable-amps-dacs/page/5/</t>
        </is>
      </c>
      <c r="M100" s="72" t="inlineStr">
        <is>
          <t>Non</t>
        </is>
      </c>
    </row>
    <row r="101">
      <c r="A101" s="65" t="n">
        <v>97</v>
      </c>
      <c r="B101" s="65">
        <f>ROUNDUP(A101/20,0)</f>
        <v/>
      </c>
      <c r="C101" s="65">
        <f>MOD(A101-1,20)+1</f>
        <v/>
      </c>
      <c r="D101" s="84" t="n">
        <v>44820</v>
      </c>
      <c r="E101" s="65">
        <f>YEAR(D101)</f>
        <v/>
      </c>
      <c r="F101" s="67" t="inlineStr">
        <is>
          <t>HiBy</t>
        </is>
      </c>
      <c r="G101" s="67" t="inlineStr">
        <is>
          <t>FC4</t>
        </is>
      </c>
      <c r="H101" s="67" t="n"/>
      <c r="I101" s="24" t="inlineStr">
        <is>
          <t>Reader (non relevé)</t>
        </is>
      </c>
      <c r="J101" s="24" t="inlineStr">
        <is>
          <t>Portable dongle DAC/amp</t>
        </is>
      </c>
      <c r="K101" s="69" t="inlineStr">
        <is>
          <t>https://headfonics.com/?s=HiBy+FC4</t>
        </is>
      </c>
      <c r="L101" s="69" t="inlineStr">
        <is>
          <t>https://headfonics.com/category/portable-amps-dacs/page/5/</t>
        </is>
      </c>
      <c r="M101" s="67" t="inlineStr">
        <is>
          <t>Non</t>
        </is>
      </c>
    </row>
    <row r="102">
      <c r="A102" s="70" t="n">
        <v>98</v>
      </c>
      <c r="B102" s="70">
        <f>ROUNDUP(A102/20,0)</f>
        <v/>
      </c>
      <c r="C102" s="70">
        <f>MOD(A102-1,20)+1</f>
        <v/>
      </c>
      <c r="D102" s="85" t="n">
        <v>44807</v>
      </c>
      <c r="E102" s="70">
        <f>YEAR(D102)</f>
        <v/>
      </c>
      <c r="F102" s="72" t="inlineStr">
        <is>
          <t>Questyle</t>
        </is>
      </c>
      <c r="G102" s="72" t="inlineStr">
        <is>
          <t>M15</t>
        </is>
      </c>
      <c r="H102" s="73" t="n">
        <v>8.5</v>
      </c>
      <c r="I102" s="74" t="inlineStr">
        <is>
          <t>Reader</t>
        </is>
      </c>
      <c r="J102" s="74" t="inlineStr">
        <is>
          <t>Current Mode portable dongle DAC/amp</t>
        </is>
      </c>
      <c r="K102" s="75" t="inlineStr">
        <is>
          <t>https://headfonics.com/?s=Questyle+M15</t>
        </is>
      </c>
      <c r="L102" s="75" t="inlineStr">
        <is>
          <t>https://headfonics.com/category/portable-amps-dacs/page/5/</t>
        </is>
      </c>
      <c r="M102" s="72" t="inlineStr">
        <is>
          <t>Non</t>
        </is>
      </c>
    </row>
    <row r="103">
      <c r="A103" s="65" t="n">
        <v>99</v>
      </c>
      <c r="B103" s="65">
        <f>ROUNDUP(A103/20,0)</f>
        <v/>
      </c>
      <c r="C103" s="65">
        <f>MOD(A103-1,20)+1</f>
        <v/>
      </c>
      <c r="D103" s="84" t="n">
        <v>44802</v>
      </c>
      <c r="E103" s="65">
        <f>YEAR(D103)</f>
        <v/>
      </c>
      <c r="F103" s="67" t="inlineStr">
        <is>
          <t>iBasso</t>
        </is>
      </c>
      <c r="G103" s="67" t="inlineStr">
        <is>
          <t>DC06</t>
        </is>
      </c>
      <c r="H103" s="73" t="n">
        <v>8.199999999999999</v>
      </c>
      <c r="I103" s="24" t="inlineStr">
        <is>
          <t>Reader</t>
        </is>
      </c>
      <c r="J103" s="24" t="inlineStr">
        <is>
          <t>Portable dongle DAC/amp</t>
        </is>
      </c>
      <c r="K103" s="69" t="inlineStr">
        <is>
          <t>https://headfonics.com/?s=iBasso+DC06</t>
        </is>
      </c>
      <c r="L103" s="69" t="inlineStr">
        <is>
          <t>https://headfonics.com/category/portable-amps-dacs/page/5/</t>
        </is>
      </c>
      <c r="M103" s="67" t="inlineStr">
        <is>
          <t>Non</t>
        </is>
      </c>
    </row>
    <row r="104">
      <c r="A104" s="70" t="n">
        <v>100</v>
      </c>
      <c r="B104" s="70">
        <f>ROUNDUP(A104/20,0)</f>
        <v/>
      </c>
      <c r="C104" s="70">
        <f>MOD(A104-1,20)+1</f>
        <v/>
      </c>
      <c r="D104" s="85" t="n">
        <v>44769</v>
      </c>
      <c r="E104" s="70">
        <f>YEAR(D104)</f>
        <v/>
      </c>
      <c r="F104" s="72" t="inlineStr">
        <is>
          <t>xDuoo</t>
        </is>
      </c>
      <c r="G104" s="72" t="inlineStr">
        <is>
          <t>POKE II</t>
        </is>
      </c>
      <c r="H104" s="73" t="n">
        <v>8.300000000000001</v>
      </c>
      <c r="I104" s="74" t="inlineStr">
        <is>
          <t>Reader</t>
        </is>
      </c>
      <c r="J104" s="74" t="inlineStr">
        <is>
          <t>Battery portable DAC/amp</t>
        </is>
      </c>
      <c r="K104" s="75" t="inlineStr">
        <is>
          <t>https://headfonics.com/?s=xDuoo+POKE+II</t>
        </is>
      </c>
      <c r="L104" s="75" t="inlineStr">
        <is>
          <t>https://headfonics.com/category/portable-amps-dacs/page/5/</t>
        </is>
      </c>
      <c r="M104" s="77" t="inlineStr">
        <is>
          <t>Oui</t>
        </is>
      </c>
    </row>
    <row r="105">
      <c r="A105" s="65" t="n">
        <v>101</v>
      </c>
      <c r="B105" s="65">
        <f>ROUNDUP(A105/20,0)</f>
        <v/>
      </c>
      <c r="C105" s="65">
        <f>MOD(A105-1,20)+1</f>
        <v/>
      </c>
      <c r="D105" s="84" t="n">
        <v>44767</v>
      </c>
      <c r="E105" s="65">
        <f>YEAR(D105)</f>
        <v/>
      </c>
      <c r="F105" s="67" t="inlineStr">
        <is>
          <t>Topping</t>
        </is>
      </c>
      <c r="G105" s="67" t="inlineStr">
        <is>
          <t>NX7</t>
        </is>
      </c>
      <c r="H105" s="67" t="n"/>
      <c r="I105" s="24" t="inlineStr">
        <is>
          <t>Reader (non relevé)</t>
        </is>
      </c>
      <c r="J105" s="24" t="inlineStr">
        <is>
          <t>Portable headphone amplifier</t>
        </is>
      </c>
      <c r="K105" s="69" t="inlineStr">
        <is>
          <t>https://headfonics.com/?s=Topping+NX7</t>
        </is>
      </c>
      <c r="L105" s="69" t="inlineStr">
        <is>
          <t>https://headfonics.com/category/portable-amps-dacs/page/6/</t>
        </is>
      </c>
      <c r="M105" s="67" t="inlineStr">
        <is>
          <t>Non</t>
        </is>
      </c>
    </row>
    <row r="106">
      <c r="A106" s="70" t="n">
        <v>102</v>
      </c>
      <c r="B106" s="70">
        <f>ROUNDUP(A106/20,0)</f>
        <v/>
      </c>
      <c r="C106" s="70">
        <f>MOD(A106-1,20)+1</f>
        <v/>
      </c>
      <c r="D106" s="85" t="n">
        <v>44764</v>
      </c>
      <c r="E106" s="70">
        <f>YEAR(D106)</f>
        <v/>
      </c>
      <c r="F106" s="72" t="inlineStr">
        <is>
          <t>Moondrop</t>
        </is>
      </c>
      <c r="G106" s="72" t="inlineStr">
        <is>
          <t>MoonRiver 2</t>
        </is>
      </c>
      <c r="H106" s="72" t="n"/>
      <c r="I106" s="74" t="inlineStr">
        <is>
          <t>Reader (non relevé)</t>
        </is>
      </c>
      <c r="J106" s="74" t="inlineStr">
        <is>
          <t>Portable dongle DAC/amp</t>
        </is>
      </c>
      <c r="K106" s="75" t="inlineStr">
        <is>
          <t>https://headfonics.com/?s=Moondrop+MoonRiver+2</t>
        </is>
      </c>
      <c r="L106" s="75" t="inlineStr">
        <is>
          <t>https://headfonics.com/category/portable-amps-dacs/page/6/</t>
        </is>
      </c>
      <c r="M106" s="72" t="inlineStr">
        <is>
          <t>Non</t>
        </is>
      </c>
    </row>
    <row r="107">
      <c r="A107" s="65" t="n">
        <v>103</v>
      </c>
      <c r="B107" s="65">
        <f>ROUNDUP(A107/20,0)</f>
        <v/>
      </c>
      <c r="C107" s="65">
        <f>MOD(A107-1,20)+1</f>
        <v/>
      </c>
      <c r="D107" s="84" t="n">
        <v>44751</v>
      </c>
      <c r="E107" s="65">
        <f>YEAR(D107)</f>
        <v/>
      </c>
      <c r="F107" s="67" t="inlineStr">
        <is>
          <t>Colorfly</t>
        </is>
      </c>
      <c r="G107" s="67" t="inlineStr">
        <is>
          <t>CDA M1</t>
        </is>
      </c>
      <c r="H107" s="67" t="n"/>
      <c r="I107" s="24" t="inlineStr">
        <is>
          <t>Reader (non relevé)</t>
        </is>
      </c>
      <c r="J107" s="24" t="inlineStr">
        <is>
          <t>Portable dongle DAC/amp</t>
        </is>
      </c>
      <c r="K107" s="69" t="inlineStr">
        <is>
          <t>https://headfonics.com/?s=Colorfly+CDA+M1</t>
        </is>
      </c>
      <c r="L107" s="69" t="inlineStr">
        <is>
          <t>https://headfonics.com/category/portable-amps-dacs/page/6/</t>
        </is>
      </c>
      <c r="M107" s="67" t="inlineStr">
        <is>
          <t>Non</t>
        </is>
      </c>
    </row>
    <row r="108">
      <c r="A108" s="70" t="n">
        <v>104</v>
      </c>
      <c r="B108" s="70">
        <f>ROUNDUP(A108/20,0)</f>
        <v/>
      </c>
      <c r="C108" s="70">
        <f>MOD(A108-1,20)+1</f>
        <v/>
      </c>
      <c r="D108" s="85" t="n">
        <v>44737</v>
      </c>
      <c r="E108" s="70">
        <f>YEAR(D108)</f>
        <v/>
      </c>
      <c r="F108" s="72" t="inlineStr">
        <is>
          <t>FiiO</t>
        </is>
      </c>
      <c r="G108" s="72" t="inlineStr">
        <is>
          <t>KA1</t>
        </is>
      </c>
      <c r="H108" s="72" t="n"/>
      <c r="I108" s="74" t="inlineStr">
        <is>
          <t>Reader (non relevé)</t>
        </is>
      </c>
      <c r="J108" s="74" t="inlineStr">
        <is>
          <t>Portable dongle DAC/amp</t>
        </is>
      </c>
      <c r="K108" s="75" t="inlineStr">
        <is>
          <t>https://headfonics.com/?s=FiiO+KA1</t>
        </is>
      </c>
      <c r="L108" s="75" t="inlineStr">
        <is>
          <t>https://headfonics.com/category/portable-amps-dacs/page/6/</t>
        </is>
      </c>
      <c r="M108" s="72" t="inlineStr">
        <is>
          <t>Non</t>
        </is>
      </c>
    </row>
    <row r="109">
      <c r="A109" s="65" t="n">
        <v>105</v>
      </c>
      <c r="B109" s="65">
        <f>ROUNDUP(A109/20,0)</f>
        <v/>
      </c>
      <c r="C109" s="65">
        <f>MOD(A109-1,20)+1</f>
        <v/>
      </c>
      <c r="D109" s="84" t="n">
        <v>44730</v>
      </c>
      <c r="E109" s="65">
        <f>YEAR(D109)</f>
        <v/>
      </c>
      <c r="F109" s="67" t="inlineStr">
        <is>
          <t>iFi audio</t>
        </is>
      </c>
      <c r="G109" s="67" t="inlineStr">
        <is>
          <t>GO bar</t>
        </is>
      </c>
      <c r="H109" s="73" t="n">
        <v>8.4</v>
      </c>
      <c r="I109" s="24" t="inlineStr">
        <is>
          <t>Reader</t>
        </is>
      </c>
      <c r="J109" s="24" t="inlineStr">
        <is>
          <t>Portable dongle DAC/amp</t>
        </is>
      </c>
      <c r="K109" s="69" t="inlineStr">
        <is>
          <t>https://headfonics.com/?s=iFi+audio+GO+bar</t>
        </is>
      </c>
      <c r="L109" s="69" t="inlineStr">
        <is>
          <t>https://headfonics.com/category/portable-amps-dacs/page/6/</t>
        </is>
      </c>
      <c r="M109" s="67" t="inlineStr">
        <is>
          <t>Non</t>
        </is>
      </c>
    </row>
    <row r="110">
      <c r="A110" s="70" t="n">
        <v>106</v>
      </c>
      <c r="B110" s="70">
        <f>ROUNDUP(A110/20,0)</f>
        <v/>
      </c>
      <c r="C110" s="70">
        <f>MOD(A110-1,20)+1</f>
        <v/>
      </c>
      <c r="D110" s="85" t="n">
        <v>44715</v>
      </c>
      <c r="E110" s="70">
        <f>YEAR(D110)</f>
        <v/>
      </c>
      <c r="F110" s="72" t="inlineStr">
        <is>
          <t>Hilidac Audirect</t>
        </is>
      </c>
      <c r="G110" s="72" t="inlineStr">
        <is>
          <t>Beam 3 Plus</t>
        </is>
      </c>
      <c r="H110" s="72" t="n"/>
      <c r="I110" s="74" t="inlineStr">
        <is>
          <t>Reader (non relevé)</t>
        </is>
      </c>
      <c r="J110" s="74" t="inlineStr">
        <is>
          <t>Portable DAC/amp</t>
        </is>
      </c>
      <c r="K110" s="75" t="inlineStr">
        <is>
          <t>https://headfonics.com/?s=Hilidac+Audirect+Beam+3+Plus</t>
        </is>
      </c>
      <c r="L110" s="75" t="inlineStr">
        <is>
          <t>https://headfonics.com/category/portable-amps-dacs/page/6/</t>
        </is>
      </c>
      <c r="M110" s="72" t="inlineStr">
        <is>
          <t>Non</t>
        </is>
      </c>
    </row>
    <row r="111">
      <c r="A111" s="65" t="n">
        <v>107</v>
      </c>
      <c r="B111" s="65">
        <f>ROUNDUP(A111/20,0)</f>
        <v/>
      </c>
      <c r="C111" s="65">
        <f>MOD(A111-1,20)+1</f>
        <v/>
      </c>
      <c r="D111" s="84" t="n">
        <v>44713</v>
      </c>
      <c r="E111" s="65">
        <f>YEAR(D111)</f>
        <v/>
      </c>
      <c r="F111" s="67" t="inlineStr">
        <is>
          <t>ddHiFi</t>
        </is>
      </c>
      <c r="G111" s="67" t="inlineStr">
        <is>
          <t>TC44C</t>
        </is>
      </c>
      <c r="H111" s="73" t="n">
        <v>8.4</v>
      </c>
      <c r="I111" s="24" t="inlineStr">
        <is>
          <t>Reader</t>
        </is>
      </c>
      <c r="J111" s="24" t="inlineStr">
        <is>
          <t>Portable dongle DAC/amp</t>
        </is>
      </c>
      <c r="K111" s="69" t="inlineStr">
        <is>
          <t>https://headfonics.com/?s=ddHiFi+TC44C</t>
        </is>
      </c>
      <c r="L111" s="69" t="inlineStr">
        <is>
          <t>https://headfonics.com/category/portable-amps-dacs/page/6/</t>
        </is>
      </c>
      <c r="M111" s="67" t="inlineStr">
        <is>
          <t>Non</t>
        </is>
      </c>
    </row>
    <row r="112">
      <c r="A112" s="70" t="n">
        <v>108</v>
      </c>
      <c r="B112" s="70">
        <f>ROUNDUP(A112/20,0)</f>
        <v/>
      </c>
      <c r="C112" s="70">
        <f>MOD(A112-1,20)+1</f>
        <v/>
      </c>
      <c r="D112" s="85" t="n">
        <v>44708</v>
      </c>
      <c r="E112" s="70">
        <f>YEAR(D112)</f>
        <v/>
      </c>
      <c r="F112" s="72" t="inlineStr">
        <is>
          <t>Shanling</t>
        </is>
      </c>
      <c r="G112" s="72" t="inlineStr">
        <is>
          <t>UA5</t>
        </is>
      </c>
      <c r="H112" s="73" t="n">
        <v>8.4</v>
      </c>
      <c r="I112" s="74" t="inlineStr">
        <is>
          <t>Reader</t>
        </is>
      </c>
      <c r="J112" s="74" t="inlineStr">
        <is>
          <t>Portable dongle DAC/amp</t>
        </is>
      </c>
      <c r="K112" s="75" t="inlineStr">
        <is>
          <t>https://headfonics.com/?s=Shanling+UA5</t>
        </is>
      </c>
      <c r="L112" s="75" t="inlineStr">
        <is>
          <t>https://headfonics.com/category/portable-amps-dacs/page/6/</t>
        </is>
      </c>
      <c r="M112" s="72" t="inlineStr">
        <is>
          <t>Non</t>
        </is>
      </c>
    </row>
    <row r="113">
      <c r="A113" s="65" t="n">
        <v>109</v>
      </c>
      <c r="B113" s="65">
        <f>ROUNDUP(A113/20,0)</f>
        <v/>
      </c>
      <c r="C113" s="65">
        <f>MOD(A113-1,20)+1</f>
        <v/>
      </c>
      <c r="D113" s="84" t="n">
        <v>44699</v>
      </c>
      <c r="E113" s="65">
        <f>YEAR(D113)</f>
        <v/>
      </c>
      <c r="F113" s="67" t="inlineStr">
        <is>
          <t>TempoTec</t>
        </is>
      </c>
      <c r="G113" s="67" t="inlineStr">
        <is>
          <t>Sonata E35</t>
        </is>
      </c>
      <c r="H113" s="73" t="n">
        <v>8</v>
      </c>
      <c r="I113" s="24" t="inlineStr">
        <is>
          <t>Reader</t>
        </is>
      </c>
      <c r="J113" s="24" t="inlineStr">
        <is>
          <t>Portable dongle DAC/amp</t>
        </is>
      </c>
      <c r="K113" s="69" t="inlineStr">
        <is>
          <t>https://headfonics.com/?s=TempoTec+Sonata+E35</t>
        </is>
      </c>
      <c r="L113" s="69" t="inlineStr">
        <is>
          <t>https://headfonics.com/category/portable-amps-dacs/page/6/</t>
        </is>
      </c>
      <c r="M113" s="67" t="inlineStr">
        <is>
          <t>Non</t>
        </is>
      </c>
    </row>
    <row r="114">
      <c r="A114" s="70" t="n">
        <v>110</v>
      </c>
      <c r="B114" s="70">
        <f>ROUNDUP(A114/20,0)</f>
        <v/>
      </c>
      <c r="C114" s="70">
        <f>MOD(A114-1,20)+1</f>
        <v/>
      </c>
      <c r="D114" s="85" t="n">
        <v>44697</v>
      </c>
      <c r="E114" s="70">
        <f>YEAR(D114)</f>
        <v/>
      </c>
      <c r="F114" s="72" t="inlineStr">
        <is>
          <t>Astell&amp;Kern</t>
        </is>
      </c>
      <c r="G114" s="72" t="inlineStr">
        <is>
          <t>USB-C Dual DAC Cable PEE51</t>
        </is>
      </c>
      <c r="H114" s="73" t="n">
        <v>8.300000000000001</v>
      </c>
      <c r="I114" s="74" t="inlineStr">
        <is>
          <t>Reader</t>
        </is>
      </c>
      <c r="J114" s="74" t="inlineStr">
        <is>
          <t>Portable USB-C dual-DAC cable</t>
        </is>
      </c>
      <c r="K114" s="75" t="inlineStr">
        <is>
          <t>https://headfonics.com/?s=Astell%26Kern+USB-C+Dual+DAC+Cable+PEE51</t>
        </is>
      </c>
      <c r="L114" s="75" t="inlineStr">
        <is>
          <t>https://headfonics.com/category/portable-amps-dacs/page/6/</t>
        </is>
      </c>
      <c r="M114" s="72" t="inlineStr">
        <is>
          <t>Non</t>
        </is>
      </c>
    </row>
    <row r="115">
      <c r="A115" s="65" t="n">
        <v>111</v>
      </c>
      <c r="B115" s="65">
        <f>ROUNDUP(A115/20,0)</f>
        <v/>
      </c>
      <c r="C115" s="65">
        <f>MOD(A115-1,20)+1</f>
        <v/>
      </c>
      <c r="D115" s="84" t="n">
        <v>44659</v>
      </c>
      <c r="E115" s="65">
        <f>YEAR(D115)</f>
        <v/>
      </c>
      <c r="F115" s="67" t="inlineStr">
        <is>
          <t>Hilidac Audirect</t>
        </is>
      </c>
      <c r="G115" s="67" t="inlineStr">
        <is>
          <t>Beam 3 PRO</t>
        </is>
      </c>
      <c r="H115" s="73" t="n">
        <v>8.1</v>
      </c>
      <c r="I115" s="24" t="inlineStr">
        <is>
          <t>Reader</t>
        </is>
      </c>
      <c r="J115" s="24" t="inlineStr">
        <is>
          <t>Portable DAC/amp</t>
        </is>
      </c>
      <c r="K115" s="69" t="inlineStr">
        <is>
          <t>https://headfonics.com/?s=Hilidac+Audirect+Beam+3+PRO</t>
        </is>
      </c>
      <c r="L115" s="69" t="inlineStr">
        <is>
          <t>https://headfonics.com/category/portable-amps-dacs/page/6/</t>
        </is>
      </c>
      <c r="M115" s="67" t="inlineStr">
        <is>
          <t>Non</t>
        </is>
      </c>
    </row>
    <row r="116">
      <c r="A116" s="70" t="n">
        <v>112</v>
      </c>
      <c r="B116" s="70">
        <f>ROUNDUP(A116/20,0)</f>
        <v/>
      </c>
      <c r="C116" s="70">
        <f>MOD(A116-1,20)+1</f>
        <v/>
      </c>
      <c r="D116" s="85" t="n">
        <v>44653</v>
      </c>
      <c r="E116" s="70">
        <f>YEAR(D116)</f>
        <v/>
      </c>
      <c r="F116" s="72" t="inlineStr">
        <is>
          <t>EarMen</t>
        </is>
      </c>
      <c r="G116" s="72" t="inlineStr">
        <is>
          <t>Colibri</t>
        </is>
      </c>
      <c r="H116" s="73" t="n">
        <v>8.300000000000001</v>
      </c>
      <c r="I116" s="74" t="inlineStr">
        <is>
          <t>Reader</t>
        </is>
      </c>
      <c r="J116" s="74" t="inlineStr">
        <is>
          <t>Battery portable DAC/amp</t>
        </is>
      </c>
      <c r="K116" s="75" t="inlineStr">
        <is>
          <t>https://headfonics.com/?s=EarMen+Colibri</t>
        </is>
      </c>
      <c r="L116" s="75" t="inlineStr">
        <is>
          <t>https://headfonics.com/category/portable-amps-dacs/page/6/</t>
        </is>
      </c>
      <c r="M116" s="72" t="inlineStr">
        <is>
          <t>Non</t>
        </is>
      </c>
    </row>
    <row r="117">
      <c r="A117" s="65" t="n">
        <v>113</v>
      </c>
      <c r="B117" s="65">
        <f>ROUNDUP(A117/20,0)</f>
        <v/>
      </c>
      <c r="C117" s="65">
        <f>MOD(A117-1,20)+1</f>
        <v/>
      </c>
      <c r="D117" s="84" t="n">
        <v>44650</v>
      </c>
      <c r="E117" s="65">
        <f>YEAR(D117)</f>
        <v/>
      </c>
      <c r="F117" s="67" t="inlineStr">
        <is>
          <t>Swan Song Audio</t>
        </is>
      </c>
      <c r="G117" s="67" t="inlineStr">
        <is>
          <t>Mini Black</t>
        </is>
      </c>
      <c r="H117" s="73" t="n">
        <v>8.4</v>
      </c>
      <c r="I117" s="24" t="inlineStr">
        <is>
          <t>Reader</t>
        </is>
      </c>
      <c r="J117" s="24" t="inlineStr">
        <is>
          <t>Portable DAC/amp</t>
        </is>
      </c>
      <c r="K117" s="69" t="inlineStr">
        <is>
          <t>https://headfonics.com/?s=Swan+Song+Audio+Mini+Black</t>
        </is>
      </c>
      <c r="L117" s="69" t="inlineStr">
        <is>
          <t>https://headfonics.com/category/portable-amps-dacs/page/6/</t>
        </is>
      </c>
      <c r="M117" s="67" t="inlineStr">
        <is>
          <t>Non</t>
        </is>
      </c>
    </row>
    <row r="118">
      <c r="A118" s="70" t="n">
        <v>114</v>
      </c>
      <c r="B118" s="70">
        <f>ROUNDUP(A118/20,0)</f>
        <v/>
      </c>
      <c r="C118" s="70">
        <f>MOD(A118-1,20)+1</f>
        <v/>
      </c>
      <c r="D118" s="85" t="n">
        <v>44625</v>
      </c>
      <c r="E118" s="70">
        <f>YEAR(D118)</f>
        <v/>
      </c>
      <c r="F118" s="72" t="inlineStr">
        <is>
          <t>iFi audio</t>
        </is>
      </c>
      <c r="G118" s="72" t="inlineStr">
        <is>
          <t>xDSD Gryphon</t>
        </is>
      </c>
      <c r="H118" s="73" t="n">
        <v>8.6</v>
      </c>
      <c r="I118" s="74" t="inlineStr">
        <is>
          <t>Reader</t>
        </is>
      </c>
      <c r="J118" s="74" t="inlineStr">
        <is>
          <t>Battery portable DAC/amp</t>
        </is>
      </c>
      <c r="K118" s="75" t="inlineStr">
        <is>
          <t>https://headfonics.com/?s=iFi+audio+xDSD+Gryphon</t>
        </is>
      </c>
      <c r="L118" s="75" t="inlineStr">
        <is>
          <t>https://headfonics.com/category/portable-amps-dacs/page/6/</t>
        </is>
      </c>
      <c r="M118" s="72" t="inlineStr">
        <is>
          <t>Non</t>
        </is>
      </c>
    </row>
    <row r="119">
      <c r="A119" s="65" t="n">
        <v>115</v>
      </c>
      <c r="B119" s="65">
        <f>ROUNDUP(A119/20,0)</f>
        <v/>
      </c>
      <c r="C119" s="65">
        <f>MOD(A119-1,20)+1</f>
        <v/>
      </c>
      <c r="D119" s="84" t="n">
        <v>44619</v>
      </c>
      <c r="E119" s="65">
        <f>YEAR(D119)</f>
        <v/>
      </c>
      <c r="F119" s="67" t="inlineStr">
        <is>
          <t>Khadas</t>
        </is>
      </c>
      <c r="G119" s="67" t="inlineStr">
        <is>
          <t>Tea</t>
        </is>
      </c>
      <c r="H119" s="73" t="n">
        <v>8</v>
      </c>
      <c r="I119" s="24" t="inlineStr">
        <is>
          <t>Reader</t>
        </is>
      </c>
      <c r="J119" s="24" t="inlineStr">
        <is>
          <t>Magnetic portable DAC/amp</t>
        </is>
      </c>
      <c r="K119" s="69" t="inlineStr">
        <is>
          <t>https://headfonics.com/?s=Khadas+Tea</t>
        </is>
      </c>
      <c r="L119" s="69" t="inlineStr">
        <is>
          <t>https://headfonics.com/category/portable-amps-dacs/page/6/</t>
        </is>
      </c>
      <c r="M119" s="67" t="inlineStr">
        <is>
          <t>Non</t>
        </is>
      </c>
    </row>
    <row r="120">
      <c r="A120" s="70" t="n">
        <v>116</v>
      </c>
      <c r="B120" s="70">
        <f>ROUNDUP(A120/20,0)</f>
        <v/>
      </c>
      <c r="C120" s="70">
        <f>MOD(A120-1,20)+1</f>
        <v/>
      </c>
      <c r="D120" s="85" t="n">
        <v>44612</v>
      </c>
      <c r="E120" s="70">
        <f>YEAR(D120)</f>
        <v/>
      </c>
      <c r="F120" s="72" t="inlineStr">
        <is>
          <t>HiBy</t>
        </is>
      </c>
      <c r="G120" s="72" t="inlineStr">
        <is>
          <t>FC5</t>
        </is>
      </c>
      <c r="H120" s="73" t="n">
        <v>8</v>
      </c>
      <c r="I120" s="74" t="inlineStr">
        <is>
          <t>Reader</t>
        </is>
      </c>
      <c r="J120" s="74" t="inlineStr">
        <is>
          <t>Portable dongle DAC/amp</t>
        </is>
      </c>
      <c r="K120" s="75" t="inlineStr">
        <is>
          <t>https://headfonics.com/?s=HiBy+FC5</t>
        </is>
      </c>
      <c r="L120" s="75" t="inlineStr">
        <is>
          <t>https://headfonics.com/category/portable-amps-dacs/page/6/</t>
        </is>
      </c>
      <c r="M120" s="72" t="inlineStr">
        <is>
          <t>Non</t>
        </is>
      </c>
    </row>
    <row r="121">
      <c r="A121" s="65" t="n">
        <v>117</v>
      </c>
      <c r="B121" s="65">
        <f>ROUNDUP(A121/20,0)</f>
        <v/>
      </c>
      <c r="C121" s="65">
        <f>MOD(A121-1,20)+1</f>
        <v/>
      </c>
      <c r="D121" s="84" t="n">
        <v>44594</v>
      </c>
      <c r="E121" s="65">
        <f>YEAR(D121)</f>
        <v/>
      </c>
      <c r="F121" s="67" t="inlineStr">
        <is>
          <t>Chord</t>
        </is>
      </c>
      <c r="G121" s="67" t="inlineStr">
        <is>
          <t>Mojo 2</t>
        </is>
      </c>
      <c r="H121" s="68" t="n">
        <v>9.1</v>
      </c>
      <c r="I121" s="24" t="inlineStr">
        <is>
          <t>Reader</t>
        </is>
      </c>
      <c r="J121" s="24" t="inlineStr">
        <is>
          <t>Battery portable DAC/amp</t>
        </is>
      </c>
      <c r="K121" s="69" t="inlineStr">
        <is>
          <t>https://headfonics.com/?s=Chord+Mojo+2</t>
        </is>
      </c>
      <c r="L121" s="69" t="inlineStr">
        <is>
          <t>https://headfonics.com/category/portable-amps-dacs/page/6/</t>
        </is>
      </c>
      <c r="M121" s="67" t="inlineStr">
        <is>
          <t>Non</t>
        </is>
      </c>
    </row>
    <row r="122">
      <c r="A122" s="70" t="n">
        <v>118</v>
      </c>
      <c r="B122" s="70">
        <f>ROUNDUP(A122/20,0)</f>
        <v/>
      </c>
      <c r="C122" s="70">
        <f>MOD(A122-1,20)+1</f>
        <v/>
      </c>
      <c r="D122" s="85" t="n">
        <v>44577</v>
      </c>
      <c r="E122" s="70">
        <f>YEAR(D122)</f>
        <v/>
      </c>
      <c r="F122" s="72" t="inlineStr">
        <is>
          <t>Cayin</t>
        </is>
      </c>
      <c r="G122" s="72" t="inlineStr">
        <is>
          <t>RU6</t>
        </is>
      </c>
      <c r="H122" s="73" t="n">
        <v>8.5</v>
      </c>
      <c r="I122" s="74" t="inlineStr">
        <is>
          <t>Reader</t>
        </is>
      </c>
      <c r="J122" s="74" t="inlineStr">
        <is>
          <t>Discrete R2R dongle DAC/amp</t>
        </is>
      </c>
      <c r="K122" s="75" t="inlineStr">
        <is>
          <t>https://headfonics.com/?s=Cayin+RU6</t>
        </is>
      </c>
      <c r="L122" s="75" t="inlineStr">
        <is>
          <t>https://headfonics.com/category/portable-amps-dacs/page/6/</t>
        </is>
      </c>
      <c r="M122" s="72" t="inlineStr">
        <is>
          <t>Non</t>
        </is>
      </c>
    </row>
    <row r="123">
      <c r="A123" s="65" t="n">
        <v>119</v>
      </c>
      <c r="B123" s="65">
        <f>ROUNDUP(A123/20,0)</f>
        <v/>
      </c>
      <c r="C123" s="65">
        <f>MOD(A123-1,20)+1</f>
        <v/>
      </c>
      <c r="D123" s="84" t="n">
        <v>44573</v>
      </c>
      <c r="E123" s="65">
        <f>YEAR(D123)</f>
        <v/>
      </c>
      <c r="F123" s="67" t="inlineStr">
        <is>
          <t>iBasso</t>
        </is>
      </c>
      <c r="G123" s="67" t="inlineStr">
        <is>
          <t>DC05</t>
        </is>
      </c>
      <c r="H123" s="73" t="n">
        <v>8.199999999999999</v>
      </c>
      <c r="I123" s="24" t="inlineStr">
        <is>
          <t>Reader</t>
        </is>
      </c>
      <c r="J123" s="24" t="inlineStr">
        <is>
          <t>Portable dongle DAC/amp</t>
        </is>
      </c>
      <c r="K123" s="69" t="inlineStr">
        <is>
          <t>https://headfonics.com/?s=iBasso+DC05</t>
        </is>
      </c>
      <c r="L123" s="69" t="inlineStr">
        <is>
          <t>https://headfonics.com/category/portable-amps-dacs/page/6/</t>
        </is>
      </c>
      <c r="M123" s="67" t="inlineStr">
        <is>
          <t>Non</t>
        </is>
      </c>
    </row>
    <row r="124">
      <c r="A124" s="70" t="n">
        <v>120</v>
      </c>
      <c r="B124" s="70">
        <f>ROUNDUP(A124/20,0)</f>
        <v/>
      </c>
      <c r="C124" s="70">
        <f>MOD(A124-1,20)+1</f>
        <v/>
      </c>
      <c r="D124" s="85" t="n">
        <v>44552</v>
      </c>
      <c r="E124" s="70">
        <f>YEAR(D124)</f>
        <v/>
      </c>
      <c r="F124" s="72" t="inlineStr">
        <is>
          <t>FiiO</t>
        </is>
      </c>
      <c r="G124" s="72" t="inlineStr">
        <is>
          <t>KA3</t>
        </is>
      </c>
      <c r="H124" s="72" t="n"/>
      <c r="I124" s="74" t="inlineStr">
        <is>
          <t>Reader (non relevé)</t>
        </is>
      </c>
      <c r="J124" s="74" t="inlineStr">
        <is>
          <t>Portable dongle DAC/amp</t>
        </is>
      </c>
      <c r="K124" s="75" t="inlineStr">
        <is>
          <t>https://headfonics.com/?s=FiiO+KA3</t>
        </is>
      </c>
      <c r="L124" s="75" t="inlineStr">
        <is>
          <t>https://headfonics.com/category/portable-amps-dacs/page/6/</t>
        </is>
      </c>
      <c r="M124" s="72" t="inlineStr">
        <is>
          <t>Non</t>
        </is>
      </c>
    </row>
    <row r="125">
      <c r="A125" s="65" t="n">
        <v>121</v>
      </c>
      <c r="B125" s="65">
        <f>ROUNDUP(A125/20,0)</f>
        <v/>
      </c>
      <c r="C125" s="65">
        <f>MOD(A125-1,20)+1</f>
        <v/>
      </c>
      <c r="D125" s="84" t="n">
        <v>44552</v>
      </c>
      <c r="E125" s="65">
        <f>YEAR(D125)</f>
        <v/>
      </c>
      <c r="F125" s="67" t="inlineStr">
        <is>
          <t>iFi audio</t>
        </is>
      </c>
      <c r="G125" s="67" t="inlineStr">
        <is>
          <t>hip-dac2</t>
        </is>
      </c>
      <c r="H125" s="76" t="n">
        <v>7.7</v>
      </c>
      <c r="I125" s="24" t="inlineStr">
        <is>
          <t>Reader</t>
        </is>
      </c>
      <c r="J125" s="24" t="inlineStr">
        <is>
          <t>Battery portable DAC/amp</t>
        </is>
      </c>
      <c r="K125" s="69" t="inlineStr">
        <is>
          <t>https://headfonics.com/?s=iFi+audio+hip-dac2</t>
        </is>
      </c>
      <c r="L125" s="69" t="inlineStr">
        <is>
          <t>https://headfonics.com/category/portable-amps-dacs/page/7/</t>
        </is>
      </c>
      <c r="M125" s="67" t="inlineStr">
        <is>
          <t>Non</t>
        </is>
      </c>
    </row>
    <row r="126">
      <c r="A126" s="70" t="n">
        <v>122</v>
      </c>
      <c r="B126" s="70">
        <f>ROUNDUP(A126/20,0)</f>
        <v/>
      </c>
      <c r="C126" s="70">
        <f>MOD(A126-1,20)+1</f>
        <v/>
      </c>
      <c r="D126" s="85" t="n">
        <v>44538</v>
      </c>
      <c r="E126" s="70">
        <f>YEAR(D126)</f>
        <v/>
      </c>
      <c r="F126" s="72" t="inlineStr">
        <is>
          <t>Hidizs</t>
        </is>
      </c>
      <c r="G126" s="72" t="inlineStr">
        <is>
          <t>S9 Pro Copper</t>
        </is>
      </c>
      <c r="H126" s="73" t="n">
        <v>8.1</v>
      </c>
      <c r="I126" s="74" t="inlineStr">
        <is>
          <t>Reader</t>
        </is>
      </c>
      <c r="J126" s="74" t="inlineStr">
        <is>
          <t>Portable dongle DAC/amp</t>
        </is>
      </c>
      <c r="K126" s="75" t="inlineStr">
        <is>
          <t>https://headfonics.com/?s=Hidizs+S9+Pro+Copper</t>
        </is>
      </c>
      <c r="L126" s="75" t="inlineStr">
        <is>
          <t>https://headfonics.com/category/portable-amps-dacs/page/7/</t>
        </is>
      </c>
      <c r="M126" s="72" t="inlineStr">
        <is>
          <t>Non</t>
        </is>
      </c>
    </row>
    <row r="127">
      <c r="A127" s="65" t="n">
        <v>123</v>
      </c>
      <c r="B127" s="65">
        <f>ROUNDUP(A127/20,0)</f>
        <v/>
      </c>
      <c r="C127" s="65">
        <f>MOD(A127-1,20)+1</f>
        <v/>
      </c>
      <c r="D127" s="84" t="n">
        <v>44517</v>
      </c>
      <c r="E127" s="65">
        <f>YEAR(D127)</f>
        <v/>
      </c>
      <c r="F127" s="67" t="inlineStr">
        <is>
          <t>Periodic Audio</t>
        </is>
      </c>
      <c r="G127" s="67" t="inlineStr">
        <is>
          <t>Rhodium DAC</t>
        </is>
      </c>
      <c r="H127" s="78" t="n">
        <v>7.4</v>
      </c>
      <c r="I127" s="24" t="inlineStr">
        <is>
          <t>Reader</t>
        </is>
      </c>
      <c r="J127" s="24" t="inlineStr">
        <is>
          <t>Portable dongle DAC</t>
        </is>
      </c>
      <c r="K127" s="69" t="inlineStr">
        <is>
          <t>https://headfonics.com/?s=Periodic+Audio+Rhodium+DAC</t>
        </is>
      </c>
      <c r="L127" s="69" t="inlineStr">
        <is>
          <t>https://headfonics.com/category/portable-amps-dacs/page/7/</t>
        </is>
      </c>
      <c r="M127" s="67" t="inlineStr">
        <is>
          <t>Non</t>
        </is>
      </c>
    </row>
    <row r="128">
      <c r="A128" s="70" t="n">
        <v>124</v>
      </c>
      <c r="B128" s="70">
        <f>ROUNDUP(A128/20,0)</f>
        <v/>
      </c>
      <c r="C128" s="70">
        <f>MOD(A128-1,20)+1</f>
        <v/>
      </c>
      <c r="D128" s="85" t="n">
        <v>44510</v>
      </c>
      <c r="E128" s="70">
        <f>YEAR(D128)</f>
        <v/>
      </c>
      <c r="F128" s="72" t="inlineStr">
        <is>
          <t>Hidizs</t>
        </is>
      </c>
      <c r="G128" s="72" t="inlineStr">
        <is>
          <t>DH80s</t>
        </is>
      </c>
      <c r="H128" s="73" t="n">
        <v>8.1</v>
      </c>
      <c r="I128" s="74" t="inlineStr">
        <is>
          <t>Reader</t>
        </is>
      </c>
      <c r="J128" s="74" t="inlineStr">
        <is>
          <t>Battery portable DAC/amp</t>
        </is>
      </c>
      <c r="K128" s="75" t="inlineStr">
        <is>
          <t>https://headfonics.com/?s=Hidizs+DH80s</t>
        </is>
      </c>
      <c r="L128" s="75" t="inlineStr">
        <is>
          <t>https://headfonics.com/category/portable-amps-dacs/page/7/</t>
        </is>
      </c>
      <c r="M128" s="72" t="inlineStr">
        <is>
          <t>Non</t>
        </is>
      </c>
    </row>
    <row r="129">
      <c r="A129" s="65" t="n">
        <v>125</v>
      </c>
      <c r="B129" s="65">
        <f>ROUNDUP(A129/20,0)</f>
        <v/>
      </c>
      <c r="C129" s="65">
        <f>MOD(A129-1,20)+1</f>
        <v/>
      </c>
      <c r="D129" s="84" t="n">
        <v>44500</v>
      </c>
      <c r="E129" s="65">
        <f>YEAR(D129)</f>
        <v/>
      </c>
      <c r="F129" s="67" t="inlineStr">
        <is>
          <t>Questyle</t>
        </is>
      </c>
      <c r="G129" s="67" t="inlineStr">
        <is>
          <t>M12</t>
        </is>
      </c>
      <c r="H129" s="73" t="n">
        <v>8.1</v>
      </c>
      <c r="I129" s="24" t="inlineStr">
        <is>
          <t>Reader</t>
        </is>
      </c>
      <c r="J129" s="24" t="inlineStr">
        <is>
          <t>Current Mode portable dongle DAC/amp</t>
        </is>
      </c>
      <c r="K129" s="69" t="inlineStr">
        <is>
          <t>https://headfonics.com/?s=Questyle+M12</t>
        </is>
      </c>
      <c r="L129" s="69" t="inlineStr">
        <is>
          <t>https://headfonics.com/category/portable-amps-dacs/page/7/</t>
        </is>
      </c>
      <c r="M129" s="67" t="inlineStr">
        <is>
          <t>Non</t>
        </is>
      </c>
    </row>
    <row r="130">
      <c r="A130" s="70" t="n">
        <v>126</v>
      </c>
      <c r="B130" s="70">
        <f>ROUNDUP(A130/20,0)</f>
        <v/>
      </c>
      <c r="C130" s="70">
        <f>MOD(A130-1,20)+1</f>
        <v/>
      </c>
      <c r="D130" s="85" t="n">
        <v>44492</v>
      </c>
      <c r="E130" s="70">
        <f>YEAR(D130)</f>
        <v/>
      </c>
      <c r="F130" s="72" t="inlineStr">
        <is>
          <t>FiiO</t>
        </is>
      </c>
      <c r="G130" s="72" t="inlineStr">
        <is>
          <t>E10K TC</t>
        </is>
      </c>
      <c r="H130" s="73" t="n">
        <v>8</v>
      </c>
      <c r="I130" s="74" t="inlineStr">
        <is>
          <t>Reader</t>
        </is>
      </c>
      <c r="J130" s="74" t="inlineStr">
        <is>
          <t>USB DAC/amp</t>
        </is>
      </c>
      <c r="K130" s="75" t="inlineStr">
        <is>
          <t>https://headfonics.com/?s=FiiO+E10K+TC</t>
        </is>
      </c>
      <c r="L130" s="75" t="inlineStr">
        <is>
          <t>https://headfonics.com/category/portable-amps-dacs/page/7/</t>
        </is>
      </c>
      <c r="M130" s="72" t="inlineStr">
        <is>
          <t>Non</t>
        </is>
      </c>
    </row>
    <row r="131">
      <c r="A131" s="65" t="n">
        <v>127</v>
      </c>
      <c r="B131" s="65">
        <f>ROUNDUP(A131/20,0)</f>
        <v/>
      </c>
      <c r="C131" s="65">
        <f>MOD(A131-1,20)+1</f>
        <v/>
      </c>
      <c r="D131" s="84" t="n">
        <v>44465</v>
      </c>
      <c r="E131" s="65">
        <f>YEAR(D131)</f>
        <v/>
      </c>
      <c r="F131" s="67" t="inlineStr">
        <is>
          <t>Shanling</t>
        </is>
      </c>
      <c r="G131" s="67" t="inlineStr">
        <is>
          <t>UA2</t>
        </is>
      </c>
      <c r="H131" s="76" t="n">
        <v>7.8</v>
      </c>
      <c r="I131" s="24" t="inlineStr">
        <is>
          <t>Reader</t>
        </is>
      </c>
      <c r="J131" s="24" t="inlineStr">
        <is>
          <t>Portable dongle DAC/amp</t>
        </is>
      </c>
      <c r="K131" s="69" t="inlineStr">
        <is>
          <t>https://headfonics.com/?s=Shanling+UA2</t>
        </is>
      </c>
      <c r="L131" s="69" t="inlineStr">
        <is>
          <t>https://headfonics.com/category/portable-amps-dacs/page/7/</t>
        </is>
      </c>
      <c r="M131" s="67" t="inlineStr">
        <is>
          <t>Non</t>
        </is>
      </c>
    </row>
    <row r="132">
      <c r="A132" s="70" t="n">
        <v>128</v>
      </c>
      <c r="B132" s="70">
        <f>ROUNDUP(A132/20,0)</f>
        <v/>
      </c>
      <c r="C132" s="70">
        <f>MOD(A132-1,20)+1</f>
        <v/>
      </c>
      <c r="D132" s="85" t="n">
        <v>44464</v>
      </c>
      <c r="E132" s="70">
        <f>YEAR(D132)</f>
        <v/>
      </c>
      <c r="F132" s="72" t="inlineStr">
        <is>
          <t>FiiO</t>
        </is>
      </c>
      <c r="G132" s="72" t="inlineStr">
        <is>
          <t>New K3</t>
        </is>
      </c>
      <c r="H132" s="73" t="n">
        <v>8</v>
      </c>
      <c r="I132" s="74" t="inlineStr">
        <is>
          <t>Reader</t>
        </is>
      </c>
      <c r="J132" s="74" t="inlineStr">
        <is>
          <t>USB DAC/amp</t>
        </is>
      </c>
      <c r="K132" s="75" t="inlineStr">
        <is>
          <t>https://headfonics.com/?s=FiiO+New+K3</t>
        </is>
      </c>
      <c r="L132" s="75" t="inlineStr">
        <is>
          <t>https://headfonics.com/category/portable-amps-dacs/page/7/</t>
        </is>
      </c>
      <c r="M132" s="72" t="inlineStr">
        <is>
          <t>Non</t>
        </is>
      </c>
    </row>
    <row r="133">
      <c r="A133" s="65" t="n">
        <v>129</v>
      </c>
      <c r="B133" s="65">
        <f>ROUNDUP(A133/20,0)</f>
        <v/>
      </c>
      <c r="C133" s="65">
        <f>MOD(A133-1,20)+1</f>
        <v/>
      </c>
      <c r="D133" s="84" t="n">
        <v>44461</v>
      </c>
      <c r="E133" s="65">
        <f>YEAR(D133)</f>
        <v/>
      </c>
      <c r="F133" s="67" t="inlineStr">
        <is>
          <t>ddHiFi</t>
        </is>
      </c>
      <c r="G133" s="67" t="inlineStr">
        <is>
          <t>TC35 Pro Tetris</t>
        </is>
      </c>
      <c r="H133" s="76" t="n">
        <v>7.9</v>
      </c>
      <c r="I133" s="24" t="inlineStr">
        <is>
          <t>Reader</t>
        </is>
      </c>
      <c r="J133" s="24" t="inlineStr">
        <is>
          <t>Portable USB DAC adapter</t>
        </is>
      </c>
      <c r="K133" s="69" t="inlineStr">
        <is>
          <t>https://headfonics.com/?s=ddHiFi+TC35+Pro+Tetris</t>
        </is>
      </c>
      <c r="L133" s="69" t="inlineStr">
        <is>
          <t>https://headfonics.com/category/portable-amps-dacs/page/7/</t>
        </is>
      </c>
      <c r="M133" s="67" t="inlineStr">
        <is>
          <t>Non</t>
        </is>
      </c>
    </row>
    <row r="134">
      <c r="A134" s="70" t="n">
        <v>130</v>
      </c>
      <c r="B134" s="70">
        <f>ROUNDUP(A134/20,0)</f>
        <v/>
      </c>
      <c r="C134" s="70">
        <f>MOD(A134-1,20)+1</f>
        <v/>
      </c>
      <c r="D134" s="85" t="n">
        <v>44457</v>
      </c>
      <c r="E134" s="70">
        <f>YEAR(D134)</f>
        <v/>
      </c>
      <c r="F134" s="72" t="inlineStr">
        <is>
          <t>Helm Audio</t>
        </is>
      </c>
      <c r="G134" s="72" t="inlineStr">
        <is>
          <t>Bolt</t>
        </is>
      </c>
      <c r="H134" s="73" t="n">
        <v>8</v>
      </c>
      <c r="I134" s="74" t="inlineStr">
        <is>
          <t>Reader</t>
        </is>
      </c>
      <c r="J134" s="74" t="inlineStr">
        <is>
          <t>Portable dongle DAC/amp</t>
        </is>
      </c>
      <c r="K134" s="75" t="inlineStr">
        <is>
          <t>https://headfonics.com/?s=Helm+Audio+Bolt</t>
        </is>
      </c>
      <c r="L134" s="75" t="inlineStr">
        <is>
          <t>https://headfonics.com/category/portable-amps-dacs/page/7/</t>
        </is>
      </c>
      <c r="M134" s="72" t="inlineStr">
        <is>
          <t>Non</t>
        </is>
      </c>
    </row>
    <row r="135">
      <c r="A135" s="65" t="n">
        <v>131</v>
      </c>
      <c r="B135" s="65">
        <f>ROUNDUP(A135/20,0)</f>
        <v/>
      </c>
      <c r="C135" s="65">
        <f>MOD(A135-1,20)+1</f>
        <v/>
      </c>
      <c r="D135" s="84" t="n">
        <v>44401</v>
      </c>
      <c r="E135" s="65">
        <f>YEAR(D135)</f>
        <v/>
      </c>
      <c r="F135" s="67" t="inlineStr">
        <is>
          <t>Luxury &amp; Precision</t>
        </is>
      </c>
      <c r="G135" s="67" t="inlineStr">
        <is>
          <t>W2</t>
        </is>
      </c>
      <c r="H135" s="73" t="n">
        <v>8.300000000000001</v>
      </c>
      <c r="I135" s="24" t="inlineStr">
        <is>
          <t>Reader</t>
        </is>
      </c>
      <c r="J135" s="24" t="inlineStr">
        <is>
          <t>Portable dongle DAC/amp</t>
        </is>
      </c>
      <c r="K135" s="69" t="inlineStr">
        <is>
          <t>https://headfonics.com/?s=Luxury+%26+Precision+W2</t>
        </is>
      </c>
      <c r="L135" s="69" t="inlineStr">
        <is>
          <t>https://headfonics.com/category/portable-amps-dacs/page/7/</t>
        </is>
      </c>
      <c r="M135" s="67" t="inlineStr">
        <is>
          <t>Non</t>
        </is>
      </c>
    </row>
    <row r="136">
      <c r="A136" s="70" t="n">
        <v>132</v>
      </c>
      <c r="B136" s="70">
        <f>ROUNDUP(A136/20,0)</f>
        <v/>
      </c>
      <c r="C136" s="70">
        <f>MOD(A136-1,20)+1</f>
        <v/>
      </c>
      <c r="D136" s="85" t="n">
        <v>44394</v>
      </c>
      <c r="E136" s="70">
        <f>YEAR(D136)</f>
        <v/>
      </c>
      <c r="F136" s="72" t="inlineStr">
        <is>
          <t>Hidizs</t>
        </is>
      </c>
      <c r="G136" s="72" t="inlineStr">
        <is>
          <t>S9 Pro</t>
        </is>
      </c>
      <c r="H136" s="73" t="n">
        <v>8</v>
      </c>
      <c r="I136" s="74" t="inlineStr">
        <is>
          <t>Reader</t>
        </is>
      </c>
      <c r="J136" s="74" t="inlineStr">
        <is>
          <t>Portable dongle DAC/amp</t>
        </is>
      </c>
      <c r="K136" s="75" t="inlineStr">
        <is>
          <t>https://headfonics.com/?s=Hidizs+S9+Pro</t>
        </is>
      </c>
      <c r="L136" s="75" t="inlineStr">
        <is>
          <t>https://headfonics.com/category/portable-amps-dacs/page/7/</t>
        </is>
      </c>
      <c r="M136" s="72" t="inlineStr">
        <is>
          <t>Non</t>
        </is>
      </c>
    </row>
    <row r="137">
      <c r="A137" s="65" t="n">
        <v>133</v>
      </c>
      <c r="B137" s="65">
        <f>ROUNDUP(A137/20,0)</f>
        <v/>
      </c>
      <c r="C137" s="65">
        <f>MOD(A137-1,20)+1</f>
        <v/>
      </c>
      <c r="D137" s="84" t="n">
        <v>44384</v>
      </c>
      <c r="E137" s="65">
        <f>YEAR(D137)</f>
        <v/>
      </c>
      <c r="F137" s="67" t="inlineStr">
        <is>
          <t>Hidizs</t>
        </is>
      </c>
      <c r="G137" s="67" t="inlineStr">
        <is>
          <t>S3 Pro</t>
        </is>
      </c>
      <c r="H137" s="67" t="n"/>
      <c r="I137" s="24" t="inlineStr">
        <is>
          <t>Reader (non relevé)</t>
        </is>
      </c>
      <c r="J137" s="24" t="inlineStr">
        <is>
          <t>Portable dongle DAC/amp</t>
        </is>
      </c>
      <c r="K137" s="69" t="inlineStr">
        <is>
          <t>https://headfonics.com/?s=Hidizs+S3+Pro</t>
        </is>
      </c>
      <c r="L137" s="69" t="inlineStr">
        <is>
          <t>https://headfonics.com/category/portable-amps-dacs/page/7/</t>
        </is>
      </c>
      <c r="M137" s="67" t="inlineStr">
        <is>
          <t>Non</t>
        </is>
      </c>
    </row>
    <row r="138">
      <c r="A138" s="70" t="n">
        <v>134</v>
      </c>
      <c r="B138" s="70">
        <f>ROUNDUP(A138/20,0)</f>
        <v/>
      </c>
      <c r="C138" s="70">
        <f>MOD(A138-1,20)+1</f>
        <v/>
      </c>
      <c r="D138" s="85" t="n">
        <v>44381</v>
      </c>
      <c r="E138" s="70">
        <f>YEAR(D138)</f>
        <v/>
      </c>
      <c r="F138" s="72" t="inlineStr">
        <is>
          <t>iFi audio</t>
        </is>
      </c>
      <c r="G138" s="72" t="inlineStr">
        <is>
          <t>iDSD Diablo</t>
        </is>
      </c>
      <c r="H138" s="72" t="n"/>
      <c r="I138" s="74" t="inlineStr">
        <is>
          <t>Reader (non relevé)</t>
        </is>
      </c>
      <c r="J138" s="74" t="inlineStr">
        <is>
          <t>High-power battery portable DAC/amp</t>
        </is>
      </c>
      <c r="K138" s="75" t="inlineStr">
        <is>
          <t>https://headfonics.com/?s=iFi+audio+iDSD+Diablo</t>
        </is>
      </c>
      <c r="L138" s="75" t="inlineStr">
        <is>
          <t>https://headfonics.com/category/portable-amps-dacs/page/7/</t>
        </is>
      </c>
      <c r="M138" s="72" t="inlineStr">
        <is>
          <t>Non</t>
        </is>
      </c>
    </row>
    <row r="139">
      <c r="A139" s="65" t="n">
        <v>135</v>
      </c>
      <c r="B139" s="65">
        <f>ROUNDUP(A139/20,0)</f>
        <v/>
      </c>
      <c r="C139" s="65">
        <f>MOD(A139-1,20)+1</f>
        <v/>
      </c>
      <c r="D139" s="84" t="n">
        <v>44377</v>
      </c>
      <c r="E139" s="65">
        <f>YEAR(D139)</f>
        <v/>
      </c>
      <c r="F139" s="67" t="inlineStr">
        <is>
          <t>Phatlab</t>
        </is>
      </c>
      <c r="G139" s="67" t="inlineStr">
        <is>
          <t>Chimera</t>
        </is>
      </c>
      <c r="H139" s="73" t="n">
        <v>8.5</v>
      </c>
      <c r="I139" s="24" t="inlineStr">
        <is>
          <t>Reader</t>
        </is>
      </c>
      <c r="J139" s="24" t="inlineStr">
        <is>
          <t>Portable headphone amplifier</t>
        </is>
      </c>
      <c r="K139" s="69" t="inlineStr">
        <is>
          <t>https://headfonics.com/?s=Phatlab+Chimera</t>
        </is>
      </c>
      <c r="L139" s="69" t="inlineStr">
        <is>
          <t>https://headfonics.com/category/portable-amps-dacs/page/7/</t>
        </is>
      </c>
      <c r="M139" s="67" t="inlineStr">
        <is>
          <t>Non</t>
        </is>
      </c>
    </row>
    <row r="140">
      <c r="A140" s="70" t="n">
        <v>136</v>
      </c>
      <c r="B140" s="70">
        <f>ROUNDUP(A140/20,0)</f>
        <v/>
      </c>
      <c r="C140" s="70">
        <f>MOD(A140-1,20)+1</f>
        <v/>
      </c>
      <c r="D140" s="85" t="n">
        <v>44363</v>
      </c>
      <c r="E140" s="70">
        <f>YEAR(D140)</f>
        <v/>
      </c>
      <c r="F140" s="72" t="inlineStr">
        <is>
          <t>HiBy</t>
        </is>
      </c>
      <c r="G140" s="72" t="inlineStr">
        <is>
          <t>FC3</t>
        </is>
      </c>
      <c r="H140" s="76" t="n">
        <v>7.8</v>
      </c>
      <c r="I140" s="74" t="inlineStr">
        <is>
          <t>Reader</t>
        </is>
      </c>
      <c r="J140" s="74" t="inlineStr">
        <is>
          <t>Portable dongle DAC/amp</t>
        </is>
      </c>
      <c r="K140" s="75" t="inlineStr">
        <is>
          <t>https://headfonics.com/?s=HiBy+FC3</t>
        </is>
      </c>
      <c r="L140" s="75" t="inlineStr">
        <is>
          <t>https://headfonics.com/category/portable-amps-dacs/page/7/</t>
        </is>
      </c>
      <c r="M140" s="72" t="inlineStr">
        <is>
          <t>Non</t>
        </is>
      </c>
    </row>
    <row r="141">
      <c r="A141" s="65" t="n">
        <v>137</v>
      </c>
      <c r="B141" s="65">
        <f>ROUNDUP(A141/20,0)</f>
        <v/>
      </c>
      <c r="C141" s="65">
        <f>MOD(A141-1,20)+1</f>
        <v/>
      </c>
      <c r="D141" s="84" t="n">
        <v>44302</v>
      </c>
      <c r="E141" s="65">
        <f>YEAR(D141)</f>
        <v/>
      </c>
      <c r="F141" s="67" t="inlineStr">
        <is>
          <t>Khadas</t>
        </is>
      </c>
      <c r="G141" s="67" t="inlineStr">
        <is>
          <t>Tone2 Pro</t>
        </is>
      </c>
      <c r="H141" s="73" t="n">
        <v>8.1</v>
      </c>
      <c r="I141" s="24" t="inlineStr">
        <is>
          <t>Reader</t>
        </is>
      </c>
      <c r="J141" s="24" t="inlineStr">
        <is>
          <t>Portable/desktop DAC/amp</t>
        </is>
      </c>
      <c r="K141" s="69" t="inlineStr">
        <is>
          <t>https://headfonics.com/?s=Khadas+Tone2+Pro</t>
        </is>
      </c>
      <c r="L141" s="69" t="inlineStr">
        <is>
          <t>https://headfonics.com/category/portable-amps-dacs/page/7/</t>
        </is>
      </c>
      <c r="M141" s="67" t="inlineStr">
        <is>
          <t>Non</t>
        </is>
      </c>
    </row>
    <row r="142">
      <c r="A142" s="70" t="n">
        <v>138</v>
      </c>
      <c r="B142" s="70">
        <f>ROUNDUP(A142/20,0)</f>
        <v/>
      </c>
      <c r="C142" s="70">
        <f>MOD(A142-1,20)+1</f>
        <v/>
      </c>
      <c r="D142" s="85" t="n">
        <v>44300</v>
      </c>
      <c r="E142" s="70">
        <f>YEAR(D142)</f>
        <v/>
      </c>
      <c r="F142" s="72" t="inlineStr">
        <is>
          <t>Hidizs</t>
        </is>
      </c>
      <c r="G142" s="72" t="inlineStr">
        <is>
          <t>DH80</t>
        </is>
      </c>
      <c r="H142" s="73" t="n">
        <v>8.1</v>
      </c>
      <c r="I142" s="74" t="inlineStr">
        <is>
          <t>Reader</t>
        </is>
      </c>
      <c r="J142" s="74" t="inlineStr">
        <is>
          <t>Battery portable DAC/amp</t>
        </is>
      </c>
      <c r="K142" s="75" t="inlineStr">
        <is>
          <t>https://headfonics.com/?s=Hidizs+DH80</t>
        </is>
      </c>
      <c r="L142" s="75" t="inlineStr">
        <is>
          <t>https://headfonics.com/category/portable-amps-dacs/page/7/</t>
        </is>
      </c>
      <c r="M142" s="72" t="inlineStr">
        <is>
          <t>Non</t>
        </is>
      </c>
    </row>
    <row r="143">
      <c r="A143" s="65" t="n">
        <v>139</v>
      </c>
      <c r="B143" s="65">
        <f>ROUNDUP(A143/20,0)</f>
        <v/>
      </c>
      <c r="C143" s="65">
        <f>MOD(A143-1,20)+1</f>
        <v/>
      </c>
      <c r="D143" s="84" t="n">
        <v>44296</v>
      </c>
      <c r="E143" s="65">
        <f>YEAR(D143)</f>
        <v/>
      </c>
      <c r="F143" s="67" t="inlineStr">
        <is>
          <t>iBasso</t>
        </is>
      </c>
      <c r="G143" s="67" t="inlineStr">
        <is>
          <t>DC04</t>
        </is>
      </c>
      <c r="H143" s="73" t="n">
        <v>8</v>
      </c>
      <c r="I143" s="24" t="inlineStr">
        <is>
          <t>Reader</t>
        </is>
      </c>
      <c r="J143" s="24" t="inlineStr">
        <is>
          <t>Portable dongle DAC/amp</t>
        </is>
      </c>
      <c r="K143" s="69" t="inlineStr">
        <is>
          <t>https://headfonics.com/?s=iBasso+DC04</t>
        </is>
      </c>
      <c r="L143" s="69" t="inlineStr">
        <is>
          <t>https://headfonics.com/category/portable-amps-dacs/page/7/</t>
        </is>
      </c>
      <c r="M143" s="67" t="inlineStr">
        <is>
          <t>Non</t>
        </is>
      </c>
    </row>
    <row r="144">
      <c r="A144" s="70" t="n">
        <v>140</v>
      </c>
      <c r="B144" s="70">
        <f>ROUNDUP(A144/20,0)</f>
        <v/>
      </c>
      <c r="C144" s="70">
        <f>MOD(A144-1,20)+1</f>
        <v/>
      </c>
      <c r="D144" s="85" t="n">
        <v>44288</v>
      </c>
      <c r="E144" s="70">
        <f>YEAR(D144)</f>
        <v/>
      </c>
      <c r="F144" s="72" t="inlineStr">
        <is>
          <t>HiBy</t>
        </is>
      </c>
      <c r="G144" s="72" t="inlineStr">
        <is>
          <t>FD1 &amp; Beans</t>
        </is>
      </c>
      <c r="H144" s="72" t="n"/>
      <c r="I144" s="74" t="inlineStr">
        <is>
          <t>Reader (non relevé)</t>
        </is>
      </c>
      <c r="J144" s="74" t="inlineStr">
        <is>
          <t>Portable DAC/amp bundle</t>
        </is>
      </c>
      <c r="K144" s="75" t="inlineStr">
        <is>
          <t>https://headfonics.com/?s=HiBy+FD1+%26+Beans</t>
        </is>
      </c>
      <c r="L144" s="75" t="inlineStr">
        <is>
          <t>https://headfonics.com/category/portable-amps-dacs/page/7/</t>
        </is>
      </c>
      <c r="M144" s="72" t="inlineStr">
        <is>
          <t>Non</t>
        </is>
      </c>
    </row>
  </sheetData>
  <autoFilter ref="A4:M144"/>
  <mergeCells count="3">
    <mergeCell ref="A3:M3"/>
    <mergeCell ref="A2:M2"/>
    <mergeCell ref="A1:M1"/>
  </mergeCells>
  <hyperlinks>
    <hyperlink xmlns:r="http://schemas.openxmlformats.org/officeDocument/2006/relationships" ref="A3" r:id="rId1"/>
    <hyperlink xmlns:r="http://schemas.openxmlformats.org/officeDocument/2006/relationships" ref="K5" r:id="rId2"/>
    <hyperlink xmlns:r="http://schemas.openxmlformats.org/officeDocument/2006/relationships" ref="L5" r:id="rId3"/>
    <hyperlink xmlns:r="http://schemas.openxmlformats.org/officeDocument/2006/relationships" ref="K6" r:id="rId4"/>
    <hyperlink xmlns:r="http://schemas.openxmlformats.org/officeDocument/2006/relationships" ref="L6" r:id="rId5"/>
    <hyperlink xmlns:r="http://schemas.openxmlformats.org/officeDocument/2006/relationships" ref="K7" r:id="rId6"/>
    <hyperlink xmlns:r="http://schemas.openxmlformats.org/officeDocument/2006/relationships" ref="L7" r:id="rId7"/>
    <hyperlink xmlns:r="http://schemas.openxmlformats.org/officeDocument/2006/relationships" ref="K8" r:id="rId8"/>
    <hyperlink xmlns:r="http://schemas.openxmlformats.org/officeDocument/2006/relationships" ref="L8" r:id="rId9"/>
    <hyperlink xmlns:r="http://schemas.openxmlformats.org/officeDocument/2006/relationships" ref="K9" r:id="rId10"/>
    <hyperlink xmlns:r="http://schemas.openxmlformats.org/officeDocument/2006/relationships" ref="L9" r:id="rId11"/>
    <hyperlink xmlns:r="http://schemas.openxmlformats.org/officeDocument/2006/relationships" ref="K10" r:id="rId12"/>
    <hyperlink xmlns:r="http://schemas.openxmlformats.org/officeDocument/2006/relationships" ref="L10" r:id="rId13"/>
    <hyperlink xmlns:r="http://schemas.openxmlformats.org/officeDocument/2006/relationships" ref="K11" r:id="rId14"/>
    <hyperlink xmlns:r="http://schemas.openxmlformats.org/officeDocument/2006/relationships" ref="L11" r:id="rId15"/>
    <hyperlink xmlns:r="http://schemas.openxmlformats.org/officeDocument/2006/relationships" ref="K12" r:id="rId16"/>
    <hyperlink xmlns:r="http://schemas.openxmlformats.org/officeDocument/2006/relationships" ref="L12" r:id="rId17"/>
    <hyperlink xmlns:r="http://schemas.openxmlformats.org/officeDocument/2006/relationships" ref="K13" r:id="rId18"/>
    <hyperlink xmlns:r="http://schemas.openxmlformats.org/officeDocument/2006/relationships" ref="L13" r:id="rId19"/>
    <hyperlink xmlns:r="http://schemas.openxmlformats.org/officeDocument/2006/relationships" ref="K14" r:id="rId20"/>
    <hyperlink xmlns:r="http://schemas.openxmlformats.org/officeDocument/2006/relationships" ref="L14" r:id="rId21"/>
    <hyperlink xmlns:r="http://schemas.openxmlformats.org/officeDocument/2006/relationships" ref="K15" r:id="rId22"/>
    <hyperlink xmlns:r="http://schemas.openxmlformats.org/officeDocument/2006/relationships" ref="L15" r:id="rId23"/>
    <hyperlink xmlns:r="http://schemas.openxmlformats.org/officeDocument/2006/relationships" ref="K16" r:id="rId24"/>
    <hyperlink xmlns:r="http://schemas.openxmlformats.org/officeDocument/2006/relationships" ref="L16" r:id="rId25"/>
    <hyperlink xmlns:r="http://schemas.openxmlformats.org/officeDocument/2006/relationships" ref="K17" r:id="rId26"/>
    <hyperlink xmlns:r="http://schemas.openxmlformats.org/officeDocument/2006/relationships" ref="L17" r:id="rId27"/>
    <hyperlink xmlns:r="http://schemas.openxmlformats.org/officeDocument/2006/relationships" ref="K18" r:id="rId28"/>
    <hyperlink xmlns:r="http://schemas.openxmlformats.org/officeDocument/2006/relationships" ref="L18" r:id="rId29"/>
    <hyperlink xmlns:r="http://schemas.openxmlformats.org/officeDocument/2006/relationships" ref="K19" r:id="rId30"/>
    <hyperlink xmlns:r="http://schemas.openxmlformats.org/officeDocument/2006/relationships" ref="L19" r:id="rId31"/>
    <hyperlink xmlns:r="http://schemas.openxmlformats.org/officeDocument/2006/relationships" ref="K20" r:id="rId32"/>
    <hyperlink xmlns:r="http://schemas.openxmlformats.org/officeDocument/2006/relationships" ref="L20" r:id="rId33"/>
    <hyperlink xmlns:r="http://schemas.openxmlformats.org/officeDocument/2006/relationships" ref="K21" r:id="rId34"/>
    <hyperlink xmlns:r="http://schemas.openxmlformats.org/officeDocument/2006/relationships" ref="L21" r:id="rId35"/>
    <hyperlink xmlns:r="http://schemas.openxmlformats.org/officeDocument/2006/relationships" ref="K22" r:id="rId36"/>
    <hyperlink xmlns:r="http://schemas.openxmlformats.org/officeDocument/2006/relationships" ref="L22" r:id="rId37"/>
    <hyperlink xmlns:r="http://schemas.openxmlformats.org/officeDocument/2006/relationships" ref="K23" r:id="rId38"/>
    <hyperlink xmlns:r="http://schemas.openxmlformats.org/officeDocument/2006/relationships" ref="L23" r:id="rId39"/>
    <hyperlink xmlns:r="http://schemas.openxmlformats.org/officeDocument/2006/relationships" ref="K24" r:id="rId40"/>
    <hyperlink xmlns:r="http://schemas.openxmlformats.org/officeDocument/2006/relationships" ref="L24" r:id="rId41"/>
    <hyperlink xmlns:r="http://schemas.openxmlformats.org/officeDocument/2006/relationships" ref="K25" r:id="rId42"/>
    <hyperlink xmlns:r="http://schemas.openxmlformats.org/officeDocument/2006/relationships" ref="L25" r:id="rId43"/>
    <hyperlink xmlns:r="http://schemas.openxmlformats.org/officeDocument/2006/relationships" ref="K26" r:id="rId44"/>
    <hyperlink xmlns:r="http://schemas.openxmlformats.org/officeDocument/2006/relationships" ref="L26" r:id="rId45"/>
    <hyperlink xmlns:r="http://schemas.openxmlformats.org/officeDocument/2006/relationships" ref="K27" r:id="rId46"/>
    <hyperlink xmlns:r="http://schemas.openxmlformats.org/officeDocument/2006/relationships" ref="L27" r:id="rId47"/>
    <hyperlink xmlns:r="http://schemas.openxmlformats.org/officeDocument/2006/relationships" ref="K28" r:id="rId48"/>
    <hyperlink xmlns:r="http://schemas.openxmlformats.org/officeDocument/2006/relationships" ref="L28" r:id="rId49"/>
    <hyperlink xmlns:r="http://schemas.openxmlformats.org/officeDocument/2006/relationships" ref="K29" r:id="rId50"/>
    <hyperlink xmlns:r="http://schemas.openxmlformats.org/officeDocument/2006/relationships" ref="L29" r:id="rId51"/>
    <hyperlink xmlns:r="http://schemas.openxmlformats.org/officeDocument/2006/relationships" ref="K30" r:id="rId52"/>
    <hyperlink xmlns:r="http://schemas.openxmlformats.org/officeDocument/2006/relationships" ref="L30" r:id="rId53"/>
    <hyperlink xmlns:r="http://schemas.openxmlformats.org/officeDocument/2006/relationships" ref="K31" r:id="rId54"/>
    <hyperlink xmlns:r="http://schemas.openxmlformats.org/officeDocument/2006/relationships" ref="L31" r:id="rId55"/>
    <hyperlink xmlns:r="http://schemas.openxmlformats.org/officeDocument/2006/relationships" ref="K32" r:id="rId56"/>
    <hyperlink xmlns:r="http://schemas.openxmlformats.org/officeDocument/2006/relationships" ref="L32" r:id="rId57"/>
    <hyperlink xmlns:r="http://schemas.openxmlformats.org/officeDocument/2006/relationships" ref="K33" r:id="rId58"/>
    <hyperlink xmlns:r="http://schemas.openxmlformats.org/officeDocument/2006/relationships" ref="L33" r:id="rId59"/>
    <hyperlink xmlns:r="http://schemas.openxmlformats.org/officeDocument/2006/relationships" ref="K34" r:id="rId60"/>
    <hyperlink xmlns:r="http://schemas.openxmlformats.org/officeDocument/2006/relationships" ref="L34" r:id="rId61"/>
    <hyperlink xmlns:r="http://schemas.openxmlformats.org/officeDocument/2006/relationships" ref="K35" r:id="rId62"/>
    <hyperlink xmlns:r="http://schemas.openxmlformats.org/officeDocument/2006/relationships" ref="L35" r:id="rId63"/>
    <hyperlink xmlns:r="http://schemas.openxmlformats.org/officeDocument/2006/relationships" ref="K36" r:id="rId64"/>
    <hyperlink xmlns:r="http://schemas.openxmlformats.org/officeDocument/2006/relationships" ref="L36" r:id="rId65"/>
    <hyperlink xmlns:r="http://schemas.openxmlformats.org/officeDocument/2006/relationships" ref="K37" r:id="rId66"/>
    <hyperlink xmlns:r="http://schemas.openxmlformats.org/officeDocument/2006/relationships" ref="L37" r:id="rId67"/>
    <hyperlink xmlns:r="http://schemas.openxmlformats.org/officeDocument/2006/relationships" ref="K38" r:id="rId68"/>
    <hyperlink xmlns:r="http://schemas.openxmlformats.org/officeDocument/2006/relationships" ref="L38" r:id="rId69"/>
    <hyperlink xmlns:r="http://schemas.openxmlformats.org/officeDocument/2006/relationships" ref="K39" r:id="rId70"/>
    <hyperlink xmlns:r="http://schemas.openxmlformats.org/officeDocument/2006/relationships" ref="L39" r:id="rId71"/>
    <hyperlink xmlns:r="http://schemas.openxmlformats.org/officeDocument/2006/relationships" ref="K40" r:id="rId72"/>
    <hyperlink xmlns:r="http://schemas.openxmlformats.org/officeDocument/2006/relationships" ref="L40" r:id="rId73"/>
    <hyperlink xmlns:r="http://schemas.openxmlformats.org/officeDocument/2006/relationships" ref="K41" r:id="rId74"/>
    <hyperlink xmlns:r="http://schemas.openxmlformats.org/officeDocument/2006/relationships" ref="L41" r:id="rId75"/>
    <hyperlink xmlns:r="http://schemas.openxmlformats.org/officeDocument/2006/relationships" ref="K42" r:id="rId76"/>
    <hyperlink xmlns:r="http://schemas.openxmlformats.org/officeDocument/2006/relationships" ref="L42" r:id="rId77"/>
    <hyperlink xmlns:r="http://schemas.openxmlformats.org/officeDocument/2006/relationships" ref="K43" r:id="rId78"/>
    <hyperlink xmlns:r="http://schemas.openxmlformats.org/officeDocument/2006/relationships" ref="L43" r:id="rId79"/>
    <hyperlink xmlns:r="http://schemas.openxmlformats.org/officeDocument/2006/relationships" ref="K44" r:id="rId80"/>
    <hyperlink xmlns:r="http://schemas.openxmlformats.org/officeDocument/2006/relationships" ref="L44" r:id="rId81"/>
    <hyperlink xmlns:r="http://schemas.openxmlformats.org/officeDocument/2006/relationships" ref="K45" r:id="rId82"/>
    <hyperlink xmlns:r="http://schemas.openxmlformats.org/officeDocument/2006/relationships" ref="L45" r:id="rId83"/>
    <hyperlink xmlns:r="http://schemas.openxmlformats.org/officeDocument/2006/relationships" ref="K46" r:id="rId84"/>
    <hyperlink xmlns:r="http://schemas.openxmlformats.org/officeDocument/2006/relationships" ref="L46" r:id="rId85"/>
    <hyperlink xmlns:r="http://schemas.openxmlformats.org/officeDocument/2006/relationships" ref="K47" r:id="rId86"/>
    <hyperlink xmlns:r="http://schemas.openxmlformats.org/officeDocument/2006/relationships" ref="L47" r:id="rId87"/>
    <hyperlink xmlns:r="http://schemas.openxmlformats.org/officeDocument/2006/relationships" ref="K48" r:id="rId88"/>
    <hyperlink xmlns:r="http://schemas.openxmlformats.org/officeDocument/2006/relationships" ref="L48" r:id="rId89"/>
    <hyperlink xmlns:r="http://schemas.openxmlformats.org/officeDocument/2006/relationships" ref="K49" r:id="rId90"/>
    <hyperlink xmlns:r="http://schemas.openxmlformats.org/officeDocument/2006/relationships" ref="L49" r:id="rId91"/>
    <hyperlink xmlns:r="http://schemas.openxmlformats.org/officeDocument/2006/relationships" ref="K50" r:id="rId92"/>
    <hyperlink xmlns:r="http://schemas.openxmlformats.org/officeDocument/2006/relationships" ref="L50" r:id="rId93"/>
    <hyperlink xmlns:r="http://schemas.openxmlformats.org/officeDocument/2006/relationships" ref="K51" r:id="rId94"/>
    <hyperlink xmlns:r="http://schemas.openxmlformats.org/officeDocument/2006/relationships" ref="L51" r:id="rId95"/>
    <hyperlink xmlns:r="http://schemas.openxmlformats.org/officeDocument/2006/relationships" ref="K52" r:id="rId96"/>
    <hyperlink xmlns:r="http://schemas.openxmlformats.org/officeDocument/2006/relationships" ref="L52" r:id="rId97"/>
    <hyperlink xmlns:r="http://schemas.openxmlformats.org/officeDocument/2006/relationships" ref="K53" r:id="rId98"/>
    <hyperlink xmlns:r="http://schemas.openxmlformats.org/officeDocument/2006/relationships" ref="L53" r:id="rId99"/>
    <hyperlink xmlns:r="http://schemas.openxmlformats.org/officeDocument/2006/relationships" ref="K54" r:id="rId100"/>
    <hyperlink xmlns:r="http://schemas.openxmlformats.org/officeDocument/2006/relationships" ref="L54" r:id="rId101"/>
    <hyperlink xmlns:r="http://schemas.openxmlformats.org/officeDocument/2006/relationships" ref="K55" r:id="rId102"/>
    <hyperlink xmlns:r="http://schemas.openxmlformats.org/officeDocument/2006/relationships" ref="L55" r:id="rId103"/>
    <hyperlink xmlns:r="http://schemas.openxmlformats.org/officeDocument/2006/relationships" ref="K56" r:id="rId104"/>
    <hyperlink xmlns:r="http://schemas.openxmlformats.org/officeDocument/2006/relationships" ref="L56" r:id="rId105"/>
    <hyperlink xmlns:r="http://schemas.openxmlformats.org/officeDocument/2006/relationships" ref="K57" r:id="rId106"/>
    <hyperlink xmlns:r="http://schemas.openxmlformats.org/officeDocument/2006/relationships" ref="L57" r:id="rId107"/>
    <hyperlink xmlns:r="http://schemas.openxmlformats.org/officeDocument/2006/relationships" ref="K58" r:id="rId108"/>
    <hyperlink xmlns:r="http://schemas.openxmlformats.org/officeDocument/2006/relationships" ref="L58" r:id="rId109"/>
    <hyperlink xmlns:r="http://schemas.openxmlformats.org/officeDocument/2006/relationships" ref="K59" r:id="rId110"/>
    <hyperlink xmlns:r="http://schemas.openxmlformats.org/officeDocument/2006/relationships" ref="L59" r:id="rId111"/>
    <hyperlink xmlns:r="http://schemas.openxmlformats.org/officeDocument/2006/relationships" ref="K60" r:id="rId112"/>
    <hyperlink xmlns:r="http://schemas.openxmlformats.org/officeDocument/2006/relationships" ref="L60" r:id="rId113"/>
    <hyperlink xmlns:r="http://schemas.openxmlformats.org/officeDocument/2006/relationships" ref="K61" r:id="rId114"/>
    <hyperlink xmlns:r="http://schemas.openxmlformats.org/officeDocument/2006/relationships" ref="L61" r:id="rId115"/>
    <hyperlink xmlns:r="http://schemas.openxmlformats.org/officeDocument/2006/relationships" ref="K62" r:id="rId116"/>
    <hyperlink xmlns:r="http://schemas.openxmlformats.org/officeDocument/2006/relationships" ref="L62" r:id="rId117"/>
    <hyperlink xmlns:r="http://schemas.openxmlformats.org/officeDocument/2006/relationships" ref="K63" r:id="rId118"/>
    <hyperlink xmlns:r="http://schemas.openxmlformats.org/officeDocument/2006/relationships" ref="L63" r:id="rId119"/>
    <hyperlink xmlns:r="http://schemas.openxmlformats.org/officeDocument/2006/relationships" ref="K64" r:id="rId120"/>
    <hyperlink xmlns:r="http://schemas.openxmlformats.org/officeDocument/2006/relationships" ref="L64" r:id="rId121"/>
    <hyperlink xmlns:r="http://schemas.openxmlformats.org/officeDocument/2006/relationships" ref="K65" r:id="rId122"/>
    <hyperlink xmlns:r="http://schemas.openxmlformats.org/officeDocument/2006/relationships" ref="L65" r:id="rId123"/>
    <hyperlink xmlns:r="http://schemas.openxmlformats.org/officeDocument/2006/relationships" ref="K66" r:id="rId124"/>
    <hyperlink xmlns:r="http://schemas.openxmlformats.org/officeDocument/2006/relationships" ref="L66" r:id="rId125"/>
    <hyperlink xmlns:r="http://schemas.openxmlformats.org/officeDocument/2006/relationships" ref="K67" r:id="rId126"/>
    <hyperlink xmlns:r="http://schemas.openxmlformats.org/officeDocument/2006/relationships" ref="L67" r:id="rId127"/>
    <hyperlink xmlns:r="http://schemas.openxmlformats.org/officeDocument/2006/relationships" ref="K68" r:id="rId128"/>
    <hyperlink xmlns:r="http://schemas.openxmlformats.org/officeDocument/2006/relationships" ref="L68" r:id="rId129"/>
    <hyperlink xmlns:r="http://schemas.openxmlformats.org/officeDocument/2006/relationships" ref="K69" r:id="rId130"/>
    <hyperlink xmlns:r="http://schemas.openxmlformats.org/officeDocument/2006/relationships" ref="L69" r:id="rId131"/>
    <hyperlink xmlns:r="http://schemas.openxmlformats.org/officeDocument/2006/relationships" ref="K70" r:id="rId132"/>
    <hyperlink xmlns:r="http://schemas.openxmlformats.org/officeDocument/2006/relationships" ref="L70" r:id="rId133"/>
    <hyperlink xmlns:r="http://schemas.openxmlformats.org/officeDocument/2006/relationships" ref="K71" r:id="rId134"/>
    <hyperlink xmlns:r="http://schemas.openxmlformats.org/officeDocument/2006/relationships" ref="L71" r:id="rId135"/>
    <hyperlink xmlns:r="http://schemas.openxmlformats.org/officeDocument/2006/relationships" ref="K72" r:id="rId136"/>
    <hyperlink xmlns:r="http://schemas.openxmlformats.org/officeDocument/2006/relationships" ref="L72" r:id="rId137"/>
    <hyperlink xmlns:r="http://schemas.openxmlformats.org/officeDocument/2006/relationships" ref="K73" r:id="rId138"/>
    <hyperlink xmlns:r="http://schemas.openxmlformats.org/officeDocument/2006/relationships" ref="L73" r:id="rId139"/>
    <hyperlink xmlns:r="http://schemas.openxmlformats.org/officeDocument/2006/relationships" ref="K74" r:id="rId140"/>
    <hyperlink xmlns:r="http://schemas.openxmlformats.org/officeDocument/2006/relationships" ref="L74" r:id="rId141"/>
    <hyperlink xmlns:r="http://schemas.openxmlformats.org/officeDocument/2006/relationships" ref="K75" r:id="rId142"/>
    <hyperlink xmlns:r="http://schemas.openxmlformats.org/officeDocument/2006/relationships" ref="L75" r:id="rId143"/>
    <hyperlink xmlns:r="http://schemas.openxmlformats.org/officeDocument/2006/relationships" ref="K76" r:id="rId144"/>
    <hyperlink xmlns:r="http://schemas.openxmlformats.org/officeDocument/2006/relationships" ref="L76" r:id="rId145"/>
    <hyperlink xmlns:r="http://schemas.openxmlformats.org/officeDocument/2006/relationships" ref="K77" r:id="rId146"/>
    <hyperlink xmlns:r="http://schemas.openxmlformats.org/officeDocument/2006/relationships" ref="L77" r:id="rId147"/>
    <hyperlink xmlns:r="http://schemas.openxmlformats.org/officeDocument/2006/relationships" ref="K78" r:id="rId148"/>
    <hyperlink xmlns:r="http://schemas.openxmlformats.org/officeDocument/2006/relationships" ref="L78" r:id="rId149"/>
    <hyperlink xmlns:r="http://schemas.openxmlformats.org/officeDocument/2006/relationships" ref="K79" r:id="rId150"/>
    <hyperlink xmlns:r="http://schemas.openxmlformats.org/officeDocument/2006/relationships" ref="L79" r:id="rId151"/>
    <hyperlink xmlns:r="http://schemas.openxmlformats.org/officeDocument/2006/relationships" ref="K80" r:id="rId152"/>
    <hyperlink xmlns:r="http://schemas.openxmlformats.org/officeDocument/2006/relationships" ref="L80" r:id="rId153"/>
    <hyperlink xmlns:r="http://schemas.openxmlformats.org/officeDocument/2006/relationships" ref="K81" r:id="rId154"/>
    <hyperlink xmlns:r="http://schemas.openxmlformats.org/officeDocument/2006/relationships" ref="L81" r:id="rId155"/>
    <hyperlink xmlns:r="http://schemas.openxmlformats.org/officeDocument/2006/relationships" ref="K82" r:id="rId156"/>
    <hyperlink xmlns:r="http://schemas.openxmlformats.org/officeDocument/2006/relationships" ref="L82" r:id="rId157"/>
    <hyperlink xmlns:r="http://schemas.openxmlformats.org/officeDocument/2006/relationships" ref="K83" r:id="rId158"/>
    <hyperlink xmlns:r="http://schemas.openxmlformats.org/officeDocument/2006/relationships" ref="L83" r:id="rId159"/>
    <hyperlink xmlns:r="http://schemas.openxmlformats.org/officeDocument/2006/relationships" ref="K84" r:id="rId160"/>
    <hyperlink xmlns:r="http://schemas.openxmlformats.org/officeDocument/2006/relationships" ref="L84" r:id="rId161"/>
    <hyperlink xmlns:r="http://schemas.openxmlformats.org/officeDocument/2006/relationships" ref="K85" r:id="rId162"/>
    <hyperlink xmlns:r="http://schemas.openxmlformats.org/officeDocument/2006/relationships" ref="L85" r:id="rId163"/>
    <hyperlink xmlns:r="http://schemas.openxmlformats.org/officeDocument/2006/relationships" ref="K86" r:id="rId164"/>
    <hyperlink xmlns:r="http://schemas.openxmlformats.org/officeDocument/2006/relationships" ref="L86" r:id="rId165"/>
    <hyperlink xmlns:r="http://schemas.openxmlformats.org/officeDocument/2006/relationships" ref="K87" r:id="rId166"/>
    <hyperlink xmlns:r="http://schemas.openxmlformats.org/officeDocument/2006/relationships" ref="L87" r:id="rId167"/>
    <hyperlink xmlns:r="http://schemas.openxmlformats.org/officeDocument/2006/relationships" ref="K88" r:id="rId168"/>
    <hyperlink xmlns:r="http://schemas.openxmlformats.org/officeDocument/2006/relationships" ref="L88" r:id="rId169"/>
    <hyperlink xmlns:r="http://schemas.openxmlformats.org/officeDocument/2006/relationships" ref="K89" r:id="rId170"/>
    <hyperlink xmlns:r="http://schemas.openxmlformats.org/officeDocument/2006/relationships" ref="L89" r:id="rId171"/>
    <hyperlink xmlns:r="http://schemas.openxmlformats.org/officeDocument/2006/relationships" ref="K90" r:id="rId172"/>
    <hyperlink xmlns:r="http://schemas.openxmlformats.org/officeDocument/2006/relationships" ref="L90" r:id="rId173"/>
    <hyperlink xmlns:r="http://schemas.openxmlformats.org/officeDocument/2006/relationships" ref="K91" r:id="rId174"/>
    <hyperlink xmlns:r="http://schemas.openxmlformats.org/officeDocument/2006/relationships" ref="L91" r:id="rId175"/>
    <hyperlink xmlns:r="http://schemas.openxmlformats.org/officeDocument/2006/relationships" ref="K92" r:id="rId176"/>
    <hyperlink xmlns:r="http://schemas.openxmlformats.org/officeDocument/2006/relationships" ref="L92" r:id="rId177"/>
    <hyperlink xmlns:r="http://schemas.openxmlformats.org/officeDocument/2006/relationships" ref="K93" r:id="rId178"/>
    <hyperlink xmlns:r="http://schemas.openxmlformats.org/officeDocument/2006/relationships" ref="L93" r:id="rId179"/>
    <hyperlink xmlns:r="http://schemas.openxmlformats.org/officeDocument/2006/relationships" ref="K94" r:id="rId180"/>
    <hyperlink xmlns:r="http://schemas.openxmlformats.org/officeDocument/2006/relationships" ref="L94" r:id="rId181"/>
    <hyperlink xmlns:r="http://schemas.openxmlformats.org/officeDocument/2006/relationships" ref="K95" r:id="rId182"/>
    <hyperlink xmlns:r="http://schemas.openxmlformats.org/officeDocument/2006/relationships" ref="L95" r:id="rId183"/>
    <hyperlink xmlns:r="http://schemas.openxmlformats.org/officeDocument/2006/relationships" ref="K96" r:id="rId184"/>
    <hyperlink xmlns:r="http://schemas.openxmlformats.org/officeDocument/2006/relationships" ref="L96" r:id="rId185"/>
    <hyperlink xmlns:r="http://schemas.openxmlformats.org/officeDocument/2006/relationships" ref="K97" r:id="rId186"/>
    <hyperlink xmlns:r="http://schemas.openxmlformats.org/officeDocument/2006/relationships" ref="L97" r:id="rId187"/>
    <hyperlink xmlns:r="http://schemas.openxmlformats.org/officeDocument/2006/relationships" ref="K98" r:id="rId188"/>
    <hyperlink xmlns:r="http://schemas.openxmlformats.org/officeDocument/2006/relationships" ref="L98" r:id="rId189"/>
    <hyperlink xmlns:r="http://schemas.openxmlformats.org/officeDocument/2006/relationships" ref="K99" r:id="rId190"/>
    <hyperlink xmlns:r="http://schemas.openxmlformats.org/officeDocument/2006/relationships" ref="L99" r:id="rId191"/>
    <hyperlink xmlns:r="http://schemas.openxmlformats.org/officeDocument/2006/relationships" ref="K100" r:id="rId192"/>
    <hyperlink xmlns:r="http://schemas.openxmlformats.org/officeDocument/2006/relationships" ref="L100" r:id="rId193"/>
    <hyperlink xmlns:r="http://schemas.openxmlformats.org/officeDocument/2006/relationships" ref="K101" r:id="rId194"/>
    <hyperlink xmlns:r="http://schemas.openxmlformats.org/officeDocument/2006/relationships" ref="L101" r:id="rId195"/>
    <hyperlink xmlns:r="http://schemas.openxmlformats.org/officeDocument/2006/relationships" ref="K102" r:id="rId196"/>
    <hyperlink xmlns:r="http://schemas.openxmlformats.org/officeDocument/2006/relationships" ref="L102" r:id="rId197"/>
    <hyperlink xmlns:r="http://schemas.openxmlformats.org/officeDocument/2006/relationships" ref="K103" r:id="rId198"/>
    <hyperlink xmlns:r="http://schemas.openxmlformats.org/officeDocument/2006/relationships" ref="L103" r:id="rId199"/>
    <hyperlink xmlns:r="http://schemas.openxmlformats.org/officeDocument/2006/relationships" ref="K104" r:id="rId200"/>
    <hyperlink xmlns:r="http://schemas.openxmlformats.org/officeDocument/2006/relationships" ref="L104" r:id="rId201"/>
    <hyperlink xmlns:r="http://schemas.openxmlformats.org/officeDocument/2006/relationships" ref="K105" r:id="rId202"/>
    <hyperlink xmlns:r="http://schemas.openxmlformats.org/officeDocument/2006/relationships" ref="L105" r:id="rId203"/>
    <hyperlink xmlns:r="http://schemas.openxmlformats.org/officeDocument/2006/relationships" ref="K106" r:id="rId204"/>
    <hyperlink xmlns:r="http://schemas.openxmlformats.org/officeDocument/2006/relationships" ref="L106" r:id="rId205"/>
    <hyperlink xmlns:r="http://schemas.openxmlformats.org/officeDocument/2006/relationships" ref="K107" r:id="rId206"/>
    <hyperlink xmlns:r="http://schemas.openxmlformats.org/officeDocument/2006/relationships" ref="L107" r:id="rId207"/>
    <hyperlink xmlns:r="http://schemas.openxmlformats.org/officeDocument/2006/relationships" ref="K108" r:id="rId208"/>
    <hyperlink xmlns:r="http://schemas.openxmlformats.org/officeDocument/2006/relationships" ref="L108" r:id="rId209"/>
    <hyperlink xmlns:r="http://schemas.openxmlformats.org/officeDocument/2006/relationships" ref="K109" r:id="rId210"/>
    <hyperlink xmlns:r="http://schemas.openxmlformats.org/officeDocument/2006/relationships" ref="L109" r:id="rId211"/>
    <hyperlink xmlns:r="http://schemas.openxmlformats.org/officeDocument/2006/relationships" ref="K110" r:id="rId212"/>
    <hyperlink xmlns:r="http://schemas.openxmlformats.org/officeDocument/2006/relationships" ref="L110" r:id="rId213"/>
    <hyperlink xmlns:r="http://schemas.openxmlformats.org/officeDocument/2006/relationships" ref="K111" r:id="rId214"/>
    <hyperlink xmlns:r="http://schemas.openxmlformats.org/officeDocument/2006/relationships" ref="L111" r:id="rId215"/>
    <hyperlink xmlns:r="http://schemas.openxmlformats.org/officeDocument/2006/relationships" ref="K112" r:id="rId216"/>
    <hyperlink xmlns:r="http://schemas.openxmlformats.org/officeDocument/2006/relationships" ref="L112" r:id="rId217"/>
    <hyperlink xmlns:r="http://schemas.openxmlformats.org/officeDocument/2006/relationships" ref="K113" r:id="rId218"/>
    <hyperlink xmlns:r="http://schemas.openxmlformats.org/officeDocument/2006/relationships" ref="L113" r:id="rId219"/>
    <hyperlink xmlns:r="http://schemas.openxmlformats.org/officeDocument/2006/relationships" ref="K114" r:id="rId220"/>
    <hyperlink xmlns:r="http://schemas.openxmlformats.org/officeDocument/2006/relationships" ref="L114" r:id="rId221"/>
    <hyperlink xmlns:r="http://schemas.openxmlformats.org/officeDocument/2006/relationships" ref="K115" r:id="rId222"/>
    <hyperlink xmlns:r="http://schemas.openxmlformats.org/officeDocument/2006/relationships" ref="L115" r:id="rId223"/>
    <hyperlink xmlns:r="http://schemas.openxmlformats.org/officeDocument/2006/relationships" ref="K116" r:id="rId224"/>
    <hyperlink xmlns:r="http://schemas.openxmlformats.org/officeDocument/2006/relationships" ref="L116" r:id="rId225"/>
    <hyperlink xmlns:r="http://schemas.openxmlformats.org/officeDocument/2006/relationships" ref="K117" r:id="rId226"/>
    <hyperlink xmlns:r="http://schemas.openxmlformats.org/officeDocument/2006/relationships" ref="L117" r:id="rId227"/>
    <hyperlink xmlns:r="http://schemas.openxmlformats.org/officeDocument/2006/relationships" ref="K118" r:id="rId228"/>
    <hyperlink xmlns:r="http://schemas.openxmlformats.org/officeDocument/2006/relationships" ref="L118" r:id="rId229"/>
    <hyperlink xmlns:r="http://schemas.openxmlformats.org/officeDocument/2006/relationships" ref="K119" r:id="rId230"/>
    <hyperlink xmlns:r="http://schemas.openxmlformats.org/officeDocument/2006/relationships" ref="L119" r:id="rId231"/>
    <hyperlink xmlns:r="http://schemas.openxmlformats.org/officeDocument/2006/relationships" ref="K120" r:id="rId232"/>
    <hyperlink xmlns:r="http://schemas.openxmlformats.org/officeDocument/2006/relationships" ref="L120" r:id="rId233"/>
    <hyperlink xmlns:r="http://schemas.openxmlformats.org/officeDocument/2006/relationships" ref="K121" r:id="rId234"/>
    <hyperlink xmlns:r="http://schemas.openxmlformats.org/officeDocument/2006/relationships" ref="L121" r:id="rId235"/>
    <hyperlink xmlns:r="http://schemas.openxmlformats.org/officeDocument/2006/relationships" ref="K122" r:id="rId236"/>
    <hyperlink xmlns:r="http://schemas.openxmlformats.org/officeDocument/2006/relationships" ref="L122" r:id="rId237"/>
    <hyperlink xmlns:r="http://schemas.openxmlformats.org/officeDocument/2006/relationships" ref="K123" r:id="rId238"/>
    <hyperlink xmlns:r="http://schemas.openxmlformats.org/officeDocument/2006/relationships" ref="L123" r:id="rId239"/>
    <hyperlink xmlns:r="http://schemas.openxmlformats.org/officeDocument/2006/relationships" ref="K124" r:id="rId240"/>
    <hyperlink xmlns:r="http://schemas.openxmlformats.org/officeDocument/2006/relationships" ref="L124" r:id="rId241"/>
    <hyperlink xmlns:r="http://schemas.openxmlformats.org/officeDocument/2006/relationships" ref="K125" r:id="rId242"/>
    <hyperlink xmlns:r="http://schemas.openxmlformats.org/officeDocument/2006/relationships" ref="L125" r:id="rId243"/>
    <hyperlink xmlns:r="http://schemas.openxmlformats.org/officeDocument/2006/relationships" ref="K126" r:id="rId244"/>
    <hyperlink xmlns:r="http://schemas.openxmlformats.org/officeDocument/2006/relationships" ref="L126" r:id="rId245"/>
    <hyperlink xmlns:r="http://schemas.openxmlformats.org/officeDocument/2006/relationships" ref="K127" r:id="rId246"/>
    <hyperlink xmlns:r="http://schemas.openxmlformats.org/officeDocument/2006/relationships" ref="L127" r:id="rId247"/>
    <hyperlink xmlns:r="http://schemas.openxmlformats.org/officeDocument/2006/relationships" ref="K128" r:id="rId248"/>
    <hyperlink xmlns:r="http://schemas.openxmlformats.org/officeDocument/2006/relationships" ref="L128" r:id="rId249"/>
    <hyperlink xmlns:r="http://schemas.openxmlformats.org/officeDocument/2006/relationships" ref="K129" r:id="rId250"/>
    <hyperlink xmlns:r="http://schemas.openxmlformats.org/officeDocument/2006/relationships" ref="L129" r:id="rId251"/>
    <hyperlink xmlns:r="http://schemas.openxmlformats.org/officeDocument/2006/relationships" ref="K130" r:id="rId252"/>
    <hyperlink xmlns:r="http://schemas.openxmlformats.org/officeDocument/2006/relationships" ref="L130" r:id="rId253"/>
    <hyperlink xmlns:r="http://schemas.openxmlformats.org/officeDocument/2006/relationships" ref="K131" r:id="rId254"/>
    <hyperlink xmlns:r="http://schemas.openxmlformats.org/officeDocument/2006/relationships" ref="L131" r:id="rId255"/>
    <hyperlink xmlns:r="http://schemas.openxmlformats.org/officeDocument/2006/relationships" ref="K132" r:id="rId256"/>
    <hyperlink xmlns:r="http://schemas.openxmlformats.org/officeDocument/2006/relationships" ref="L132" r:id="rId257"/>
    <hyperlink xmlns:r="http://schemas.openxmlformats.org/officeDocument/2006/relationships" ref="K133" r:id="rId258"/>
    <hyperlink xmlns:r="http://schemas.openxmlformats.org/officeDocument/2006/relationships" ref="L133" r:id="rId259"/>
    <hyperlink xmlns:r="http://schemas.openxmlformats.org/officeDocument/2006/relationships" ref="K134" r:id="rId260"/>
    <hyperlink xmlns:r="http://schemas.openxmlformats.org/officeDocument/2006/relationships" ref="L134" r:id="rId261"/>
    <hyperlink xmlns:r="http://schemas.openxmlformats.org/officeDocument/2006/relationships" ref="K135" r:id="rId262"/>
    <hyperlink xmlns:r="http://schemas.openxmlformats.org/officeDocument/2006/relationships" ref="L135" r:id="rId263"/>
    <hyperlink xmlns:r="http://schemas.openxmlformats.org/officeDocument/2006/relationships" ref="K136" r:id="rId264"/>
    <hyperlink xmlns:r="http://schemas.openxmlformats.org/officeDocument/2006/relationships" ref="L136" r:id="rId265"/>
    <hyperlink xmlns:r="http://schemas.openxmlformats.org/officeDocument/2006/relationships" ref="K137" r:id="rId266"/>
    <hyperlink xmlns:r="http://schemas.openxmlformats.org/officeDocument/2006/relationships" ref="L137" r:id="rId267"/>
    <hyperlink xmlns:r="http://schemas.openxmlformats.org/officeDocument/2006/relationships" ref="K138" r:id="rId268"/>
    <hyperlink xmlns:r="http://schemas.openxmlformats.org/officeDocument/2006/relationships" ref="L138" r:id="rId269"/>
    <hyperlink xmlns:r="http://schemas.openxmlformats.org/officeDocument/2006/relationships" ref="K139" r:id="rId270"/>
    <hyperlink xmlns:r="http://schemas.openxmlformats.org/officeDocument/2006/relationships" ref="L139" r:id="rId271"/>
    <hyperlink xmlns:r="http://schemas.openxmlformats.org/officeDocument/2006/relationships" ref="K140" r:id="rId272"/>
    <hyperlink xmlns:r="http://schemas.openxmlformats.org/officeDocument/2006/relationships" ref="L140" r:id="rId273"/>
    <hyperlink xmlns:r="http://schemas.openxmlformats.org/officeDocument/2006/relationships" ref="K141" r:id="rId274"/>
    <hyperlink xmlns:r="http://schemas.openxmlformats.org/officeDocument/2006/relationships" ref="L141" r:id="rId275"/>
    <hyperlink xmlns:r="http://schemas.openxmlformats.org/officeDocument/2006/relationships" ref="K142" r:id="rId276"/>
    <hyperlink xmlns:r="http://schemas.openxmlformats.org/officeDocument/2006/relationships" ref="L142" r:id="rId277"/>
    <hyperlink xmlns:r="http://schemas.openxmlformats.org/officeDocument/2006/relationships" ref="K143" r:id="rId278"/>
    <hyperlink xmlns:r="http://schemas.openxmlformats.org/officeDocument/2006/relationships" ref="L143" r:id="rId279"/>
    <hyperlink xmlns:r="http://schemas.openxmlformats.org/officeDocument/2006/relationships" ref="K144" r:id="rId280"/>
    <hyperlink xmlns:r="http://schemas.openxmlformats.org/officeDocument/2006/relationships" ref="L144" r:id="rId28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772"/>
  <sheetViews>
    <sheetView showGridLines="0" workbookViewId="0">
      <pane ySplit="1" topLeftCell="A2" activePane="bottomLeft" state="frozen"/>
      <selection pane="bottomLeft" activeCell="A1" sqref="A1"/>
    </sheetView>
  </sheetViews>
  <sheetFormatPr baseColWidth="8" defaultRowHeight="15"/>
  <cols>
    <col width="18" customWidth="1" min="1" max="1"/>
    <col width="28" customWidth="1" min="2" max="2"/>
    <col width="10" customWidth="1" min="3" max="3"/>
    <col width="25" customWidth="1" min="4" max="4"/>
    <col width="26" customWidth="1" min="5" max="5"/>
    <col width="68" customWidth="1" min="6" max="6"/>
    <col width="22" customWidth="1" min="7" max="7"/>
    <col width="48" customWidth="1" min="8" max="8"/>
  </cols>
  <sheetData>
    <row r="1">
      <c r="A1" s="92" t="inlineStr">
        <is>
          <t>Marque</t>
        </is>
      </c>
      <c r="B1" s="92" t="inlineStr">
        <is>
          <t>Modèle</t>
        </is>
      </c>
      <c r="C1" s="92" t="inlineStr">
        <is>
          <t>N° source</t>
        </is>
      </c>
      <c r="D1" s="92" t="inlineStr">
        <is>
          <t>Type source</t>
        </is>
      </c>
      <c r="E1" s="92" t="inlineStr">
        <is>
          <t>Domaine</t>
        </is>
      </c>
      <c r="F1" s="92" t="inlineStr">
        <is>
          <t>URL</t>
        </is>
      </c>
      <c r="G1" s="92" t="inlineStr">
        <is>
          <t>Comptée comme review ?</t>
        </is>
      </c>
      <c r="H1" s="92" t="inlineStr">
        <is>
          <t>Rôle / remarque</t>
        </is>
      </c>
    </row>
    <row r="2">
      <c r="A2" s="26" t="inlineStr">
        <is>
          <t>Cayin</t>
        </is>
      </c>
      <c r="B2" s="26" t="inlineStr">
        <is>
          <t>N7</t>
        </is>
      </c>
      <c r="C2" s="26" t="n">
        <v>1</v>
      </c>
      <c r="D2" s="26" t="inlineStr">
        <is>
          <t>Review éditoriale</t>
        </is>
      </c>
      <c r="E2" s="26" t="inlineStr">
        <is>
          <t>ecoustics.com</t>
        </is>
      </c>
      <c r="F2" s="23" t="inlineStr">
        <is>
          <t>https://www.ecoustics.com/reviews/cayin-n7/</t>
        </is>
      </c>
      <c r="G2" s="26" t="inlineStr">
        <is>
          <t>Oui</t>
        </is>
      </c>
      <c r="H2" s="26" t="inlineStr">
        <is>
          <t>Review / retour exploitable</t>
        </is>
      </c>
    </row>
    <row r="3">
      <c r="A3" s="26" t="inlineStr">
        <is>
          <t>Cayin</t>
        </is>
      </c>
      <c r="B3" s="26" t="inlineStr">
        <is>
          <t>N7</t>
        </is>
      </c>
      <c r="C3" s="26" t="n">
        <v>2</v>
      </c>
      <c r="D3" s="26" t="inlineStr">
        <is>
          <t>Review éditoriale</t>
        </is>
      </c>
      <c r="E3" s="26" t="inlineStr">
        <is>
          <t>headfonics.com</t>
        </is>
      </c>
      <c r="F3" s="23" t="inlineStr">
        <is>
          <t>https://headfonics.com/cayin-n7-review/</t>
        </is>
      </c>
      <c r="G3" s="26" t="inlineStr">
        <is>
          <t>Oui</t>
        </is>
      </c>
      <c r="H3" s="26" t="inlineStr">
        <is>
          <t>Review / retour exploitable</t>
        </is>
      </c>
    </row>
    <row r="4">
      <c r="A4" s="26" t="inlineStr">
        <is>
          <t>Cayin</t>
        </is>
      </c>
      <c r="B4" s="26" t="inlineStr">
        <is>
          <t>N7</t>
        </is>
      </c>
      <c r="C4" s="26" t="n">
        <v>3</v>
      </c>
      <c r="D4" s="26" t="inlineStr">
        <is>
          <t>Review éditoriale</t>
        </is>
      </c>
      <c r="E4" s="26" t="inlineStr">
        <is>
          <t>headfonia.com</t>
        </is>
      </c>
      <c r="F4" s="23" t="inlineStr">
        <is>
          <t>https://www.headfonia.com/cayin-n7-review/</t>
        </is>
      </c>
      <c r="G4" s="26" t="inlineStr">
        <is>
          <t>Oui</t>
        </is>
      </c>
      <c r="H4" s="26" t="inlineStr">
        <is>
          <t>Review / retour exploitable</t>
        </is>
      </c>
    </row>
    <row r="5">
      <c r="A5" s="26" t="inlineStr">
        <is>
          <t>Cayin</t>
        </is>
      </c>
      <c r="B5" s="26" t="inlineStr">
        <is>
          <t>N7</t>
        </is>
      </c>
      <c r="C5" s="26" t="n">
        <v>4</v>
      </c>
      <c r="D5" s="26" t="inlineStr">
        <is>
          <t>Review éditoriale</t>
        </is>
      </c>
      <c r="E5" s="26" t="inlineStr">
        <is>
          <t>mobileaudiophile.com</t>
        </is>
      </c>
      <c r="F5" s="23" t="inlineStr">
        <is>
          <t>https://mobileaudiophile.com/daps/cayin-n7-dap-god-of-dynamism/</t>
        </is>
      </c>
      <c r="G5" s="26" t="inlineStr">
        <is>
          <t>Oui</t>
        </is>
      </c>
      <c r="H5" s="26" t="inlineStr">
        <is>
          <t>Review / retour exploitable</t>
        </is>
      </c>
    </row>
    <row r="6">
      <c r="A6" s="26" t="inlineStr">
        <is>
          <t>Topping</t>
        </is>
      </c>
      <c r="B6" s="26" t="inlineStr">
        <is>
          <t>L70</t>
        </is>
      </c>
      <c r="C6" s="26" t="n">
        <v>1</v>
      </c>
      <c r="D6" s="26" t="inlineStr">
        <is>
          <t>Review éditoriale</t>
        </is>
      </c>
      <c r="E6" s="26" t="inlineStr">
        <is>
          <t>primeaudio.org</t>
        </is>
      </c>
      <c r="F6" s="23" t="inlineStr">
        <is>
          <t>https://primeaudio.org/topping-e70-and-l70-review/</t>
        </is>
      </c>
      <c r="G6" s="26" t="inlineStr">
        <is>
          <t>Oui</t>
        </is>
      </c>
      <c r="H6" s="26" t="inlineStr">
        <is>
          <t>Review / retour exploitable</t>
        </is>
      </c>
    </row>
    <row r="7">
      <c r="A7" s="26" t="inlineStr">
        <is>
          <t>Topping</t>
        </is>
      </c>
      <c r="B7" s="26" t="inlineStr">
        <is>
          <t>L70</t>
        </is>
      </c>
      <c r="C7" s="26" t="n">
        <v>2</v>
      </c>
      <c r="D7" s="26" t="inlineStr">
        <is>
          <t>Review éditoriale</t>
        </is>
      </c>
      <c r="E7" s="26" t="inlineStr">
        <is>
          <t>iiwireviews.com</t>
        </is>
      </c>
      <c r="F7" s="23" t="inlineStr">
        <is>
          <t>https://iiwireviews.com/topping-l70-review-head-amp-with-full-bodied-sound</t>
        </is>
      </c>
      <c r="G7" s="26" t="inlineStr">
        <is>
          <t>Oui</t>
        </is>
      </c>
      <c r="H7" s="26" t="inlineStr">
        <is>
          <t>Review / retour exploitable</t>
        </is>
      </c>
    </row>
    <row r="8">
      <c r="A8" s="26" t="inlineStr">
        <is>
          <t>Topping</t>
        </is>
      </c>
      <c r="B8" s="26" t="inlineStr">
        <is>
          <t>L70</t>
        </is>
      </c>
      <c r="C8" s="26" t="n">
        <v>3</v>
      </c>
      <c r="D8" s="26" t="inlineStr">
        <is>
          <t>Review éditoriale</t>
        </is>
      </c>
      <c r="E8" s="26" t="inlineStr">
        <is>
          <t>headfonics.com</t>
        </is>
      </c>
      <c r="F8" s="23" t="inlineStr">
        <is>
          <t>https://headfonics.com/topping-l70-review/</t>
        </is>
      </c>
      <c r="G8" s="26" t="inlineStr">
        <is>
          <t>Oui</t>
        </is>
      </c>
      <c r="H8" s="26" t="inlineStr">
        <is>
          <t>Review / retour exploitable</t>
        </is>
      </c>
    </row>
    <row r="9">
      <c r="A9" s="26" t="inlineStr">
        <is>
          <t>Topping</t>
        </is>
      </c>
      <c r="B9" s="26" t="inlineStr">
        <is>
          <t>L70</t>
        </is>
      </c>
      <c r="C9" s="26" t="n">
        <v>4</v>
      </c>
      <c r="D9" s="26" t="inlineStr">
        <is>
          <t>Review éditoriale</t>
        </is>
      </c>
      <c r="E9" s="26" t="inlineStr">
        <is>
          <t>headfonia.com</t>
        </is>
      </c>
      <c r="F9" s="23" t="inlineStr">
        <is>
          <t>https://www.headfonia.com/topping-e70-l70-review/</t>
        </is>
      </c>
      <c r="G9" s="26" t="inlineStr">
        <is>
          <t>Oui</t>
        </is>
      </c>
      <c r="H9" s="26" t="inlineStr">
        <is>
          <t>Review / retour exploitable</t>
        </is>
      </c>
    </row>
    <row r="10">
      <c r="A10" s="26" t="inlineStr">
        <is>
          <t>Topping</t>
        </is>
      </c>
      <c r="B10" s="26" t="inlineStr">
        <is>
          <t>L70</t>
        </is>
      </c>
      <c r="C10" s="26" t="n">
        <v>5</v>
      </c>
      <c r="D10" s="26" t="inlineStr">
        <is>
          <t>Head-Fi reviews</t>
        </is>
      </c>
      <c r="E10" s="26" t="inlineStr">
        <is>
          <t>head-fi.org</t>
        </is>
      </c>
      <c r="F10" s="23" t="inlineStr">
        <is>
          <t>https://www.head-fi.org/showcase/topping-e70-l70-dac-amp.26209/reviews</t>
        </is>
      </c>
      <c r="G10" s="26" t="inlineStr">
        <is>
          <t>Oui</t>
        </is>
      </c>
      <c r="H10" s="26" t="inlineStr">
        <is>
          <t>Review / retour exploitable</t>
        </is>
      </c>
    </row>
    <row r="11">
      <c r="A11" s="26" t="inlineStr">
        <is>
          <t>iBasso</t>
        </is>
      </c>
      <c r="B11" s="26" t="inlineStr">
        <is>
          <t>DC-Elite</t>
        </is>
      </c>
      <c r="C11" s="26" t="n">
        <v>1</v>
      </c>
      <c r="D11" s="26" t="inlineStr">
        <is>
          <t>Review éditoriale</t>
        </is>
      </c>
      <c r="E11" s="26" t="inlineStr">
        <is>
          <t>headfonics.com</t>
        </is>
      </c>
      <c r="F11" s="23" t="inlineStr">
        <is>
          <t>https://headfonics.com/ibasso-dc-elite-review/</t>
        </is>
      </c>
      <c r="G11" s="26" t="inlineStr">
        <is>
          <t>Oui</t>
        </is>
      </c>
      <c r="H11" s="26" t="inlineStr">
        <is>
          <t>Review / retour exploitable</t>
        </is>
      </c>
    </row>
    <row r="12">
      <c r="A12" s="26" t="inlineStr">
        <is>
          <t>iBasso</t>
        </is>
      </c>
      <c r="B12" s="26" t="inlineStr">
        <is>
          <t>DC-Elite</t>
        </is>
      </c>
      <c r="C12" s="26" t="n">
        <v>2</v>
      </c>
      <c r="D12" s="26" t="inlineStr">
        <is>
          <t>Head-Fi reviews</t>
        </is>
      </c>
      <c r="E12" s="26" t="inlineStr">
        <is>
          <t>head-fi.org</t>
        </is>
      </c>
      <c r="F12" s="23" t="inlineStr">
        <is>
          <t>https://www.head-fi.org/showcase/ibasso-dc-elite.27762/</t>
        </is>
      </c>
      <c r="G12" s="26" t="inlineStr">
        <is>
          <t>Oui</t>
        </is>
      </c>
      <c r="H12" s="26" t="inlineStr">
        <is>
          <t>Review / retour exploitable</t>
        </is>
      </c>
    </row>
    <row r="13">
      <c r="A13" s="26" t="inlineStr">
        <is>
          <t>iBasso</t>
        </is>
      </c>
      <c r="B13" s="26" t="inlineStr">
        <is>
          <t>DC-Elite</t>
        </is>
      </c>
      <c r="C13" s="26" t="n">
        <v>3</v>
      </c>
      <c r="D13" s="26" t="inlineStr">
        <is>
          <t>Review éditoriale</t>
        </is>
      </c>
      <c r="E13" s="26" t="inlineStr">
        <is>
          <t>headfonia.com</t>
        </is>
      </c>
      <c r="F13" s="23" t="inlineStr">
        <is>
          <t>https://www.headfonia.com/ibasso-dc-elite-review/</t>
        </is>
      </c>
      <c r="G13" s="26" t="inlineStr">
        <is>
          <t>Oui</t>
        </is>
      </c>
      <c r="H13" s="26" t="inlineStr">
        <is>
          <t>Review / retour exploitable</t>
        </is>
      </c>
    </row>
    <row r="14">
      <c r="A14" s="26" t="inlineStr">
        <is>
          <t>iBasso</t>
        </is>
      </c>
      <c r="B14" s="26" t="inlineStr">
        <is>
          <t>DC-Elite</t>
        </is>
      </c>
      <c r="C14" s="26" t="n">
        <v>4</v>
      </c>
      <c r="D14" s="26" t="inlineStr">
        <is>
          <t>Review éditoriale</t>
        </is>
      </c>
      <c r="E14" s="26" t="inlineStr">
        <is>
          <t>mobileaudiophile.com</t>
        </is>
      </c>
      <c r="F14" s="23" t="inlineStr">
        <is>
          <t>https://mobileaudiophile.com/dacs/dongle/ibasso-dc-elite-review-magic-box/</t>
        </is>
      </c>
      <c r="G14" s="26" t="inlineStr">
        <is>
          <t>Oui</t>
        </is>
      </c>
      <c r="H14" s="26" t="inlineStr">
        <is>
          <t>Review / retour exploitable</t>
        </is>
      </c>
    </row>
    <row r="15">
      <c r="A15" s="26" t="inlineStr">
        <is>
          <t>Quloos</t>
        </is>
      </c>
      <c r="B15" s="26" t="inlineStr">
        <is>
          <t>MUB1</t>
        </is>
      </c>
      <c r="C15" s="26" t="n">
        <v>1</v>
      </c>
      <c r="D15" s="26" t="inlineStr">
        <is>
          <t>Review éditoriale</t>
        </is>
      </c>
      <c r="E15" s="26" t="inlineStr">
        <is>
          <t>moonstarreviews.net</t>
        </is>
      </c>
      <c r="F15" s="23" t="inlineStr">
        <is>
          <t>https://moonstarreviews.net/quloos-mub1-review/</t>
        </is>
      </c>
      <c r="G15" s="26" t="inlineStr">
        <is>
          <t>Oui</t>
        </is>
      </c>
      <c r="H15" s="26" t="inlineStr">
        <is>
          <t>Review / retour exploitable</t>
        </is>
      </c>
    </row>
    <row r="16">
      <c r="A16" s="26" t="inlineStr">
        <is>
          <t>Quloos</t>
        </is>
      </c>
      <c r="B16" s="26" t="inlineStr">
        <is>
          <t>MUB1</t>
        </is>
      </c>
      <c r="C16" s="26" t="n">
        <v>2</v>
      </c>
      <c r="D16" s="26" t="inlineStr">
        <is>
          <t>Head-Fi reviews</t>
        </is>
      </c>
      <c r="E16" s="26" t="inlineStr">
        <is>
          <t>head-fi.org</t>
        </is>
      </c>
      <c r="F16" s="23" t="inlineStr">
        <is>
          <t>https://www.head-fi.org/showcase/qls-hifi-mub1.26725/reviews</t>
        </is>
      </c>
      <c r="G16" s="26" t="inlineStr">
        <is>
          <t>Oui</t>
        </is>
      </c>
      <c r="H16" s="26" t="inlineStr">
        <is>
          <t>Review / retour exploitable</t>
        </is>
      </c>
    </row>
    <row r="17">
      <c r="A17" s="26" t="inlineStr">
        <is>
          <t>Quloos</t>
        </is>
      </c>
      <c r="B17" s="26" t="inlineStr">
        <is>
          <t>MUB1</t>
        </is>
      </c>
      <c r="C17" s="26" t="n">
        <v>3</v>
      </c>
      <c r="D17" s="26" t="inlineStr">
        <is>
          <t>Review éditoriale</t>
        </is>
      </c>
      <c r="E17" s="26" t="inlineStr">
        <is>
          <t>theheadphonelist.com</t>
        </is>
      </c>
      <c r="F17" s="23" t="inlineStr">
        <is>
          <t>https://theheadphonelist.com/review-quloos-mub1/</t>
        </is>
      </c>
      <c r="G17" s="26" t="inlineStr">
        <is>
          <t>Oui</t>
        </is>
      </c>
      <c r="H17" s="26" t="inlineStr">
        <is>
          <t>Review / retour exploitable</t>
        </is>
      </c>
    </row>
    <row r="18">
      <c r="A18" s="26" t="inlineStr">
        <is>
          <t>Quloos</t>
        </is>
      </c>
      <c r="B18" s="26" t="inlineStr">
        <is>
          <t>MUB1</t>
        </is>
      </c>
      <c r="C18" s="26" t="n">
        <v>4</v>
      </c>
      <c r="D18" s="26" t="inlineStr">
        <is>
          <t>Head-Fi forum</t>
        </is>
      </c>
      <c r="E18" s="26" t="inlineStr">
        <is>
          <t>head-fi.org</t>
        </is>
      </c>
      <c r="F18" s="23" t="inlineStr">
        <is>
          <t>https://www.head-fi.org/threads/qls-mub-1.969455/</t>
        </is>
      </c>
      <c r="G18" s="26" t="inlineStr">
        <is>
          <t>Oui</t>
        </is>
      </c>
      <c r="H18" s="26" t="inlineStr">
        <is>
          <t>Review / retour exploitable</t>
        </is>
      </c>
    </row>
    <row r="19">
      <c r="A19" s="26" t="inlineStr">
        <is>
          <t>Cayin</t>
        </is>
      </c>
      <c r="B19" s="26" t="inlineStr">
        <is>
          <t>RU7</t>
        </is>
      </c>
      <c r="C19" s="26" t="n">
        <v>1</v>
      </c>
      <c r="D19" s="26" t="inlineStr">
        <is>
          <t>Review éditoriale</t>
        </is>
      </c>
      <c r="E19" s="26" t="inlineStr">
        <is>
          <t>headfonics.com</t>
        </is>
      </c>
      <c r="F19" s="23" t="inlineStr">
        <is>
          <t>https://headfonics.com/cayin-ru7-review/</t>
        </is>
      </c>
      <c r="G19" s="26" t="inlineStr">
        <is>
          <t>Oui</t>
        </is>
      </c>
      <c r="H19" s="26" t="inlineStr">
        <is>
          <t>Review / retour exploitable</t>
        </is>
      </c>
    </row>
    <row r="20">
      <c r="A20" s="26" t="inlineStr">
        <is>
          <t>Cayin</t>
        </is>
      </c>
      <c r="B20" s="26" t="inlineStr">
        <is>
          <t>RU7</t>
        </is>
      </c>
      <c r="C20" s="26" t="n">
        <v>2</v>
      </c>
      <c r="D20" s="26" t="inlineStr">
        <is>
          <t>Head-Fi reviews</t>
        </is>
      </c>
      <c r="E20" s="26" t="inlineStr">
        <is>
          <t>head-fi.org</t>
        </is>
      </c>
      <c r="F20" s="23" t="inlineStr">
        <is>
          <t>https://www.head-fi.org/showcase/cayin-ru7.26493/reviews</t>
        </is>
      </c>
      <c r="G20" s="26" t="inlineStr">
        <is>
          <t>Oui</t>
        </is>
      </c>
      <c r="H20" s="26" t="inlineStr">
        <is>
          <t>Review / retour exploitable</t>
        </is>
      </c>
    </row>
    <row r="21">
      <c r="A21" s="26" t="inlineStr">
        <is>
          <t>Cayin</t>
        </is>
      </c>
      <c r="B21" s="26" t="inlineStr">
        <is>
          <t>RU7</t>
        </is>
      </c>
      <c r="C21" s="26" t="n">
        <v>3</v>
      </c>
      <c r="D21" s="26" t="inlineStr">
        <is>
          <t>Review éditoriale</t>
        </is>
      </c>
      <c r="E21" s="26" t="inlineStr">
        <is>
          <t>iiwireviews.com</t>
        </is>
      </c>
      <c r="F21" s="23" t="inlineStr">
        <is>
          <t>https://iiwireviews.com/cayin-ru7-dac-review-fantastic-portable-sound/</t>
        </is>
      </c>
      <c r="G21" s="26" t="inlineStr">
        <is>
          <t>Oui</t>
        </is>
      </c>
      <c r="H21" s="26" t="inlineStr">
        <is>
          <t>Review / retour exploitable</t>
        </is>
      </c>
    </row>
    <row r="22">
      <c r="A22" s="26" t="inlineStr">
        <is>
          <t>Cayin</t>
        </is>
      </c>
      <c r="B22" s="26" t="inlineStr">
        <is>
          <t>RU7</t>
        </is>
      </c>
      <c r="C22" s="26" t="n">
        <v>4</v>
      </c>
      <c r="D22" s="26" t="inlineStr">
        <is>
          <t>Review éditoriale</t>
        </is>
      </c>
      <c r="E22" s="26" t="inlineStr">
        <is>
          <t>ecoustics.com</t>
        </is>
      </c>
      <c r="F22" s="23" t="inlineStr">
        <is>
          <t>https://www.ecoustics.com/reviews/cayin-ru7-dongle-dac/</t>
        </is>
      </c>
      <c r="G22" s="26" t="inlineStr">
        <is>
          <t>Oui</t>
        </is>
      </c>
      <c r="H22" s="26" t="inlineStr">
        <is>
          <t>Review / retour exploitable</t>
        </is>
      </c>
    </row>
    <row r="23">
      <c r="A23" s="26" t="inlineStr">
        <is>
          <t>Dethonray</t>
        </is>
      </c>
      <c r="B23" s="26" t="inlineStr">
        <is>
          <t>Clarinet</t>
        </is>
      </c>
      <c r="C23" s="26" t="n">
        <v>1</v>
      </c>
      <c r="D23" s="26" t="inlineStr">
        <is>
          <t>Review éditoriale</t>
        </is>
      </c>
      <c r="E23" s="26" t="inlineStr">
        <is>
          <t>headfonia.com</t>
        </is>
      </c>
      <c r="F23" s="23" t="inlineStr">
        <is>
          <t>https://www.headfonia.com/dethonray-clarinet-review/</t>
        </is>
      </c>
      <c r="G23" s="26" t="inlineStr">
        <is>
          <t>Oui</t>
        </is>
      </c>
      <c r="H23" s="26" t="inlineStr">
        <is>
          <t>Review / retour exploitable</t>
        </is>
      </c>
    </row>
    <row r="24">
      <c r="A24" s="26" t="inlineStr">
        <is>
          <t>Dethonray</t>
        </is>
      </c>
      <c r="B24" s="26" t="inlineStr">
        <is>
          <t>Clarinet</t>
        </is>
      </c>
      <c r="C24" s="26" t="n">
        <v>2</v>
      </c>
      <c r="D24" s="26" t="inlineStr">
        <is>
          <t>Head-Fi reviews</t>
        </is>
      </c>
      <c r="E24" s="26" t="inlineStr">
        <is>
          <t>head-fi.org</t>
        </is>
      </c>
      <c r="F24" s="23" t="inlineStr">
        <is>
          <t>https://www.head-fi.org/showcase/dethonray-clarinet.27782/reviews</t>
        </is>
      </c>
      <c r="G24" s="26" t="inlineStr">
        <is>
          <t>Oui</t>
        </is>
      </c>
      <c r="H24" s="26" t="inlineStr">
        <is>
          <t>Review / retour exploitable</t>
        </is>
      </c>
    </row>
    <row r="25">
      <c r="A25" s="26" t="inlineStr">
        <is>
          <t>Dethonray</t>
        </is>
      </c>
      <c r="B25" s="26" t="inlineStr">
        <is>
          <t>Clarinet</t>
        </is>
      </c>
      <c r="C25" s="26" t="n">
        <v>3</v>
      </c>
      <c r="D25" s="26" t="inlineStr">
        <is>
          <t>Review éditoriale</t>
        </is>
      </c>
      <c r="E25" s="26" t="inlineStr">
        <is>
          <t>audiophile-heaven.com</t>
        </is>
      </c>
      <c r="F25" s="23" t="inlineStr">
        <is>
          <t>https://www.audiophile-heaven.com/2025/04/the-canto-master-dethonray-clarinet-dac-headphone-amp.html</t>
        </is>
      </c>
      <c r="G25" s="26" t="inlineStr">
        <is>
          <t>Oui</t>
        </is>
      </c>
      <c r="H25" s="26" t="inlineStr">
        <is>
          <t>Review / retour exploitable</t>
        </is>
      </c>
    </row>
    <row r="26">
      <c r="A26" s="26" t="inlineStr">
        <is>
          <t>Dethonray</t>
        </is>
      </c>
      <c r="B26" s="26" t="inlineStr">
        <is>
          <t>Clarinet</t>
        </is>
      </c>
      <c r="C26" s="26" t="n">
        <v>4</v>
      </c>
      <c r="D26" s="26" t="inlineStr">
        <is>
          <t>Head-Fi forum</t>
        </is>
      </c>
      <c r="E26" s="26" t="inlineStr">
        <is>
          <t>head-fi.org</t>
        </is>
      </c>
      <c r="F26" s="23" t="inlineStr">
        <is>
          <t>https://www.head-fi.org/threads/dethonray-clarinet-portable-dac-amp-discussion-impression-thread.975231/</t>
        </is>
      </c>
      <c r="G26" s="26" t="inlineStr">
        <is>
          <t>Oui</t>
        </is>
      </c>
      <c r="H26" s="26" t="inlineStr">
        <is>
          <t>Review / retour exploitable</t>
        </is>
      </c>
    </row>
    <row r="27">
      <c r="A27" s="26" t="inlineStr">
        <is>
          <t>Moondrop</t>
        </is>
      </c>
      <c r="B27" s="26" t="inlineStr">
        <is>
          <t>Moonriver 3</t>
        </is>
      </c>
      <c r="C27" s="26" t="n">
        <v>1</v>
      </c>
      <c r="D27" s="26" t="inlineStr">
        <is>
          <t>Review éditoriale</t>
        </is>
      </c>
      <c r="E27" s="26" t="inlineStr">
        <is>
          <t>headfonics.com</t>
        </is>
      </c>
      <c r="F27" s="23" t="inlineStr">
        <is>
          <t>https://headfonics.com/moondrop-moonriver-3-review/</t>
        </is>
      </c>
      <c r="G27" s="26" t="inlineStr">
        <is>
          <t>Oui</t>
        </is>
      </c>
      <c r="H27" s="26" t="inlineStr">
        <is>
          <t>Review / retour exploitable</t>
        </is>
      </c>
    </row>
    <row r="28">
      <c r="A28" s="26" t="inlineStr">
        <is>
          <t>Moondrop</t>
        </is>
      </c>
      <c r="B28" s="26" t="inlineStr">
        <is>
          <t>Moonriver 3</t>
        </is>
      </c>
      <c r="C28" s="26" t="n">
        <v>2</v>
      </c>
      <c r="D28" s="26" t="inlineStr">
        <is>
          <t>Review éditoriale</t>
        </is>
      </c>
      <c r="E28" s="26" t="inlineStr">
        <is>
          <t>hifidaydreaming.com</t>
        </is>
      </c>
      <c r="F28" s="23" t="inlineStr">
        <is>
          <t>https://www.hifidaydreaming.com/post/the-future-of-portable-dac-amps-is-here-moondrop-moonriver-3-review</t>
        </is>
      </c>
      <c r="G28" s="26" t="inlineStr">
        <is>
          <t>Oui</t>
        </is>
      </c>
      <c r="H28" s="26" t="inlineStr">
        <is>
          <t>Review / retour exploitable</t>
        </is>
      </c>
    </row>
    <row r="29">
      <c r="A29" s="26" t="inlineStr">
        <is>
          <t>Moondrop</t>
        </is>
      </c>
      <c r="B29" s="26" t="inlineStr">
        <is>
          <t>Moonriver 3</t>
        </is>
      </c>
      <c r="C29" s="26" t="n">
        <v>3</v>
      </c>
      <c r="D29" s="26" t="inlineStr">
        <is>
          <t>Review éditoriale</t>
        </is>
      </c>
      <c r="E29" s="26" t="inlineStr">
        <is>
          <t>cj.sina.com.cn</t>
        </is>
      </c>
      <c r="F29" s="23" t="inlineStr">
        <is>
          <t>https://cj.sina.com.cn/articles/view/7879848900/1d5acf3c402702rlle?froms=ggmp</t>
        </is>
      </c>
      <c r="G29" s="26" t="inlineStr">
        <is>
          <t>Oui</t>
        </is>
      </c>
      <c r="H29" s="26" t="inlineStr">
        <is>
          <t>Review / retour exploitable</t>
        </is>
      </c>
    </row>
    <row r="30">
      <c r="A30" s="26" t="inlineStr">
        <is>
          <t>ONIX</t>
        </is>
      </c>
      <c r="B30" s="26" t="inlineStr">
        <is>
          <t>Beta XI2</t>
        </is>
      </c>
      <c r="C30" s="26" t="n">
        <v>1</v>
      </c>
      <c r="D30" s="26" t="inlineStr">
        <is>
          <t>Review éditoriale</t>
        </is>
      </c>
      <c r="E30" s="26" t="inlineStr">
        <is>
          <t>headfonics.com</t>
        </is>
      </c>
      <c r="F30" s="23" t="inlineStr">
        <is>
          <t>https://headfonics.com/onix-beta-xi2-review/</t>
        </is>
      </c>
      <c r="G30" s="26" t="inlineStr">
        <is>
          <t>Oui</t>
        </is>
      </c>
      <c r="H30" s="26" t="inlineStr">
        <is>
          <t>Review / retour exploitable</t>
        </is>
      </c>
    </row>
    <row r="31">
      <c r="A31" s="26" t="inlineStr">
        <is>
          <t>ONIX</t>
        </is>
      </c>
      <c r="B31" s="26" t="inlineStr">
        <is>
          <t>Beta XI2</t>
        </is>
      </c>
      <c r="C31" s="26" t="n">
        <v>2</v>
      </c>
      <c r="D31" s="26" t="inlineStr">
        <is>
          <t>Review éditoriale</t>
        </is>
      </c>
      <c r="E31" s="26" t="inlineStr">
        <is>
          <t>headfonia.com</t>
        </is>
      </c>
      <c r="F31" s="23" t="inlineStr">
        <is>
          <t>https://www.headfonia.com/onix-beta-xi2-review/</t>
        </is>
      </c>
      <c r="G31" s="26" t="inlineStr">
        <is>
          <t>Oui</t>
        </is>
      </c>
      <c r="H31" s="26" t="inlineStr">
        <is>
          <t>Review / retour exploitable</t>
        </is>
      </c>
    </row>
    <row r="32">
      <c r="A32" s="26" t="inlineStr">
        <is>
          <t>ONIX</t>
        </is>
      </c>
      <c r="B32" s="26" t="inlineStr">
        <is>
          <t>Beta XI2</t>
        </is>
      </c>
      <c r="C32" s="26" t="n">
        <v>3</v>
      </c>
      <c r="D32" s="26" t="inlineStr">
        <is>
          <t>Review éditoriale</t>
        </is>
      </c>
      <c r="E32" s="26" t="inlineStr">
        <is>
          <t>audiophile-heaven.com</t>
        </is>
      </c>
      <c r="F32" s="23" t="inlineStr">
        <is>
          <t>https://www.audiophile-heaven.com/2025/11/shanling-onix-beta-xi2-tube-usb-dongle-dac-amp-review-dual-dacs-dual-tubes-dual-fun.html</t>
        </is>
      </c>
      <c r="G32" s="26" t="inlineStr">
        <is>
          <t>Oui</t>
        </is>
      </c>
      <c r="H32" s="26" t="inlineStr">
        <is>
          <t>Review / retour exploitable</t>
        </is>
      </c>
    </row>
    <row r="33">
      <c r="A33" s="26" t="inlineStr">
        <is>
          <t>ONIX</t>
        </is>
      </c>
      <c r="B33" s="26" t="inlineStr">
        <is>
          <t>Beta XI2</t>
        </is>
      </c>
      <c r="C33" s="26" t="n">
        <v>4</v>
      </c>
      <c r="D33" s="26" t="inlineStr">
        <is>
          <t>Review éditoriale</t>
        </is>
      </c>
      <c r="E33" s="26" t="inlineStr">
        <is>
          <t>ecoustics.com</t>
        </is>
      </c>
      <c r="F33" s="23" t="inlineStr">
        <is>
          <t>https://www.ecoustics.com/reviews/onix-beta-xi2/</t>
        </is>
      </c>
      <c r="G33" s="26" t="inlineStr">
        <is>
          <t>Oui</t>
        </is>
      </c>
      <c r="H33" s="26" t="inlineStr">
        <is>
          <t>Review / retour exploitable</t>
        </is>
      </c>
    </row>
    <row r="34">
      <c r="A34" s="26" t="inlineStr">
        <is>
          <t>MUSE HiFi</t>
        </is>
      </c>
      <c r="B34" s="26" t="inlineStr">
        <is>
          <t>M6 Double</t>
        </is>
      </c>
      <c r="C34" s="26" t="n">
        <v>1</v>
      </c>
      <c r="D34" s="26" t="inlineStr">
        <is>
          <t>Review éditoriale</t>
        </is>
      </c>
      <c r="E34" s="26" t="inlineStr">
        <is>
          <t>headfonics.com</t>
        </is>
      </c>
      <c r="F34" s="23" t="inlineStr">
        <is>
          <t>https://headfonics.com/muse-hifi-m6-double-review/</t>
        </is>
      </c>
      <c r="G34" s="26" t="inlineStr">
        <is>
          <t>Oui</t>
        </is>
      </c>
      <c r="H34" s="26" t="inlineStr">
        <is>
          <t>Review / retour exploitable</t>
        </is>
      </c>
    </row>
    <row r="35">
      <c r="A35" s="26" t="inlineStr">
        <is>
          <t>MUSE HiFi</t>
        </is>
      </c>
      <c r="B35" s="26" t="inlineStr">
        <is>
          <t>M6 Double</t>
        </is>
      </c>
      <c r="C35" s="26" t="n">
        <v>2</v>
      </c>
      <c r="D35" s="26" t="inlineStr">
        <is>
          <t>Review éditoriale</t>
        </is>
      </c>
      <c r="E35" s="26" t="inlineStr">
        <is>
          <t>headfonia.com</t>
        </is>
      </c>
      <c r="F35" s="23" t="inlineStr">
        <is>
          <t>https://www.headfonia.com/muse-hifi-m6-double-review/</t>
        </is>
      </c>
      <c r="G35" s="26" t="inlineStr">
        <is>
          <t>Oui</t>
        </is>
      </c>
      <c r="H35" s="26" t="inlineStr">
        <is>
          <t>Review / retour exploitable</t>
        </is>
      </c>
    </row>
    <row r="36">
      <c r="A36" s="26" t="inlineStr">
        <is>
          <t>MUSE HiFi</t>
        </is>
      </c>
      <c r="B36" s="26" t="inlineStr">
        <is>
          <t>M6 Double</t>
        </is>
      </c>
      <c r="C36" s="26" t="n">
        <v>3</v>
      </c>
      <c r="D36" s="26" t="inlineStr">
        <is>
          <t>Review éditoriale</t>
        </is>
      </c>
      <c r="E36" s="26" t="inlineStr">
        <is>
          <t>uni-sonia.com</t>
        </is>
      </c>
      <c r="F36" s="23" t="inlineStr">
        <is>
          <t>https://www.uni-sonia.com/musehifi-m6-double/</t>
        </is>
      </c>
      <c r="G36" s="26" t="inlineStr">
        <is>
          <t>Oui</t>
        </is>
      </c>
      <c r="H36" s="26" t="inlineStr">
        <is>
          <t>Review / retour exploitable</t>
        </is>
      </c>
    </row>
    <row r="37">
      <c r="A37" s="26" t="inlineStr">
        <is>
          <t>MUSE HiFi</t>
        </is>
      </c>
      <c r="B37" s="26" t="inlineStr">
        <is>
          <t>M6 Double</t>
        </is>
      </c>
      <c r="C37" s="26" t="n">
        <v>4</v>
      </c>
      <c r="D37" s="26" t="inlineStr">
        <is>
          <t>Review éditoriale</t>
        </is>
      </c>
      <c r="E37" s="26" t="inlineStr">
        <is>
          <t>note.com</t>
        </is>
      </c>
      <c r="F37" s="23" t="inlineStr">
        <is>
          <t>https://note.com/sekixyo/n/n1a59c57ce107</t>
        </is>
      </c>
      <c r="G37" s="26" t="inlineStr">
        <is>
          <t>Oui</t>
        </is>
      </c>
      <c r="H37" s="26" t="inlineStr">
        <is>
          <t>Review / retour exploitable</t>
        </is>
      </c>
    </row>
    <row r="38">
      <c r="A38" s="26" t="inlineStr">
        <is>
          <t>Questyle</t>
        </is>
      </c>
      <c r="B38" s="26" t="inlineStr">
        <is>
          <t>M15i</t>
        </is>
      </c>
      <c r="C38" s="26" t="n">
        <v>1</v>
      </c>
      <c r="D38" s="26" t="inlineStr">
        <is>
          <t>Review éditoriale</t>
        </is>
      </c>
      <c r="E38" s="26" t="inlineStr">
        <is>
          <t>audiodiscourse.com</t>
        </is>
      </c>
      <c r="F38" s="23" t="inlineStr">
        <is>
          <t>https://www.audiodiscourse.com/2024/06/questyle-m15i-portable-dacamp-review.html</t>
        </is>
      </c>
      <c r="G38" s="26" t="inlineStr">
        <is>
          <t>Oui</t>
        </is>
      </c>
      <c r="H38" s="26" t="inlineStr">
        <is>
          <t>Review / retour exploitable</t>
        </is>
      </c>
    </row>
    <row r="39">
      <c r="A39" s="26" t="inlineStr">
        <is>
          <t>Questyle</t>
        </is>
      </c>
      <c r="B39" s="26" t="inlineStr">
        <is>
          <t>M15i</t>
        </is>
      </c>
      <c r="C39" s="26" t="n">
        <v>2</v>
      </c>
      <c r="D39" s="26" t="inlineStr">
        <is>
          <t>Review éditoriale</t>
        </is>
      </c>
      <c r="E39" s="26" t="inlineStr">
        <is>
          <t>majorhifi.com</t>
        </is>
      </c>
      <c r="F39" s="23" t="inlineStr">
        <is>
          <t>https://majorhifi.com/questyle-m15i-review/</t>
        </is>
      </c>
      <c r="G39" s="26" t="inlineStr">
        <is>
          <t>Oui</t>
        </is>
      </c>
      <c r="H39" s="26" t="inlineStr">
        <is>
          <t>Review / retour exploitable</t>
        </is>
      </c>
    </row>
    <row r="40">
      <c r="A40" s="26" t="inlineStr">
        <is>
          <t>Questyle</t>
        </is>
      </c>
      <c r="B40" s="26" t="inlineStr">
        <is>
          <t>M15i</t>
        </is>
      </c>
      <c r="C40" s="26" t="n">
        <v>3</v>
      </c>
      <c r="D40" s="26" t="inlineStr">
        <is>
          <t>Head-Fi reviews</t>
        </is>
      </c>
      <c r="E40" s="26" t="inlineStr">
        <is>
          <t>head-fi.org</t>
        </is>
      </c>
      <c r="F40" s="23" t="inlineStr">
        <is>
          <t>https://www.head-fi.org/showcase/questyle-m15i-%E2%80%94-mobile-headphone-amp-dac.27064/reviews</t>
        </is>
      </c>
      <c r="G40" s="26" t="inlineStr">
        <is>
          <t>Oui</t>
        </is>
      </c>
      <c r="H40" s="26" t="inlineStr">
        <is>
          <t>Review / retour exploitable</t>
        </is>
      </c>
    </row>
    <row r="41">
      <c r="A41" s="26" t="inlineStr">
        <is>
          <t>Questyle</t>
        </is>
      </c>
      <c r="B41" s="26" t="inlineStr">
        <is>
          <t>M15i</t>
        </is>
      </c>
      <c r="C41" s="26" t="n">
        <v>4</v>
      </c>
      <c r="D41" s="26" t="inlineStr">
        <is>
          <t>Head-Fi forum</t>
        </is>
      </c>
      <c r="E41" s="26" t="inlineStr">
        <is>
          <t>head-fi.org</t>
        </is>
      </c>
      <c r="F41" s="23" t="inlineStr">
        <is>
          <t>https://www.head-fi.org/threads/questyle-m12i-m15i-usb-dac-review-the-charm-of-current-mode-amplification.974037/</t>
        </is>
      </c>
      <c r="G41" s="26" t="inlineStr">
        <is>
          <t>Oui</t>
        </is>
      </c>
      <c r="H41" s="26" t="inlineStr">
        <is>
          <t>Review / retour exploitable</t>
        </is>
      </c>
    </row>
    <row r="42">
      <c r="A42" s="26" t="inlineStr">
        <is>
          <t>Questyle</t>
        </is>
      </c>
      <c r="B42" s="26" t="inlineStr">
        <is>
          <t>M15i</t>
        </is>
      </c>
      <c r="C42" s="26" t="n">
        <v>5</v>
      </c>
      <c r="D42" s="26" t="inlineStr">
        <is>
          <t>Review éditoriale</t>
        </is>
      </c>
      <c r="E42" s="26" t="inlineStr">
        <is>
          <t>moonstarreviews.net</t>
        </is>
      </c>
      <c r="F42" s="23" t="inlineStr">
        <is>
          <t>https://moonstarreviews.net/questyle-m15i-special-edition-review/</t>
        </is>
      </c>
      <c r="G42" s="26" t="inlineStr">
        <is>
          <t>Oui</t>
        </is>
      </c>
      <c r="H42" s="26" t="inlineStr">
        <is>
          <t>Review / retour exploitable</t>
        </is>
      </c>
    </row>
    <row r="43">
      <c r="A43" s="26" t="inlineStr">
        <is>
          <t>Shanling</t>
        </is>
      </c>
      <c r="B43" s="26" t="inlineStr">
        <is>
          <t>UA7</t>
        </is>
      </c>
      <c r="C43" s="26" t="n">
        <v>1</v>
      </c>
      <c r="D43" s="26" t="inlineStr">
        <is>
          <t>Review éditoriale</t>
        </is>
      </c>
      <c r="E43" s="26" t="inlineStr">
        <is>
          <t>headfonics.com</t>
        </is>
      </c>
      <c r="F43" s="23" t="inlineStr">
        <is>
          <t>https://headfonics.com/shanling-ua7-review/</t>
        </is>
      </c>
      <c r="G43" s="26" t="inlineStr">
        <is>
          <t>Oui</t>
        </is>
      </c>
      <c r="H43" s="26" t="inlineStr">
        <is>
          <t>Review / retour exploitable</t>
        </is>
      </c>
    </row>
    <row r="44">
      <c r="A44" s="26" t="inlineStr">
        <is>
          <t>Shanling</t>
        </is>
      </c>
      <c r="B44" s="26" t="inlineStr">
        <is>
          <t>UA7</t>
        </is>
      </c>
      <c r="C44" s="26" t="n">
        <v>2</v>
      </c>
      <c r="D44" s="26" t="inlineStr">
        <is>
          <t>Review éditoriale</t>
        </is>
      </c>
      <c r="E44" s="26" t="inlineStr">
        <is>
          <t>headfonia.com</t>
        </is>
      </c>
      <c r="F44" s="23" t="inlineStr">
        <is>
          <t>https://www.headfonia.com/shanling-ua7-review/</t>
        </is>
      </c>
      <c r="G44" s="26" t="inlineStr">
        <is>
          <t>Oui</t>
        </is>
      </c>
      <c r="H44" s="26" t="inlineStr">
        <is>
          <t>Review / retour exploitable</t>
        </is>
      </c>
    </row>
    <row r="45">
      <c r="A45" s="26" t="inlineStr">
        <is>
          <t>Shanling</t>
        </is>
      </c>
      <c r="B45" s="26" t="inlineStr">
        <is>
          <t>UA7</t>
        </is>
      </c>
      <c r="C45" s="26" t="n">
        <v>3</v>
      </c>
      <c r="D45" s="26" t="inlineStr">
        <is>
          <t>Review éditoriale</t>
        </is>
      </c>
      <c r="E45" s="26" t="inlineStr">
        <is>
          <t>mobileaudiophile.com</t>
        </is>
      </c>
      <c r="F45" s="23" t="inlineStr">
        <is>
          <t>https://mobileaudiophile.com/dacs/dongle/shanling-ua7-review/</t>
        </is>
      </c>
      <c r="G45" s="26" t="inlineStr">
        <is>
          <t>Oui</t>
        </is>
      </c>
      <c r="H45" s="26" t="inlineStr">
        <is>
          <t>Review / retour exploitable</t>
        </is>
      </c>
    </row>
    <row r="46">
      <c r="A46" s="26" t="inlineStr">
        <is>
          <t>Shanling</t>
        </is>
      </c>
      <c r="B46" s="26" t="inlineStr">
        <is>
          <t>UA7</t>
        </is>
      </c>
      <c r="C46" s="26" t="n">
        <v>4</v>
      </c>
      <c r="D46" s="26" t="inlineStr">
        <is>
          <t>Review éditoriale</t>
        </is>
      </c>
      <c r="E46" s="26" t="inlineStr">
        <is>
          <t>ichos-reviews.com</t>
        </is>
      </c>
      <c r="F46" s="23" t="inlineStr">
        <is>
          <t>https://ichos-reviews.com/shanling-ua7-review/</t>
        </is>
      </c>
      <c r="G46" s="26" t="inlineStr">
        <is>
          <t>Oui</t>
        </is>
      </c>
      <c r="H46" s="26" t="inlineStr">
        <is>
          <t>Review / retour exploitable</t>
        </is>
      </c>
    </row>
    <row r="47">
      <c r="A47" s="26" t="inlineStr">
        <is>
          <t>iBasso</t>
        </is>
      </c>
      <c r="B47" s="26" t="inlineStr">
        <is>
          <t>DC07PRO</t>
        </is>
      </c>
      <c r="C47" s="26" t="n">
        <v>1</v>
      </c>
      <c r="D47" s="26" t="inlineStr">
        <is>
          <t>Review éditoriale</t>
        </is>
      </c>
      <c r="E47" s="26" t="inlineStr">
        <is>
          <t>headfonia.com</t>
        </is>
      </c>
      <c r="F47" s="23" t="inlineStr">
        <is>
          <t>https://www.headfonia.com/ibasso-dc07pro-review/2/</t>
        </is>
      </c>
      <c r="G47" s="26" t="inlineStr">
        <is>
          <t>Oui</t>
        </is>
      </c>
      <c r="H47" s="26" t="inlineStr">
        <is>
          <t>Review / retour exploitable</t>
        </is>
      </c>
    </row>
    <row r="48">
      <c r="A48" s="26" t="inlineStr">
        <is>
          <t>iBasso</t>
        </is>
      </c>
      <c r="B48" s="26" t="inlineStr">
        <is>
          <t>DC07PRO</t>
        </is>
      </c>
      <c r="C48" s="26" t="n">
        <v>2</v>
      </c>
      <c r="D48" s="26" t="inlineStr">
        <is>
          <t>Head-Fi reviews</t>
        </is>
      </c>
      <c r="E48" s="26" t="inlineStr">
        <is>
          <t>head-fi.org</t>
        </is>
      </c>
      <c r="F48" s="23" t="inlineStr">
        <is>
          <t>https://www.head-fi.org/showcase/ibasso-dc07-pro.27359/reviews</t>
        </is>
      </c>
      <c r="G48" s="26" t="inlineStr">
        <is>
          <t>Oui</t>
        </is>
      </c>
      <c r="H48" s="26" t="inlineStr">
        <is>
          <t>Review / retour exploitable</t>
        </is>
      </c>
    </row>
    <row r="49">
      <c r="A49" s="26" t="inlineStr">
        <is>
          <t>iBasso</t>
        </is>
      </c>
      <c r="B49" s="26" t="inlineStr">
        <is>
          <t>DC07PRO</t>
        </is>
      </c>
      <c r="C49" s="26" t="n">
        <v>3</v>
      </c>
      <c r="D49" s="26" t="inlineStr">
        <is>
          <t>Review éditoriale</t>
        </is>
      </c>
      <c r="E49" s="26" t="inlineStr">
        <is>
          <t>moonstarreviews.net</t>
        </is>
      </c>
      <c r="F49" s="23" t="inlineStr">
        <is>
          <t>https://moonstarreviews.net/ibasso-dc07-pro-review/</t>
        </is>
      </c>
      <c r="G49" s="26" t="inlineStr">
        <is>
          <t>Oui</t>
        </is>
      </c>
      <c r="H49" s="26" t="inlineStr">
        <is>
          <t>Review / retour exploitable</t>
        </is>
      </c>
    </row>
    <row r="50">
      <c r="A50" s="26" t="inlineStr">
        <is>
          <t>iBasso</t>
        </is>
      </c>
      <c r="B50" s="26" t="inlineStr">
        <is>
          <t>DC07PRO</t>
        </is>
      </c>
      <c r="C50" s="26" t="n">
        <v>4</v>
      </c>
      <c r="D50" s="26" t="inlineStr">
        <is>
          <t>Review éditoriale</t>
        </is>
      </c>
      <c r="E50" s="26" t="inlineStr">
        <is>
          <t>androidbrick.com</t>
        </is>
      </c>
      <c r="F50" s="23" t="inlineStr">
        <is>
          <t>https://androidbrick.com/ibasso-dc07pro-review/</t>
        </is>
      </c>
      <c r="G50" s="26" t="inlineStr">
        <is>
          <t>Oui</t>
        </is>
      </c>
      <c r="H50" s="26" t="inlineStr">
        <is>
          <t>Review / retour exploitable</t>
        </is>
      </c>
    </row>
    <row r="51">
      <c r="A51" s="26" t="inlineStr">
        <is>
          <t>Shanling</t>
        </is>
      </c>
      <c r="B51" s="26" t="inlineStr">
        <is>
          <t>UA6 II</t>
        </is>
      </c>
      <c r="C51" s="26" t="n">
        <v>1</v>
      </c>
      <c r="D51" s="26" t="inlineStr">
        <is>
          <t>Review éditoriale</t>
        </is>
      </c>
      <c r="E51" s="26" t="inlineStr">
        <is>
          <t>mobileaudiophile.com</t>
        </is>
      </c>
      <c r="F51" s="23" t="inlineStr">
        <is>
          <t>https://mobileaudiophile.com/dacs/dongle/shanling-ua6-ii-review/</t>
        </is>
      </c>
      <c r="G51" s="26" t="inlineStr">
        <is>
          <t>Oui</t>
        </is>
      </c>
      <c r="H51" s="26" t="inlineStr">
        <is>
          <t>Review / retour exploitable</t>
        </is>
      </c>
    </row>
    <row r="52">
      <c r="A52" s="26" t="inlineStr">
        <is>
          <t>Shanling</t>
        </is>
      </c>
      <c r="B52" s="26" t="inlineStr">
        <is>
          <t>UA6 II</t>
        </is>
      </c>
      <c r="C52" s="26" t="n">
        <v>2</v>
      </c>
      <c r="D52" s="26" t="inlineStr">
        <is>
          <t>Review éditoriale</t>
        </is>
      </c>
      <c r="E52" s="26" t="inlineStr">
        <is>
          <t>hearit-hk.com</t>
        </is>
      </c>
      <c r="F52" s="23" t="inlineStr">
        <is>
          <t>https://hearit-hk.com/en/shanling-ua6-ii-8-cs43131-dac-2/</t>
        </is>
      </c>
      <c r="G52" s="26" t="inlineStr">
        <is>
          <t>Oui</t>
        </is>
      </c>
      <c r="H52" s="26" t="inlineStr">
        <is>
          <t>Review / retour exploitable</t>
        </is>
      </c>
    </row>
    <row r="53">
      <c r="A53" s="26" t="inlineStr">
        <is>
          <t>Shanling</t>
        </is>
      </c>
      <c r="B53" s="26" t="inlineStr">
        <is>
          <t>UA6 II</t>
        </is>
      </c>
      <c r="C53" s="26" t="n">
        <v>3</v>
      </c>
      <c r="D53" s="26" t="inlineStr">
        <is>
          <t>News/annonce</t>
        </is>
      </c>
      <c r="E53" s="26" t="inlineStr">
        <is>
          <t>notebookcheck.net</t>
        </is>
      </c>
      <c r="F53" s="23" t="inlineStr">
        <is>
          <t>https://www.notebookcheck.net/Shanling-UA6-II-portable-USB-DAC-launches-with-4-4mm-balanced-output-8-high-fidelity-DACs-and-DSD-Hi-Res-Audio.1333153.0.html</t>
        </is>
      </c>
      <c r="G53" s="26" t="inlineStr">
        <is>
          <t>Oui</t>
        </is>
      </c>
      <c r="H53" s="26" t="inlineStr">
        <is>
          <t>Review / retour exploitable</t>
        </is>
      </c>
    </row>
    <row r="54">
      <c r="A54" s="26" t="inlineStr">
        <is>
          <t>ONIX</t>
        </is>
      </c>
      <c r="B54" s="26" t="inlineStr">
        <is>
          <t>Alpha XI1</t>
        </is>
      </c>
      <c r="C54" s="26" t="n">
        <v>1</v>
      </c>
      <c r="D54" s="26" t="inlineStr">
        <is>
          <t>Review éditoriale</t>
        </is>
      </c>
      <c r="E54" s="26" t="inlineStr">
        <is>
          <t>headfonics.com</t>
        </is>
      </c>
      <c r="F54" s="23" t="inlineStr">
        <is>
          <t>https://headfonics.com/onix-alpha-xi1-review/</t>
        </is>
      </c>
      <c r="G54" s="26" t="inlineStr">
        <is>
          <t>Oui</t>
        </is>
      </c>
      <c r="H54" s="26" t="inlineStr">
        <is>
          <t>Review / retour exploitable</t>
        </is>
      </c>
    </row>
    <row r="55">
      <c r="A55" s="26" t="inlineStr">
        <is>
          <t>ONIX</t>
        </is>
      </c>
      <c r="B55" s="26" t="inlineStr">
        <is>
          <t>Alpha XI1</t>
        </is>
      </c>
      <c r="C55" s="26" t="n">
        <v>2</v>
      </c>
      <c r="D55" s="26" t="inlineStr">
        <is>
          <t>Review éditoriale</t>
        </is>
      </c>
      <c r="E55" s="26" t="inlineStr">
        <is>
          <t>headfonia.com</t>
        </is>
      </c>
      <c r="F55" s="23" t="inlineStr">
        <is>
          <t>https://www.headfonia.com/onix-alpha-xi1-review/</t>
        </is>
      </c>
      <c r="G55" s="26" t="inlineStr">
        <is>
          <t>Oui</t>
        </is>
      </c>
      <c r="H55" s="26" t="inlineStr">
        <is>
          <t>Review / retour exploitable</t>
        </is>
      </c>
    </row>
    <row r="56">
      <c r="A56" s="26" t="inlineStr">
        <is>
          <t>ONIX</t>
        </is>
      </c>
      <c r="B56" s="26" t="inlineStr">
        <is>
          <t>Alpha XI1</t>
        </is>
      </c>
      <c r="C56" s="26" t="n">
        <v>3</v>
      </c>
      <c r="D56" s="26" t="inlineStr">
        <is>
          <t>Review éditoriale</t>
        </is>
      </c>
      <c r="E56" s="26" t="inlineStr">
        <is>
          <t>audiophile-heaven.com</t>
        </is>
      </c>
      <c r="F56" s="23" t="inlineStr">
        <is>
          <t>https://www.audiophile-heaven.com/2024/07/shanling-onix-alpha-xi1-bold-sound-good-function-dac-amp.html</t>
        </is>
      </c>
      <c r="G56" s="26" t="inlineStr">
        <is>
          <t>Oui</t>
        </is>
      </c>
      <c r="H56" s="26" t="inlineStr">
        <is>
          <t>Review / retour exploitable</t>
        </is>
      </c>
    </row>
    <row r="57">
      <c r="A57" s="26" t="inlineStr">
        <is>
          <t>ONIX</t>
        </is>
      </c>
      <c r="B57" s="26" t="inlineStr">
        <is>
          <t>Alpha XI1</t>
        </is>
      </c>
      <c r="C57" s="26" t="n">
        <v>4</v>
      </c>
      <c r="D57" s="26" t="inlineStr">
        <is>
          <t>Communauté Reddit</t>
        </is>
      </c>
      <c r="E57" s="26" t="inlineStr">
        <is>
          <t>reddit.com</t>
        </is>
      </c>
      <c r="F57" s="23" t="inlineStr">
        <is>
          <t>https://www.reddit.com/r/headphones/comments/1dnbl2j</t>
        </is>
      </c>
      <c r="G57" s="26" t="inlineStr">
        <is>
          <t>Oui</t>
        </is>
      </c>
      <c r="H57" s="26" t="inlineStr">
        <is>
          <t>Review / retour exploitable</t>
        </is>
      </c>
    </row>
    <row r="58">
      <c r="A58" s="26" t="inlineStr">
        <is>
          <t>xDuoo</t>
        </is>
      </c>
      <c r="B58" s="26" t="inlineStr">
        <is>
          <t>XD05 BAL 2</t>
        </is>
      </c>
      <c r="C58" s="26" t="n">
        <v>1</v>
      </c>
      <c r="D58" s="26" t="inlineStr">
        <is>
          <t>Review éditoriale</t>
        </is>
      </c>
      <c r="E58" s="26" t="inlineStr">
        <is>
          <t>headfonics.com</t>
        </is>
      </c>
      <c r="F58" s="23" t="inlineStr">
        <is>
          <t>https://headfonics.com/xduoo-xd05-bal-2-review/</t>
        </is>
      </c>
      <c r="G58" s="26" t="inlineStr">
        <is>
          <t>Oui</t>
        </is>
      </c>
      <c r="H58" s="26" t="inlineStr">
        <is>
          <t>Review / retour exploitable</t>
        </is>
      </c>
    </row>
    <row r="59">
      <c r="A59" s="26" t="inlineStr">
        <is>
          <t>xDuoo</t>
        </is>
      </c>
      <c r="B59" s="26" t="inlineStr">
        <is>
          <t>XD05 BAL 2</t>
        </is>
      </c>
      <c r="C59" s="26" t="n">
        <v>2</v>
      </c>
      <c r="D59" s="26" t="inlineStr">
        <is>
          <t>Review éditoriale</t>
        </is>
      </c>
      <c r="E59" s="26" t="inlineStr">
        <is>
          <t>arkaudio.se</t>
        </is>
      </c>
      <c r="F59" s="23" t="inlineStr">
        <is>
          <t>https://www.arkaudio.se/en/headphones/headphones/xduoo-xd05-bal2-portable-dac-tube-headphone-amplifier.html</t>
        </is>
      </c>
      <c r="G59" s="26" t="inlineStr">
        <is>
          <t>Oui</t>
        </is>
      </c>
      <c r="H59" s="26" t="inlineStr">
        <is>
          <t>Review / retour exploitable</t>
        </is>
      </c>
    </row>
    <row r="60">
      <c r="A60" s="26" t="inlineStr">
        <is>
          <t>xDuoo</t>
        </is>
      </c>
      <c r="B60" s="26" t="inlineStr">
        <is>
          <t>XD05 BAL 2</t>
        </is>
      </c>
      <c r="C60" s="26" t="n">
        <v>3</v>
      </c>
      <c r="D60" s="26" t="inlineStr">
        <is>
          <t>Review éditoriale</t>
        </is>
      </c>
      <c r="E60" s="26" t="inlineStr">
        <is>
          <t>uk.testseek.com</t>
        </is>
      </c>
      <c r="F60" s="23" t="inlineStr">
        <is>
          <t>https://uk.testseek.com/home-electronics/hifi/dac/xduoo-xd05-bal-2-p-d129f994-2837-8d55-1622-1ce104837e79.html</t>
        </is>
      </c>
      <c r="G60" s="26" t="inlineStr">
        <is>
          <t>Oui</t>
        </is>
      </c>
      <c r="H60" s="26" t="inlineStr">
        <is>
          <t>Review / retour exploitable</t>
        </is>
      </c>
    </row>
    <row r="61">
      <c r="A61" s="26" t="inlineStr">
        <is>
          <t>Dethonray</t>
        </is>
      </c>
      <c r="B61" s="26" t="inlineStr">
        <is>
          <t>Pegasus SG1</t>
        </is>
      </c>
      <c r="C61" s="26" t="n">
        <v>1</v>
      </c>
      <c r="D61" s="26" t="inlineStr">
        <is>
          <t>Review éditoriale</t>
        </is>
      </c>
      <c r="E61" s="26" t="inlineStr">
        <is>
          <t>headfonia.com</t>
        </is>
      </c>
      <c r="F61" s="23" t="inlineStr">
        <is>
          <t>https://www.headfonia.com/dethonray-pegasus-sg1-review/2/</t>
        </is>
      </c>
      <c r="G61" s="26" t="inlineStr">
        <is>
          <t>Oui</t>
        </is>
      </c>
      <c r="H61" s="26" t="inlineStr">
        <is>
          <t>Review / retour exploitable</t>
        </is>
      </c>
    </row>
    <row r="62">
      <c r="A62" s="26" t="inlineStr">
        <is>
          <t>Dethonray</t>
        </is>
      </c>
      <c r="B62" s="26" t="inlineStr">
        <is>
          <t>Pegasus SG1</t>
        </is>
      </c>
      <c r="C62" s="26" t="n">
        <v>2</v>
      </c>
      <c r="D62" s="26" t="inlineStr">
        <is>
          <t>Head-Fi reviews</t>
        </is>
      </c>
      <c r="E62" s="26" t="inlineStr">
        <is>
          <t>head-fi.org</t>
        </is>
      </c>
      <c r="F62" s="23" t="inlineStr">
        <is>
          <t>https://www.head-fi.org/showcase/dethonray-pegasus-sg1.26154/</t>
        </is>
      </c>
      <c r="G62" s="26" t="inlineStr">
        <is>
          <t>Oui</t>
        </is>
      </c>
      <c r="H62" s="26" t="inlineStr">
        <is>
          <t>Review / retour exploitable</t>
        </is>
      </c>
    </row>
    <row r="63">
      <c r="A63" s="26" t="inlineStr">
        <is>
          <t>Dethonray</t>
        </is>
      </c>
      <c r="B63" s="26" t="inlineStr">
        <is>
          <t>Pegasus SG1</t>
        </is>
      </c>
      <c r="C63" s="26" t="n">
        <v>3</v>
      </c>
      <c r="D63" s="26" t="inlineStr">
        <is>
          <t>Review éditoriale</t>
        </is>
      </c>
      <c r="E63" s="26" t="inlineStr">
        <is>
          <t>headphonesty.com</t>
        </is>
      </c>
      <c r="F63" s="23" t="inlineStr">
        <is>
          <t>https://www.headphonesty.com/2020/12/best-portable-dac-amp-combo/</t>
        </is>
      </c>
      <c r="G63" s="26" t="inlineStr">
        <is>
          <t>Oui</t>
        </is>
      </c>
      <c r="H63" s="26" t="inlineStr">
        <is>
          <t>Review / retour exploitable</t>
        </is>
      </c>
    </row>
    <row r="64">
      <c r="A64" s="26" t="inlineStr">
        <is>
          <t>Shanling</t>
        </is>
      </c>
      <c r="B64" s="26" t="inlineStr">
        <is>
          <t>H5 MQA</t>
        </is>
      </c>
      <c r="C64" s="26" t="n">
        <v>1</v>
      </c>
      <c r="D64" s="26" t="inlineStr">
        <is>
          <t>Review éditoriale</t>
        </is>
      </c>
      <c r="E64" s="26" t="inlineStr">
        <is>
          <t>headfonics.com</t>
        </is>
      </c>
      <c r="F64" s="23" t="inlineStr">
        <is>
          <t>https://headfonics.com/shanling-h5-review/</t>
        </is>
      </c>
      <c r="G64" s="26" t="inlineStr">
        <is>
          <t>Oui</t>
        </is>
      </c>
      <c r="H64" s="26" t="inlineStr">
        <is>
          <t>Review / retour exploitable</t>
        </is>
      </c>
    </row>
    <row r="65">
      <c r="A65" s="26" t="inlineStr">
        <is>
          <t>Shanling</t>
        </is>
      </c>
      <c r="B65" s="26" t="inlineStr">
        <is>
          <t>H5 MQA</t>
        </is>
      </c>
      <c r="C65" s="26" t="n">
        <v>2</v>
      </c>
      <c r="D65" s="26" t="inlineStr">
        <is>
          <t>Review éditoriale</t>
        </is>
      </c>
      <c r="E65" s="26" t="inlineStr">
        <is>
          <t>headfonia.com</t>
        </is>
      </c>
      <c r="F65" s="23" t="inlineStr">
        <is>
          <t>https://www.headfonia.com/shanling-h5-review/</t>
        </is>
      </c>
      <c r="G65" s="26" t="inlineStr">
        <is>
          <t>Oui</t>
        </is>
      </c>
      <c r="H65" s="26" t="inlineStr">
        <is>
          <t>Review / retour exploitable</t>
        </is>
      </c>
    </row>
    <row r="66">
      <c r="A66" s="26" t="inlineStr">
        <is>
          <t>Shanling</t>
        </is>
      </c>
      <c r="B66" s="26" t="inlineStr">
        <is>
          <t>H5 MQA</t>
        </is>
      </c>
      <c r="C66" s="26" t="n">
        <v>3</v>
      </c>
      <c r="D66" s="26" t="inlineStr">
        <is>
          <t>Review éditoriale</t>
        </is>
      </c>
      <c r="E66" s="26" t="inlineStr">
        <is>
          <t>fr.testseek.com</t>
        </is>
      </c>
      <c r="F66" s="23" t="inlineStr">
        <is>
          <t>https://fr.testseek.com/electromenager/hifi/dac/shanling-h5-p-20b8dfcf-3635-15fc-9b6d-5aaade081297.html</t>
        </is>
      </c>
      <c r="G66" s="26" t="inlineStr">
        <is>
          <t>Oui</t>
        </is>
      </c>
      <c r="H66" s="26" t="inlineStr">
        <is>
          <t>Review / retour exploitable</t>
        </is>
      </c>
    </row>
    <row r="67">
      <c r="A67" s="26" t="inlineStr">
        <is>
          <t>xDuoo</t>
        </is>
      </c>
      <c r="B67" s="26" t="inlineStr">
        <is>
          <t>POKE II</t>
        </is>
      </c>
      <c r="C67" s="26" t="n">
        <v>1</v>
      </c>
      <c r="D67" s="26" t="inlineStr">
        <is>
          <t>Review éditoriale</t>
        </is>
      </c>
      <c r="E67" s="26" t="inlineStr">
        <is>
          <t>headfonics.com</t>
        </is>
      </c>
      <c r="F67" s="23" t="inlineStr">
        <is>
          <t>https://headfonics.com/xduoo-poke-ii-review/</t>
        </is>
      </c>
      <c r="G67" s="26" t="inlineStr">
        <is>
          <t>Oui</t>
        </is>
      </c>
      <c r="H67" s="26" t="inlineStr">
        <is>
          <t>Review / retour exploitable</t>
        </is>
      </c>
    </row>
    <row r="68">
      <c r="A68" s="26" t="inlineStr">
        <is>
          <t>xDuoo</t>
        </is>
      </c>
      <c r="B68" s="26" t="inlineStr">
        <is>
          <t>POKE II</t>
        </is>
      </c>
      <c r="C68" s="26" t="n">
        <v>2</v>
      </c>
      <c r="D68" s="26" t="inlineStr">
        <is>
          <t>Head-Fi reviews</t>
        </is>
      </c>
      <c r="E68" s="26" t="inlineStr">
        <is>
          <t>head-fi.org</t>
        </is>
      </c>
      <c r="F68" s="23" t="inlineStr">
        <is>
          <t>https://www.head-fi.org/showcase/xduoo-poke-ii.25877/reviews</t>
        </is>
      </c>
      <c r="G68" s="26" t="inlineStr">
        <is>
          <t>Oui</t>
        </is>
      </c>
      <c r="H68" s="26" t="inlineStr">
        <is>
          <t>Review / retour exploitable</t>
        </is>
      </c>
    </row>
    <row r="69">
      <c r="A69" s="26" t="inlineStr">
        <is>
          <t>xDuoo</t>
        </is>
      </c>
      <c r="B69" s="26" t="inlineStr">
        <is>
          <t>POKE II</t>
        </is>
      </c>
      <c r="C69" s="26" t="n">
        <v>3</v>
      </c>
      <c r="D69" s="26" t="inlineStr">
        <is>
          <t>Review éditoriale</t>
        </is>
      </c>
      <c r="E69" s="26" t="inlineStr">
        <is>
          <t>headfonia.com</t>
        </is>
      </c>
      <c r="F69" s="23" t="inlineStr">
        <is>
          <t>https://www.headfonia.com/xduoo-poke-ii-review/</t>
        </is>
      </c>
      <c r="G69" s="26" t="inlineStr">
        <is>
          <t>Oui</t>
        </is>
      </c>
      <c r="H69" s="26" t="inlineStr">
        <is>
          <t>Review / retour exploitable</t>
        </is>
      </c>
    </row>
    <row r="70">
      <c r="A70" s="26" t="inlineStr">
        <is>
          <t>FiiO</t>
        </is>
      </c>
      <c r="B70" s="26" t="inlineStr">
        <is>
          <t>BTR17</t>
        </is>
      </c>
      <c r="C70" s="26" t="n">
        <v>1</v>
      </c>
      <c r="D70" s="26" t="inlineStr">
        <is>
          <t>Review éditoriale</t>
        </is>
      </c>
      <c r="E70" s="26" t="inlineStr">
        <is>
          <t>headfonics.com</t>
        </is>
      </c>
      <c r="F70" s="23" t="inlineStr">
        <is>
          <t>https://headfonics.com/fiio-btr17-review/</t>
        </is>
      </c>
      <c r="G70" s="26" t="inlineStr">
        <is>
          <t>Oui</t>
        </is>
      </c>
      <c r="H70" s="26" t="inlineStr">
        <is>
          <t>Review / retour exploitable</t>
        </is>
      </c>
    </row>
    <row r="71">
      <c r="A71" s="26" t="inlineStr">
        <is>
          <t>FiiO</t>
        </is>
      </c>
      <c r="B71" s="26" t="inlineStr">
        <is>
          <t>BTR17</t>
        </is>
      </c>
      <c r="C71" s="26" t="n">
        <v>2</v>
      </c>
      <c r="D71" s="26" t="inlineStr">
        <is>
          <t>Head-Fi reviews</t>
        </is>
      </c>
      <c r="E71" s="26" t="inlineStr">
        <is>
          <t>head-fi.org</t>
        </is>
      </c>
      <c r="F71" s="23" t="inlineStr">
        <is>
          <t>https://www.head-fi.org/showcase/fiio-btr17.28043/reviews</t>
        </is>
      </c>
      <c r="G71" s="26" t="inlineStr">
        <is>
          <t>Oui</t>
        </is>
      </c>
      <c r="H71" s="26" t="inlineStr">
        <is>
          <t>Review / retour exploitable</t>
        </is>
      </c>
    </row>
    <row r="72">
      <c r="A72" s="26" t="inlineStr">
        <is>
          <t>FiiO</t>
        </is>
      </c>
      <c r="B72" s="26" t="inlineStr">
        <is>
          <t>BTR17</t>
        </is>
      </c>
      <c r="C72" s="26" t="n">
        <v>3</v>
      </c>
      <c r="D72" s="26" t="inlineStr">
        <is>
          <t>Review éditoriale</t>
        </is>
      </c>
      <c r="E72" s="26" t="inlineStr">
        <is>
          <t>techradar.com</t>
        </is>
      </c>
      <c r="F72" s="23" t="inlineStr">
        <is>
          <t>https://www.techradar.com/audio/hi-fi/fiio-btr17-review</t>
        </is>
      </c>
      <c r="G72" s="26" t="inlineStr">
        <is>
          <t>Oui</t>
        </is>
      </c>
      <c r="H72" s="26" t="inlineStr">
        <is>
          <t>Review / retour exploitable</t>
        </is>
      </c>
    </row>
    <row r="73">
      <c r="A73" s="26" t="inlineStr">
        <is>
          <t>FiiO</t>
        </is>
      </c>
      <c r="B73" s="26" t="inlineStr">
        <is>
          <t>BTR17</t>
        </is>
      </c>
      <c r="C73" s="26" t="n">
        <v>4</v>
      </c>
      <c r="D73" s="26" t="inlineStr">
        <is>
          <t>Review éditoriale</t>
        </is>
      </c>
      <c r="E73" s="26" t="inlineStr">
        <is>
          <t>mobileaudiophile.com</t>
        </is>
      </c>
      <c r="F73" s="23" t="inlineStr">
        <is>
          <t>https://mobileaudiophile.com/dacs/dongle/fiio-btr17-review/</t>
        </is>
      </c>
      <c r="G73" s="26" t="inlineStr">
        <is>
          <t>Oui</t>
        </is>
      </c>
      <c r="H73" s="26" t="inlineStr">
        <is>
          <t>Review / retour exploitable</t>
        </is>
      </c>
    </row>
    <row r="74">
      <c r="A74" s="26" t="inlineStr">
        <is>
          <t>FiiO</t>
        </is>
      </c>
      <c r="B74" s="26" t="inlineStr">
        <is>
          <t>QX13</t>
        </is>
      </c>
      <c r="C74" s="26" t="n">
        <v>1</v>
      </c>
      <c r="D74" s="26" t="inlineStr">
        <is>
          <t>Review éditoriale</t>
        </is>
      </c>
      <c r="E74" s="26" t="inlineStr">
        <is>
          <t>headfonics.com</t>
        </is>
      </c>
      <c r="F74" s="23" t="inlineStr">
        <is>
          <t>https://headfonics.com/fiio-qx13-review/</t>
        </is>
      </c>
      <c r="G74" s="26" t="inlineStr">
        <is>
          <t>Oui</t>
        </is>
      </c>
      <c r="H74" s="26" t="inlineStr">
        <is>
          <t>Review / retour exploitable</t>
        </is>
      </c>
    </row>
    <row r="75">
      <c r="A75" s="26" t="inlineStr">
        <is>
          <t>FiiO</t>
        </is>
      </c>
      <c r="B75" s="26" t="inlineStr">
        <is>
          <t>QX13</t>
        </is>
      </c>
      <c r="C75" s="26" t="n">
        <v>2</v>
      </c>
      <c r="D75" s="26" t="inlineStr">
        <is>
          <t>Review éditoriale</t>
        </is>
      </c>
      <c r="E75" s="26" t="inlineStr">
        <is>
          <t>headfonia.com</t>
        </is>
      </c>
      <c r="F75" s="23" t="inlineStr">
        <is>
          <t>https://www.headfonia.com/fiio-qx13-review/</t>
        </is>
      </c>
      <c r="G75" s="26" t="inlineStr">
        <is>
          <t>Oui</t>
        </is>
      </c>
      <c r="H75" s="26" t="inlineStr">
        <is>
          <t>Review / retour exploitable</t>
        </is>
      </c>
    </row>
    <row r="76">
      <c r="A76" s="26" t="inlineStr">
        <is>
          <t>FiiO</t>
        </is>
      </c>
      <c r="B76" s="26" t="inlineStr">
        <is>
          <t>QX13</t>
        </is>
      </c>
      <c r="C76" s="26" t="n">
        <v>3</v>
      </c>
      <c r="D76" s="26" t="inlineStr">
        <is>
          <t>Review éditoriale</t>
        </is>
      </c>
      <c r="E76" s="26" t="inlineStr">
        <is>
          <t>mobileaudiophile.com</t>
        </is>
      </c>
      <c r="F76" s="23" t="inlineStr">
        <is>
          <t>https://mobileaudiophile.com/dacs/dongle/fiio-qx13-review-when-portable-audio-grows-up/</t>
        </is>
      </c>
      <c r="G76" s="26" t="inlineStr">
        <is>
          <t>Oui</t>
        </is>
      </c>
      <c r="H76" s="26" t="inlineStr">
        <is>
          <t>Review / retour exploitable</t>
        </is>
      </c>
    </row>
    <row r="77">
      <c r="A77" s="26" t="inlineStr">
        <is>
          <t>FiiO</t>
        </is>
      </c>
      <c r="B77" s="26" t="inlineStr">
        <is>
          <t>QX13</t>
        </is>
      </c>
      <c r="C77" s="26" t="n">
        <v>4</v>
      </c>
      <c r="D77" s="26" t="inlineStr">
        <is>
          <t>Review éditoriale</t>
        </is>
      </c>
      <c r="E77" s="26" t="inlineStr">
        <is>
          <t>primeaudio.org</t>
        </is>
      </c>
      <c r="F77" s="23" t="inlineStr">
        <is>
          <t>https://primeaudio.org/fiio-qx13-review/</t>
        </is>
      </c>
      <c r="G77" s="26" t="inlineStr">
        <is>
          <t>Oui</t>
        </is>
      </c>
      <c r="H77" s="26" t="inlineStr">
        <is>
          <t>Review / retour exploitable</t>
        </is>
      </c>
    </row>
    <row r="78">
      <c r="A78" s="26" t="inlineStr">
        <is>
          <t>SMSL</t>
        </is>
      </c>
      <c r="B78" s="26" t="inlineStr">
        <is>
          <t>DS20</t>
        </is>
      </c>
      <c r="C78" s="26" t="n">
        <v>1</v>
      </c>
      <c r="D78" s="26" t="inlineStr">
        <is>
          <t>Review éditoriale</t>
        </is>
      </c>
      <c r="E78" s="26" t="inlineStr">
        <is>
          <t>headfonics.com</t>
        </is>
      </c>
      <c r="F78" s="23" t="inlineStr">
        <is>
          <t>https://headfonics.com/smsl-ds20-review/</t>
        </is>
      </c>
      <c r="G78" s="26" t="inlineStr">
        <is>
          <t>Oui</t>
        </is>
      </c>
      <c r="H78" s="26" t="inlineStr">
        <is>
          <t>Review / retour exploitable</t>
        </is>
      </c>
    </row>
    <row r="79">
      <c r="A79" s="26" t="inlineStr">
        <is>
          <t>SMSL</t>
        </is>
      </c>
      <c r="B79" s="26" t="inlineStr">
        <is>
          <t>DS20</t>
        </is>
      </c>
      <c r="C79" s="26" t="n">
        <v>2</v>
      </c>
      <c r="D79" s="26" t="inlineStr">
        <is>
          <t>Review éditoriale</t>
        </is>
      </c>
      <c r="E79" s="26" t="inlineStr">
        <is>
          <t>primeaudio.org</t>
        </is>
      </c>
      <c r="F79" s="23" t="inlineStr">
        <is>
          <t>https://primeaudio.org/smsl-ds20-review/</t>
        </is>
      </c>
      <c r="G79" s="26" t="inlineStr">
        <is>
          <t>Oui</t>
        </is>
      </c>
      <c r="H79" s="26" t="inlineStr">
        <is>
          <t>Review / retour exploitable</t>
        </is>
      </c>
    </row>
    <row r="80">
      <c r="A80" s="26" t="inlineStr">
        <is>
          <t>SMSL</t>
        </is>
      </c>
      <c r="B80" s="26" t="inlineStr">
        <is>
          <t>DS20</t>
        </is>
      </c>
      <c r="C80" s="26" t="n">
        <v>3</v>
      </c>
      <c r="D80" s="26" t="inlineStr">
        <is>
          <t>Review éditoriale</t>
        </is>
      </c>
      <c r="E80" s="26" t="inlineStr">
        <is>
          <t>headphonesandcoffee.home.blog</t>
        </is>
      </c>
      <c r="F80" s="23" t="inlineStr">
        <is>
          <t>https://headphonesandcoffee.home.blog/2025/09/22/smsl-ds20/</t>
        </is>
      </c>
      <c r="G80" s="26" t="inlineStr">
        <is>
          <t>Oui</t>
        </is>
      </c>
      <c r="H80" s="26" t="inlineStr">
        <is>
          <t>Review / retour exploitable</t>
        </is>
      </c>
    </row>
    <row r="81">
      <c r="A81" s="26" t="inlineStr">
        <is>
          <t>MUSE HiFi</t>
        </is>
      </c>
      <c r="B81" s="26" t="inlineStr">
        <is>
          <t>M5 Ultra</t>
        </is>
      </c>
      <c r="C81" s="26" t="n">
        <v>1</v>
      </c>
      <c r="D81" s="26" t="inlineStr">
        <is>
          <t>Review éditoriale</t>
        </is>
      </c>
      <c r="E81" s="26" t="inlineStr">
        <is>
          <t>headfonics.com</t>
        </is>
      </c>
      <c r="F81" s="23" t="inlineStr">
        <is>
          <t>https://headfonics.com/muse-hifi-m5-ultra-review/</t>
        </is>
      </c>
      <c r="G81" s="26" t="inlineStr">
        <is>
          <t>Oui</t>
        </is>
      </c>
      <c r="H81" s="26" t="inlineStr">
        <is>
          <t>Review / retour exploitable</t>
        </is>
      </c>
    </row>
    <row r="82">
      <c r="A82" s="26" t="inlineStr">
        <is>
          <t>MUSE HiFi</t>
        </is>
      </c>
      <c r="B82" s="26" t="inlineStr">
        <is>
          <t>M5 Ultra</t>
        </is>
      </c>
      <c r="C82" s="26" t="n">
        <v>2</v>
      </c>
      <c r="D82" s="26" t="inlineStr">
        <is>
          <t>Head-Fi reviews</t>
        </is>
      </c>
      <c r="E82" s="26" t="inlineStr">
        <is>
          <t>head-fi.org</t>
        </is>
      </c>
      <c r="F82" s="23" t="inlineStr">
        <is>
          <t>https://www.head-fi.org/showcase/muse-hifi-m5-ultra.28169/reviews</t>
        </is>
      </c>
      <c r="G82" s="26" t="inlineStr">
        <is>
          <t>Oui</t>
        </is>
      </c>
      <c r="H82" s="26" t="inlineStr">
        <is>
          <t>Review / retour exploitable</t>
        </is>
      </c>
    </row>
    <row r="83">
      <c r="A83" s="26" t="inlineStr">
        <is>
          <t>MUSE HiFi</t>
        </is>
      </c>
      <c r="B83" s="26" t="inlineStr">
        <is>
          <t>M5 Ultra</t>
        </is>
      </c>
      <c r="C83" s="26" t="n">
        <v>3</v>
      </c>
      <c r="D83" s="26" t="inlineStr">
        <is>
          <t>Review éditoriale</t>
        </is>
      </c>
      <c r="E83" s="26" t="inlineStr">
        <is>
          <t>headfonia.com</t>
        </is>
      </c>
      <c r="F83" s="23" t="inlineStr">
        <is>
          <t>https://www.headfonia.com/muse-hifi-m5-ultra-review/</t>
        </is>
      </c>
      <c r="G83" s="26" t="inlineStr">
        <is>
          <t>Oui</t>
        </is>
      </c>
      <c r="H83" s="26" t="inlineStr">
        <is>
          <t>Review / retour exploitable</t>
        </is>
      </c>
    </row>
    <row r="84">
      <c r="A84" s="26" t="inlineStr">
        <is>
          <t>MUSE HiFi</t>
        </is>
      </c>
      <c r="B84" s="26" t="inlineStr">
        <is>
          <t>M5 Ultra</t>
        </is>
      </c>
      <c r="C84" s="26" t="n">
        <v>4</v>
      </c>
      <c r="D84" s="26" t="inlineStr">
        <is>
          <t>Review éditoriale</t>
        </is>
      </c>
      <c r="E84" s="26" t="inlineStr">
        <is>
          <t>primeaudio.org</t>
        </is>
      </c>
      <c r="F84" s="23" t="inlineStr">
        <is>
          <t>https://primeaudio.org/muse-hifi-m5-ultra-review/</t>
        </is>
      </c>
      <c r="G84" s="26" t="inlineStr">
        <is>
          <t>Oui</t>
        </is>
      </c>
      <c r="H84" s="26" t="inlineStr">
        <is>
          <t>Review / retour exploitable</t>
        </is>
      </c>
    </row>
    <row r="85">
      <c r="A85" s="26" t="inlineStr">
        <is>
          <t>Topping</t>
        </is>
      </c>
      <c r="B85" s="26" t="inlineStr">
        <is>
          <t>G5</t>
        </is>
      </c>
      <c r="C85" s="26" t="n">
        <v>1</v>
      </c>
      <c r="D85" s="26" t="inlineStr">
        <is>
          <t>Review éditoriale</t>
        </is>
      </c>
      <c r="E85" s="26" t="inlineStr">
        <is>
          <t>moonstarreviews.net</t>
        </is>
      </c>
      <c r="F85" s="23" t="inlineStr">
        <is>
          <t>https://moonstarreviews.net/topping-g5-portable-dac-amplifier-review/</t>
        </is>
      </c>
      <c r="G85" s="26" t="inlineStr">
        <is>
          <t>Oui</t>
        </is>
      </c>
      <c r="H85" s="26" t="inlineStr">
        <is>
          <t>Review / retour exploitable</t>
        </is>
      </c>
    </row>
    <row r="86">
      <c r="A86" s="26" t="inlineStr">
        <is>
          <t>Topping</t>
        </is>
      </c>
      <c r="B86" s="26" t="inlineStr">
        <is>
          <t>G5</t>
        </is>
      </c>
      <c r="C86" s="26" t="n">
        <v>2</v>
      </c>
      <c r="D86" s="26" t="inlineStr">
        <is>
          <t>Head-Fi reviews</t>
        </is>
      </c>
      <c r="E86" s="26" t="inlineStr">
        <is>
          <t>head-fi.org</t>
        </is>
      </c>
      <c r="F86" s="23" t="inlineStr">
        <is>
          <t>https://www.head-fi.org/showcase/topping-g5.26030/reviews</t>
        </is>
      </c>
      <c r="G86" s="26" t="inlineStr">
        <is>
          <t>Oui</t>
        </is>
      </c>
      <c r="H86" s="26" t="inlineStr">
        <is>
          <t>Review / retour exploitable</t>
        </is>
      </c>
    </row>
    <row r="87">
      <c r="A87" s="26" t="inlineStr">
        <is>
          <t>Topping</t>
        </is>
      </c>
      <c r="B87" s="26" t="inlineStr">
        <is>
          <t>G5</t>
        </is>
      </c>
      <c r="C87" s="26" t="n">
        <v>3</v>
      </c>
      <c r="D87" s="26" t="inlineStr">
        <is>
          <t>Review éditoriale</t>
        </is>
      </c>
      <c r="E87" s="26" t="inlineStr">
        <is>
          <t>iegems.nk-tran.com</t>
        </is>
      </c>
      <c r="F87" s="23" t="inlineStr">
        <is>
          <t>https://iegems.nk-tran.com/2022/12/16/review-Topping-G5.html</t>
        </is>
      </c>
      <c r="G87" s="26" t="inlineStr">
        <is>
          <t>Oui</t>
        </is>
      </c>
      <c r="H87" s="26" t="inlineStr">
        <is>
          <t>Review / retour exploitable</t>
        </is>
      </c>
    </row>
    <row r="88">
      <c r="A88" s="26" t="inlineStr">
        <is>
          <t>Shanling</t>
        </is>
      </c>
      <c r="B88" s="26" t="inlineStr">
        <is>
          <t>UA6</t>
        </is>
      </c>
      <c r="C88" s="26" t="n">
        <v>1</v>
      </c>
      <c r="D88" s="26" t="inlineStr">
        <is>
          <t>Review éditoriale</t>
        </is>
      </c>
      <c r="E88" s="26" t="inlineStr">
        <is>
          <t>headfonics.com</t>
        </is>
      </c>
      <c r="F88" s="23" t="inlineStr">
        <is>
          <t>https://headfonics.com/shanling-ua6-review/</t>
        </is>
      </c>
      <c r="G88" s="26" t="inlineStr">
        <is>
          <t>Oui</t>
        </is>
      </c>
      <c r="H88" s="26" t="inlineStr">
        <is>
          <t>Review / retour exploitable</t>
        </is>
      </c>
    </row>
    <row r="89">
      <c r="A89" s="26" t="inlineStr">
        <is>
          <t>Shanling</t>
        </is>
      </c>
      <c r="B89" s="26" t="inlineStr">
        <is>
          <t>UA6</t>
        </is>
      </c>
      <c r="C89" s="26" t="n">
        <v>2</v>
      </c>
      <c r="D89" s="26" t="inlineStr">
        <is>
          <t>Head-Fi reviews</t>
        </is>
      </c>
      <c r="E89" s="26" t="inlineStr">
        <is>
          <t>head-fi.org</t>
        </is>
      </c>
      <c r="F89" s="23" t="inlineStr">
        <is>
          <t>https://www.head-fi.org/showcase/shanling-ua6.28189/reviews</t>
        </is>
      </c>
      <c r="G89" s="26" t="inlineStr">
        <is>
          <t>Oui</t>
        </is>
      </c>
      <c r="H89" s="26" t="inlineStr">
        <is>
          <t>Review / retour exploitable</t>
        </is>
      </c>
    </row>
    <row r="90">
      <c r="A90" s="26" t="inlineStr">
        <is>
          <t>Shanling</t>
        </is>
      </c>
      <c r="B90" s="26" t="inlineStr">
        <is>
          <t>UA6</t>
        </is>
      </c>
      <c r="C90" s="26" t="n">
        <v>3</v>
      </c>
      <c r="D90" s="26" t="inlineStr">
        <is>
          <t>Review éditoriale</t>
        </is>
      </c>
      <c r="E90" s="26" t="inlineStr">
        <is>
          <t>headfonia.com</t>
        </is>
      </c>
      <c r="F90" s="23" t="inlineStr">
        <is>
          <t>https://www.headfonia.com/shanling-ua6-review/</t>
        </is>
      </c>
      <c r="G90" s="26" t="inlineStr">
        <is>
          <t>Oui</t>
        </is>
      </c>
      <c r="H90" s="26" t="inlineStr">
        <is>
          <t>Review / retour exploitable</t>
        </is>
      </c>
    </row>
    <row r="91">
      <c r="A91" s="26" t="inlineStr">
        <is>
          <t>Shanling</t>
        </is>
      </c>
      <c r="B91" s="26" t="inlineStr">
        <is>
          <t>UA6</t>
        </is>
      </c>
      <c r="C91" s="26" t="n">
        <v>4</v>
      </c>
      <c r="D91" s="26" t="inlineStr">
        <is>
          <t>Review éditoriale</t>
        </is>
      </c>
      <c r="E91" s="26" t="inlineStr">
        <is>
          <t>primeaudio.org</t>
        </is>
      </c>
      <c r="F91" s="23" t="inlineStr">
        <is>
          <t>https://primeaudio.org/shanling-ua6-review/</t>
        </is>
      </c>
      <c r="G91" s="26" t="inlineStr">
        <is>
          <t>Oui</t>
        </is>
      </c>
      <c r="H91" s="26" t="inlineStr">
        <is>
          <t>Review / retour exploitable</t>
        </is>
      </c>
    </row>
    <row r="92">
      <c r="A92" s="26" t="inlineStr">
        <is>
          <t>Questyle</t>
        </is>
      </c>
      <c r="B92" s="26" t="inlineStr">
        <is>
          <t>M15C</t>
        </is>
      </c>
      <c r="C92" s="26" t="n">
        <v>1</v>
      </c>
      <c r="D92" s="26" t="inlineStr">
        <is>
          <t>Review éditoriale</t>
        </is>
      </c>
      <c r="E92" s="26" t="inlineStr">
        <is>
          <t>headfonics.com</t>
        </is>
      </c>
      <c r="F92" s="23" t="inlineStr">
        <is>
          <t>https://headfonics.com/questyle-m15c-review/</t>
        </is>
      </c>
      <c r="G92" s="26" t="inlineStr">
        <is>
          <t>Oui</t>
        </is>
      </c>
      <c r="H92" s="26" t="inlineStr">
        <is>
          <t>Review / retour exploitable</t>
        </is>
      </c>
    </row>
    <row r="93">
      <c r="A93" s="26" t="inlineStr">
        <is>
          <t>Questyle</t>
        </is>
      </c>
      <c r="B93" s="26" t="inlineStr">
        <is>
          <t>M15C</t>
        </is>
      </c>
      <c r="C93" s="26" t="n">
        <v>2</v>
      </c>
      <c r="D93" s="26" t="inlineStr">
        <is>
          <t>Head-Fi reviews</t>
        </is>
      </c>
      <c r="E93" s="26" t="inlineStr">
        <is>
          <t>head-fi.org</t>
        </is>
      </c>
      <c r="F93" s="23" t="inlineStr">
        <is>
          <t>https://www.head-fi.org/showcase/questyle-m15c.27912/reviews</t>
        </is>
      </c>
      <c r="G93" s="26" t="inlineStr">
        <is>
          <t>Oui</t>
        </is>
      </c>
      <c r="H93" s="26" t="inlineStr">
        <is>
          <t>Review / retour exploitable</t>
        </is>
      </c>
    </row>
    <row r="94">
      <c r="A94" s="26" t="inlineStr">
        <is>
          <t>Questyle</t>
        </is>
      </c>
      <c r="B94" s="26" t="inlineStr">
        <is>
          <t>M15C</t>
        </is>
      </c>
      <c r="C94" s="26" t="n">
        <v>3</v>
      </c>
      <c r="D94" s="26" t="inlineStr">
        <is>
          <t>Review éditoriale</t>
        </is>
      </c>
      <c r="E94" s="26" t="inlineStr">
        <is>
          <t>ecoustics.com</t>
        </is>
      </c>
      <c r="F94" s="23" t="inlineStr">
        <is>
          <t>https://www.ecoustics.com/reviews/questyle-m15c/</t>
        </is>
      </c>
      <c r="G94" s="26" t="inlineStr">
        <is>
          <t>Oui</t>
        </is>
      </c>
      <c r="H94" s="26" t="inlineStr">
        <is>
          <t>Review / retour exploitable</t>
        </is>
      </c>
    </row>
    <row r="95">
      <c r="A95" s="26" t="inlineStr">
        <is>
          <t>Questyle</t>
        </is>
      </c>
      <c r="B95" s="26" t="inlineStr">
        <is>
          <t>M15C</t>
        </is>
      </c>
      <c r="C95" s="26" t="n">
        <v>4</v>
      </c>
      <c r="D95" s="26" t="inlineStr">
        <is>
          <t>Review éditoriale</t>
        </is>
      </c>
      <c r="E95" s="26" t="inlineStr">
        <is>
          <t>pocnetwork.net</t>
        </is>
      </c>
      <c r="F95" s="23" t="inlineStr">
        <is>
          <t>https://www.pocnetwork.net/product-reviews/questyle-m15c-portable-headphone-amp/</t>
        </is>
      </c>
      <c r="G95" s="26" t="inlineStr">
        <is>
          <t>Oui</t>
        </is>
      </c>
      <c r="H95" s="26" t="inlineStr">
        <is>
          <t>Review / retour exploitable</t>
        </is>
      </c>
    </row>
    <row r="96">
      <c r="A96" s="26" t="inlineStr">
        <is>
          <t>iBasso</t>
        </is>
      </c>
      <c r="B96" s="26" t="inlineStr">
        <is>
          <t>DC-Tonfa</t>
        </is>
      </c>
      <c r="C96" s="26" t="n">
        <v>1</v>
      </c>
      <c r="D96" s="26" t="inlineStr">
        <is>
          <t>Review éditoriale</t>
        </is>
      </c>
      <c r="E96" s="26" t="inlineStr">
        <is>
          <t>av.watch.impress.co.jp</t>
        </is>
      </c>
      <c r="F96" s="23" t="inlineStr">
        <is>
          <t>https://av.watch.impress.co.jp/docs/review/review/2126352.html</t>
        </is>
      </c>
      <c r="G96" s="26" t="inlineStr">
        <is>
          <t>Oui</t>
        </is>
      </c>
      <c r="H96" s="26" t="inlineStr">
        <is>
          <t>Review / retour exploitable</t>
        </is>
      </c>
    </row>
    <row r="97">
      <c r="A97" s="26" t="inlineStr">
        <is>
          <t>iBasso</t>
        </is>
      </c>
      <c r="B97" s="26" t="inlineStr">
        <is>
          <t>DC-Tonfa</t>
        </is>
      </c>
      <c r="C97" s="26" t="n">
        <v>2</v>
      </c>
      <c r="D97" s="26" t="inlineStr">
        <is>
          <t>Review éditoriale</t>
        </is>
      </c>
      <c r="E97" s="26" t="inlineStr">
        <is>
          <t>e-earphone.jp</t>
        </is>
      </c>
      <c r="F97" s="23" t="inlineStr">
        <is>
          <t>https://www.e-earphone.jp/blogs/feature/dc-tonfa_review</t>
        </is>
      </c>
      <c r="G97" s="26" t="inlineStr">
        <is>
          <t>Oui</t>
        </is>
      </c>
      <c r="H97" s="26" t="inlineStr">
        <is>
          <t>Review / retour exploitable</t>
        </is>
      </c>
    </row>
    <row r="98">
      <c r="A98" s="26" t="inlineStr">
        <is>
          <t>iBasso</t>
        </is>
      </c>
      <c r="B98" s="26" t="inlineStr">
        <is>
          <t>DC-Tonfa</t>
        </is>
      </c>
      <c r="C98" s="26" t="n">
        <v>3</v>
      </c>
      <c r="D98" s="26" t="inlineStr">
        <is>
          <t>Review éditoriale</t>
        </is>
      </c>
      <c r="E98" s="26" t="inlineStr">
        <is>
          <t>kajetblog.com</t>
        </is>
      </c>
      <c r="F98" s="23" t="inlineStr">
        <is>
          <t>https://kajetblog.com/ibasso-dc-tonfa-4/</t>
        </is>
      </c>
      <c r="G98" s="26" t="inlineStr">
        <is>
          <t>Oui</t>
        </is>
      </c>
      <c r="H98" s="26" t="inlineStr">
        <is>
          <t>Review / retour exploitable</t>
        </is>
      </c>
    </row>
    <row r="99">
      <c r="A99" s="26" t="inlineStr">
        <is>
          <t>Questyle</t>
        </is>
      </c>
      <c r="B99" s="26" t="inlineStr">
        <is>
          <t>M18i Max</t>
        </is>
      </c>
      <c r="C99" s="26" t="n">
        <v>1</v>
      </c>
      <c r="D99" s="26" t="inlineStr">
        <is>
          <t>Review éditoriale</t>
        </is>
      </c>
      <c r="E99" s="26" t="inlineStr">
        <is>
          <t>headfonics.com</t>
        </is>
      </c>
      <c r="F99" s="23" t="inlineStr">
        <is>
          <t>https://headfonics.com/questyle-m18i-max-review/</t>
        </is>
      </c>
      <c r="G99" s="26" t="inlineStr">
        <is>
          <t>Oui</t>
        </is>
      </c>
      <c r="H99" s="26" t="inlineStr">
        <is>
          <t>Review / retour exploitable</t>
        </is>
      </c>
    </row>
    <row r="100">
      <c r="A100" s="26" t="inlineStr">
        <is>
          <t>Questyle</t>
        </is>
      </c>
      <c r="B100" s="26" t="inlineStr">
        <is>
          <t>M18i Max</t>
        </is>
      </c>
      <c r="C100" s="26" t="n">
        <v>2</v>
      </c>
      <c r="D100" s="26" t="inlineStr">
        <is>
          <t>Review éditoriale</t>
        </is>
      </c>
      <c r="E100" s="26" t="inlineStr">
        <is>
          <t>headfonia.com</t>
        </is>
      </c>
      <c r="F100" s="23" t="inlineStr">
        <is>
          <t>https://www.headfonia.com/questyle-m18i-max-review/</t>
        </is>
      </c>
      <c r="G100" s="26" t="inlineStr">
        <is>
          <t>Oui</t>
        </is>
      </c>
      <c r="H100" s="26" t="inlineStr">
        <is>
          <t>Review / retour exploitable</t>
        </is>
      </c>
    </row>
    <row r="101">
      <c r="A101" s="26" t="inlineStr">
        <is>
          <t>Questyle</t>
        </is>
      </c>
      <c r="B101" s="26" t="inlineStr">
        <is>
          <t>M18i Max</t>
        </is>
      </c>
      <c r="C101" s="26" t="n">
        <v>3</v>
      </c>
      <c r="D101" s="26" t="inlineStr">
        <is>
          <t>Review éditoriale</t>
        </is>
      </c>
      <c r="E101" s="26" t="inlineStr">
        <is>
          <t>kajetblog.com</t>
        </is>
      </c>
      <c r="F101" s="23" t="inlineStr">
        <is>
          <t>https://kajetblog.com/questyle-m18i/</t>
        </is>
      </c>
      <c r="G101" s="26" t="inlineStr">
        <is>
          <t>Oui</t>
        </is>
      </c>
      <c r="H101" s="26" t="inlineStr">
        <is>
          <t>Review / retour exploitable</t>
        </is>
      </c>
    </row>
    <row r="102">
      <c r="A102" s="26" t="inlineStr">
        <is>
          <t>Questyle</t>
        </is>
      </c>
      <c r="B102" s="26" t="inlineStr">
        <is>
          <t>M18i Max</t>
        </is>
      </c>
      <c r="C102" s="26" t="n">
        <v>4</v>
      </c>
      <c r="D102" s="26" t="inlineStr">
        <is>
          <t>Review éditoriale</t>
        </is>
      </c>
      <c r="E102" s="26" t="inlineStr">
        <is>
          <t>milik.ai</t>
        </is>
      </c>
      <c r="F102" s="23" t="inlineStr">
        <is>
          <t>https://www.milik.ai/articles/90800bdc7e</t>
        </is>
      </c>
      <c r="G102" s="26" t="inlineStr">
        <is>
          <t>Oui</t>
        </is>
      </c>
      <c r="H102" s="26" t="inlineStr">
        <is>
          <t>Review / retour exploitable</t>
        </is>
      </c>
    </row>
    <row r="103">
      <c r="A103" s="26" t="inlineStr">
        <is>
          <t>AFUL</t>
        </is>
      </c>
      <c r="B103" s="26" t="inlineStr">
        <is>
          <t>ICEBORNE</t>
        </is>
      </c>
      <c r="C103" s="26" t="n">
        <v>1</v>
      </c>
      <c r="D103" s="26" t="inlineStr">
        <is>
          <t>Review éditoriale</t>
        </is>
      </c>
      <c r="E103" s="26" t="inlineStr">
        <is>
          <t>headfonics.com</t>
        </is>
      </c>
      <c r="F103" s="23" t="inlineStr">
        <is>
          <t>https://headfonics.com/aful-iceborne-review/</t>
        </is>
      </c>
      <c r="G103" s="26" t="inlineStr">
        <is>
          <t>Oui</t>
        </is>
      </c>
      <c r="H103" s="26" t="inlineStr">
        <is>
          <t>Review / retour exploitable</t>
        </is>
      </c>
    </row>
    <row r="104">
      <c r="A104" s="26" t="inlineStr">
        <is>
          <t>AFUL</t>
        </is>
      </c>
      <c r="B104" s="26" t="inlineStr">
        <is>
          <t>ICEBORNE</t>
        </is>
      </c>
      <c r="C104" s="26" t="n">
        <v>2</v>
      </c>
      <c r="D104" s="26" t="inlineStr">
        <is>
          <t>Communauté Reddit</t>
        </is>
      </c>
      <c r="E104" s="26" t="inlineStr">
        <is>
          <t>reddit.com</t>
        </is>
      </c>
      <c r="F104" s="23" t="inlineStr">
        <is>
          <t>https://www.reddit.com/r/iems/comments/1tlm1cs/the_aful_iceborne_very_nice_but_worth_the_price/</t>
        </is>
      </c>
      <c r="G104" s="26" t="inlineStr">
        <is>
          <t>Oui</t>
        </is>
      </c>
      <c r="H104" s="26" t="inlineStr">
        <is>
          <t>Review / retour exploitable</t>
        </is>
      </c>
    </row>
    <row r="105">
      <c r="A105" s="26" t="inlineStr">
        <is>
          <t>AFUL</t>
        </is>
      </c>
      <c r="B105" s="26" t="inlineStr">
        <is>
          <t>ICEBORNE</t>
        </is>
      </c>
      <c r="C105" s="26" t="n">
        <v>3</v>
      </c>
      <c r="D105" s="26" t="inlineStr">
        <is>
          <t>Review éditoriale</t>
        </is>
      </c>
      <c r="E105" s="26" t="inlineStr">
        <is>
          <t>note.com</t>
        </is>
      </c>
      <c r="F105" s="23" t="inlineStr">
        <is>
          <t>https://note.com/oto_iro_enpi/n/ncdcf63f3cf7b</t>
        </is>
      </c>
      <c r="G105" s="26" t="inlineStr">
        <is>
          <t>Oui</t>
        </is>
      </c>
      <c r="H105" s="26" t="inlineStr">
        <is>
          <t>Review / retour exploitable</t>
        </is>
      </c>
    </row>
    <row r="106">
      <c r="A106" s="26" t="inlineStr">
        <is>
          <t>AFUL</t>
        </is>
      </c>
      <c r="B106" s="26" t="inlineStr">
        <is>
          <t>ICEBORNE</t>
        </is>
      </c>
      <c r="C106" s="26" t="n">
        <v>4</v>
      </c>
      <c r="D106" s="26" t="inlineStr">
        <is>
          <t>Review éditoriale</t>
        </is>
      </c>
      <c r="E106" s="26" t="inlineStr">
        <is>
          <t>audio-syumi70620.hatenablog.com</t>
        </is>
      </c>
      <c r="F106" s="23" t="inlineStr">
        <is>
          <t>https://audio-syumi70620.hatenablog.com/entry/2026/05/09/181031</t>
        </is>
      </c>
      <c r="G106" s="26" t="inlineStr">
        <is>
          <t>Oui</t>
        </is>
      </c>
      <c r="H106" s="26" t="inlineStr">
        <is>
          <t>Review / retour exploitable</t>
        </is>
      </c>
    </row>
    <row r="107">
      <c r="A107" s="26" t="inlineStr">
        <is>
          <t>Fosi Audio</t>
        </is>
      </c>
      <c r="B107" s="26" t="inlineStr">
        <is>
          <t>MD3</t>
        </is>
      </c>
      <c r="C107" s="26" t="n">
        <v>1</v>
      </c>
      <c r="D107" s="26" t="inlineStr">
        <is>
          <t>Review éditoriale</t>
        </is>
      </c>
      <c r="E107" s="26" t="inlineStr">
        <is>
          <t>headfonics.com</t>
        </is>
      </c>
      <c r="F107" s="23" t="inlineStr">
        <is>
          <t>https://headfonics.com/fosi-audio-md3-review/</t>
        </is>
      </c>
      <c r="G107" s="26" t="inlineStr">
        <is>
          <t>Oui</t>
        </is>
      </c>
      <c r="H107" s="26" t="inlineStr">
        <is>
          <t>Review / retour exploitable</t>
        </is>
      </c>
    </row>
    <row r="108">
      <c r="A108" s="26" t="inlineStr">
        <is>
          <t>Fosi Audio</t>
        </is>
      </c>
      <c r="B108" s="26" t="inlineStr">
        <is>
          <t>MD3</t>
        </is>
      </c>
      <c r="C108" s="26" t="n">
        <v>2</v>
      </c>
      <c r="D108" s="26" t="inlineStr">
        <is>
          <t>Review éditoriale</t>
        </is>
      </c>
      <c r="E108" s="26" t="inlineStr">
        <is>
          <t>headfonia.com</t>
        </is>
      </c>
      <c r="F108" s="23" t="inlineStr">
        <is>
          <t>https://www.headfonia.com/fosi-audio-md3-review/</t>
        </is>
      </c>
      <c r="G108" s="26" t="inlineStr">
        <is>
          <t>Oui</t>
        </is>
      </c>
      <c r="H108" s="26" t="inlineStr">
        <is>
          <t>Review / retour exploitable</t>
        </is>
      </c>
    </row>
    <row r="109">
      <c r="A109" s="26" t="inlineStr">
        <is>
          <t>Fosi Audio</t>
        </is>
      </c>
      <c r="B109" s="26" t="inlineStr">
        <is>
          <t>MD3</t>
        </is>
      </c>
      <c r="C109" s="26" t="n">
        <v>3</v>
      </c>
      <c r="D109" s="26" t="inlineStr">
        <is>
          <t>Review éditoriale</t>
        </is>
      </c>
      <c r="E109" s="26" t="inlineStr">
        <is>
          <t>moonstarreviews.net</t>
        </is>
      </c>
      <c r="F109" s="23" t="inlineStr">
        <is>
          <t>https://moonstarreviews.net/fosi-audio-md3-review/</t>
        </is>
      </c>
      <c r="G109" s="26" t="inlineStr">
        <is>
          <t>Oui</t>
        </is>
      </c>
      <c r="H109" s="26" t="inlineStr">
        <is>
          <t>Review / retour exploitable</t>
        </is>
      </c>
    </row>
    <row r="110">
      <c r="A110" s="26" t="inlineStr">
        <is>
          <t>Fosi Audio</t>
        </is>
      </c>
      <c r="B110" s="26" t="inlineStr">
        <is>
          <t>MD3</t>
        </is>
      </c>
      <c r="C110" s="26" t="n">
        <v>4</v>
      </c>
      <c r="D110" s="26" t="inlineStr">
        <is>
          <t>Review éditoriale</t>
        </is>
      </c>
      <c r="E110" s="26" t="inlineStr">
        <is>
          <t>ecoustics.com</t>
        </is>
      </c>
      <c r="F110" s="23" t="inlineStr">
        <is>
          <t>https://www.ecoustics.com/reviews/fosi-audio-md3/</t>
        </is>
      </c>
      <c r="G110" s="26" t="inlineStr">
        <is>
          <t>Oui</t>
        </is>
      </c>
      <c r="H110" s="26" t="inlineStr">
        <is>
          <t>Review / retour exploitable</t>
        </is>
      </c>
    </row>
    <row r="111">
      <c r="A111" s="26" t="inlineStr">
        <is>
          <t>iFi audio</t>
        </is>
      </c>
      <c r="B111" s="26" t="inlineStr">
        <is>
          <t>GO link 2</t>
        </is>
      </c>
      <c r="C111" s="26" t="n">
        <v>1</v>
      </c>
      <c r="D111" s="26" t="inlineStr">
        <is>
          <t>Review éditoriale</t>
        </is>
      </c>
      <c r="E111" s="26" t="inlineStr">
        <is>
          <t>techradar.com</t>
        </is>
      </c>
      <c r="F111" s="23" t="inlineStr">
        <is>
          <t>https://www.techradar.com/audio/dacs/ifi-go-link-2-review</t>
        </is>
      </c>
      <c r="G111" s="26" t="inlineStr">
        <is>
          <t>Oui</t>
        </is>
      </c>
      <c r="H111" s="26" t="inlineStr">
        <is>
          <t>Review / retour exploitable</t>
        </is>
      </c>
    </row>
    <row r="112">
      <c r="A112" s="26" t="inlineStr">
        <is>
          <t>iFi audio</t>
        </is>
      </c>
      <c r="B112" s="26" t="inlineStr">
        <is>
          <t>GO link 2</t>
        </is>
      </c>
      <c r="C112" s="26" t="n">
        <v>2</v>
      </c>
      <c r="D112" s="26" t="inlineStr">
        <is>
          <t>Review éditoriale</t>
        </is>
      </c>
      <c r="E112" s="26" t="inlineStr">
        <is>
          <t>whathifi.com</t>
        </is>
      </c>
      <c r="F112" s="23" t="inlineStr">
        <is>
          <t>https://www.whathifi.com/hi-fi/dacs/ifi-go-link-2</t>
        </is>
      </c>
      <c r="G112" s="26" t="inlineStr">
        <is>
          <t>Oui</t>
        </is>
      </c>
      <c r="H112" s="26" t="inlineStr">
        <is>
          <t>Review / retour exploitable</t>
        </is>
      </c>
    </row>
    <row r="113">
      <c r="A113" s="26" t="inlineStr">
        <is>
          <t>iFi audio</t>
        </is>
      </c>
      <c r="B113" s="26" t="inlineStr">
        <is>
          <t>GO link 2</t>
        </is>
      </c>
      <c r="C113" s="26" t="n">
        <v>3</v>
      </c>
      <c r="D113" s="26" t="inlineStr">
        <is>
          <t>Review éditoriale</t>
        </is>
      </c>
      <c r="E113" s="26" t="inlineStr">
        <is>
          <t>audio46.com</t>
        </is>
      </c>
      <c r="F113" s="23" t="inlineStr">
        <is>
          <t>https://audio46.com/blogs/headphones/ifi-go-link-2-portable-dacamp-review-whats-new-in-v2</t>
        </is>
      </c>
      <c r="G113" s="26" t="inlineStr">
        <is>
          <t>Oui</t>
        </is>
      </c>
      <c r="H113" s="26" t="inlineStr">
        <is>
          <t>Review / retour exploitable</t>
        </is>
      </c>
    </row>
    <row r="114">
      <c r="A114" s="26" t="inlineStr">
        <is>
          <t>MUSE HiFi</t>
        </is>
      </c>
      <c r="B114" s="26" t="inlineStr">
        <is>
          <t>M3 Ultra</t>
        </is>
      </c>
      <c r="C114" s="26" t="n">
        <v>1</v>
      </c>
      <c r="D114" s="26" t="inlineStr">
        <is>
          <t>Review éditoriale</t>
        </is>
      </c>
      <c r="E114" s="26" t="inlineStr">
        <is>
          <t>headfonics.com</t>
        </is>
      </c>
      <c r="F114" s="23" t="inlineStr">
        <is>
          <t>https://headfonics.com/muse-hifi-m3-ultra-review/</t>
        </is>
      </c>
      <c r="G114" s="26" t="inlineStr">
        <is>
          <t>Oui</t>
        </is>
      </c>
      <c r="H114" s="26" t="inlineStr">
        <is>
          <t>Review / retour exploitable</t>
        </is>
      </c>
    </row>
    <row r="115">
      <c r="A115" s="26" t="inlineStr">
        <is>
          <t>MUSE HiFi</t>
        </is>
      </c>
      <c r="B115" s="26" t="inlineStr">
        <is>
          <t>M3 Ultra</t>
        </is>
      </c>
      <c r="C115" s="26" t="n">
        <v>2</v>
      </c>
      <c r="D115" s="26" t="inlineStr">
        <is>
          <t>Review éditoriale</t>
        </is>
      </c>
      <c r="E115" s="26" t="inlineStr">
        <is>
          <t>ecoustics.com</t>
        </is>
      </c>
      <c r="F115" s="23" t="inlineStr">
        <is>
          <t>https://www.ecoustics.com/reviews/muse-hifi-m3-ultra/</t>
        </is>
      </c>
      <c r="G115" s="26" t="inlineStr">
        <is>
          <t>Oui</t>
        </is>
      </c>
      <c r="H115" s="26" t="inlineStr">
        <is>
          <t>Review / retour exploitable</t>
        </is>
      </c>
    </row>
    <row r="116">
      <c r="A116" s="26" t="inlineStr">
        <is>
          <t>MUSE HiFi</t>
        </is>
      </c>
      <c r="B116" s="26" t="inlineStr">
        <is>
          <t>M3 Ultra</t>
        </is>
      </c>
      <c r="C116" s="26" t="n">
        <v>3</v>
      </c>
      <c r="D116" s="26" t="inlineStr">
        <is>
          <t>Review éditoriale</t>
        </is>
      </c>
      <c r="E116" s="26" t="inlineStr">
        <is>
          <t>primeaudio.org</t>
        </is>
      </c>
      <c r="F116" s="23" t="inlineStr">
        <is>
          <t>https://primeaudio.org/muse-hifi-m3-ultra-review/</t>
        </is>
      </c>
      <c r="G116" s="26" t="inlineStr">
        <is>
          <t>Oui</t>
        </is>
      </c>
      <c r="H116" s="26" t="inlineStr">
        <is>
          <t>Review / retour exploitable</t>
        </is>
      </c>
    </row>
    <row r="117">
      <c r="A117" s="26" t="inlineStr">
        <is>
          <t>MUSE HiFi</t>
        </is>
      </c>
      <c r="B117" s="26" t="inlineStr">
        <is>
          <t>M3 Ultra</t>
        </is>
      </c>
      <c r="C117" s="26" t="n">
        <v>4</v>
      </c>
      <c r="D117" s="26" t="inlineStr">
        <is>
          <t>Review éditoriale</t>
        </is>
      </c>
      <c r="E117" s="26" t="inlineStr">
        <is>
          <t>nextrift.com</t>
        </is>
      </c>
      <c r="F117" s="23" t="inlineStr">
        <is>
          <t>https://nextrift.com/202643639/</t>
        </is>
      </c>
      <c r="G117" s="26" t="inlineStr">
        <is>
          <t>Oui</t>
        </is>
      </c>
      <c r="H117" s="26" t="inlineStr">
        <is>
          <t>Review / retour exploitable</t>
        </is>
      </c>
    </row>
    <row r="118">
      <c r="A118" s="26" t="inlineStr">
        <is>
          <t>xDuoo</t>
        </is>
      </c>
      <c r="B118" s="26" t="inlineStr">
        <is>
          <t>Link3</t>
        </is>
      </c>
      <c r="C118" s="26" t="n">
        <v>1</v>
      </c>
      <c r="D118" s="26" t="inlineStr">
        <is>
          <t>Review éditoriale</t>
        </is>
      </c>
      <c r="E118" s="26" t="inlineStr">
        <is>
          <t>headfonics.com</t>
        </is>
      </c>
      <c r="F118" s="23" t="inlineStr">
        <is>
          <t>https://headfonics.com/xduoo-link3-review/</t>
        </is>
      </c>
      <c r="G118" s="26" t="inlineStr">
        <is>
          <t>Oui</t>
        </is>
      </c>
      <c r="H118" s="26" t="inlineStr">
        <is>
          <t>Review / retour exploitable</t>
        </is>
      </c>
    </row>
    <row r="119">
      <c r="A119" s="26" t="inlineStr">
        <is>
          <t>xDuoo</t>
        </is>
      </c>
      <c r="B119" s="26" t="inlineStr">
        <is>
          <t>Link3</t>
        </is>
      </c>
      <c r="C119" s="26" t="n">
        <v>2</v>
      </c>
      <c r="D119" s="26" t="inlineStr">
        <is>
          <t>Review éditoriale</t>
        </is>
      </c>
      <c r="E119" s="26" t="inlineStr">
        <is>
          <t>primeaudio.org</t>
        </is>
      </c>
      <c r="F119" s="23" t="inlineStr">
        <is>
          <t>https://primeaudio.org/xduoo-link3-review/</t>
        </is>
      </c>
      <c r="G119" s="26" t="inlineStr">
        <is>
          <t>Oui</t>
        </is>
      </c>
      <c r="H119" s="26" t="inlineStr">
        <is>
          <t>Review / retour exploitable</t>
        </is>
      </c>
    </row>
    <row r="120">
      <c r="A120" s="26" t="inlineStr">
        <is>
          <t>xDuoo</t>
        </is>
      </c>
      <c r="B120" s="26" t="inlineStr">
        <is>
          <t>Link3</t>
        </is>
      </c>
      <c r="C120" s="26" t="n">
        <v>3</v>
      </c>
      <c r="D120" s="26" t="inlineStr">
        <is>
          <t>Review éditoriale</t>
        </is>
      </c>
      <c r="E120" s="26" t="inlineStr">
        <is>
          <t>moonstarreviews.net</t>
        </is>
      </c>
      <c r="F120" s="23" t="inlineStr">
        <is>
          <t>https://moonstarreviews.net/xduoo-link3-review/</t>
        </is>
      </c>
      <c r="G120" s="26" t="inlineStr">
        <is>
          <t>Oui</t>
        </is>
      </c>
      <c r="H120" s="26" t="inlineStr">
        <is>
          <t>Review / retour exploitable</t>
        </is>
      </c>
    </row>
    <row r="121">
      <c r="A121" s="26" t="inlineStr">
        <is>
          <t>xDuoo</t>
        </is>
      </c>
      <c r="B121" s="26" t="inlineStr">
        <is>
          <t>Link3</t>
        </is>
      </c>
      <c r="C121" s="26" t="n">
        <v>4</v>
      </c>
      <c r="D121" s="26" t="inlineStr">
        <is>
          <t>Review éditoriale</t>
        </is>
      </c>
      <c r="E121" s="26" t="inlineStr">
        <is>
          <t>hifidaydreaming.com</t>
        </is>
      </c>
      <c r="F121" s="23" t="inlineStr">
        <is>
          <t>https://www.hifidaydreaming.com/post/portable-class-a-amp-dac-with-unique-twist-xduoo-link-3-review</t>
        </is>
      </c>
      <c r="G121" s="26" t="inlineStr">
        <is>
          <t>Oui</t>
        </is>
      </c>
      <c r="H121" s="26" t="inlineStr">
        <is>
          <t>Review / retour exploitable</t>
        </is>
      </c>
    </row>
    <row r="122">
      <c r="A122" s="26" t="inlineStr">
        <is>
          <t>xDuoo</t>
        </is>
      </c>
      <c r="B122" s="26" t="inlineStr">
        <is>
          <t>XP-2 Bal</t>
        </is>
      </c>
      <c r="C122" s="26" t="n">
        <v>1</v>
      </c>
      <c r="D122" s="26" t="inlineStr">
        <is>
          <t>Review éditoriale</t>
        </is>
      </c>
      <c r="E122" s="26" t="inlineStr">
        <is>
          <t>headfonics.com</t>
        </is>
      </c>
      <c r="F122" s="23" t="inlineStr">
        <is>
          <t>https://headfonics.com/xduoo-xp-2-bal-review/</t>
        </is>
      </c>
      <c r="G122" s="26" t="inlineStr">
        <is>
          <t>Oui</t>
        </is>
      </c>
      <c r="H122" s="26" t="inlineStr">
        <is>
          <t>Review / retour exploitable</t>
        </is>
      </c>
    </row>
    <row r="123">
      <c r="A123" s="26" t="inlineStr">
        <is>
          <t>xDuoo</t>
        </is>
      </c>
      <c r="B123" s="26" t="inlineStr">
        <is>
          <t>XP-2 Bal</t>
        </is>
      </c>
      <c r="C123" s="26" t="n">
        <v>2</v>
      </c>
      <c r="D123" s="26" t="inlineStr">
        <is>
          <t>Vidéo review</t>
        </is>
      </c>
      <c r="E123" s="26" t="inlineStr">
        <is>
          <t>youtube.com</t>
        </is>
      </c>
      <c r="F123" s="23" t="inlineStr">
        <is>
          <t>https://www.youtube.com/watch?v=V-sVneIc1DQ</t>
        </is>
      </c>
      <c r="G123" s="26" t="inlineStr">
        <is>
          <t>Oui</t>
        </is>
      </c>
      <c r="H123" s="26" t="inlineStr">
        <is>
          <t>Review / retour exploitable</t>
        </is>
      </c>
    </row>
    <row r="124">
      <c r="A124" s="26" t="inlineStr">
        <is>
          <t>xDuoo</t>
        </is>
      </c>
      <c r="B124" s="26" t="inlineStr">
        <is>
          <t>XP-2 Bal</t>
        </is>
      </c>
      <c r="C124" s="26" t="n">
        <v>3</v>
      </c>
      <c r="D124" s="26" t="inlineStr">
        <is>
          <t>Head-Fi forum</t>
        </is>
      </c>
      <c r="E124" s="26" t="inlineStr">
        <is>
          <t>head-fi.org</t>
        </is>
      </c>
      <c r="F124" s="23" t="inlineStr">
        <is>
          <t>https://www.head-fi.org/threads/xduoo-xp-2-bal-balanced-bluetooth-dac-amp-now-on-apos-audio.966945/</t>
        </is>
      </c>
      <c r="G124" s="26" t="inlineStr">
        <is>
          <t>Oui</t>
        </is>
      </c>
      <c r="H124" s="26" t="inlineStr">
        <is>
          <t>Review / retour exploitable</t>
        </is>
      </c>
    </row>
    <row r="125">
      <c r="A125" s="26" t="inlineStr">
        <is>
          <t>xDuoo</t>
        </is>
      </c>
      <c r="B125" s="26" t="inlineStr">
        <is>
          <t>XP-2 Bal</t>
        </is>
      </c>
      <c r="C125" s="26" t="n">
        <v>4</v>
      </c>
      <c r="D125" s="26" t="inlineStr">
        <is>
          <t>Communauté Reddit</t>
        </is>
      </c>
      <c r="E125" s="26" t="inlineStr">
        <is>
          <t>reddit.com</t>
        </is>
      </c>
      <c r="F125" s="23" t="inlineStr">
        <is>
          <t>https://www.reddit.com/r/iems/comments/1gj8g45</t>
        </is>
      </c>
      <c r="G125" s="26" t="inlineStr">
        <is>
          <t>Oui</t>
        </is>
      </c>
      <c r="H125" s="26" t="inlineStr">
        <is>
          <t>Review / retour exploitable</t>
        </is>
      </c>
    </row>
    <row r="126">
      <c r="A126" s="26" t="inlineStr">
        <is>
          <t>iBasso</t>
        </is>
      </c>
      <c r="B126" s="26" t="inlineStr">
        <is>
          <t>PB6 MACAW</t>
        </is>
      </c>
      <c r="C126" s="26" t="n">
        <v>1</v>
      </c>
      <c r="D126" s="26" t="inlineStr">
        <is>
          <t>Review éditoriale</t>
        </is>
      </c>
      <c r="E126" s="26" t="inlineStr">
        <is>
          <t>headfonics.com</t>
        </is>
      </c>
      <c r="F126" s="23" t="inlineStr">
        <is>
          <t>https://headfonics.com/ibasso-pb6-macaw-review/</t>
        </is>
      </c>
      <c r="G126" s="26" t="inlineStr">
        <is>
          <t>Oui</t>
        </is>
      </c>
      <c r="H126" s="26" t="inlineStr">
        <is>
          <t>Review / retour exploitable</t>
        </is>
      </c>
    </row>
    <row r="127">
      <c r="A127" s="26" t="inlineStr">
        <is>
          <t>iBasso</t>
        </is>
      </c>
      <c r="B127" s="26" t="inlineStr">
        <is>
          <t>PB6 MACAW</t>
        </is>
      </c>
      <c r="C127" s="26" t="n">
        <v>2</v>
      </c>
      <c r="D127" s="26" t="inlineStr">
        <is>
          <t>Review éditoriale</t>
        </is>
      </c>
      <c r="E127" s="26" t="inlineStr">
        <is>
          <t>audiophile-heaven.com</t>
        </is>
      </c>
      <c r="F127" s="23" t="inlineStr">
        <is>
          <t>https://www.audiophile-heaven.com/2026/04/ibasso-pb6-macaw-tube-amplifier-review-portable-glow-of-magic-power.html</t>
        </is>
      </c>
      <c r="G127" s="26" t="inlineStr">
        <is>
          <t>Oui</t>
        </is>
      </c>
      <c r="H127" s="26" t="inlineStr">
        <is>
          <t>Review / retour exploitable</t>
        </is>
      </c>
    </row>
    <row r="128">
      <c r="A128" s="26" t="inlineStr">
        <is>
          <t>iBasso</t>
        </is>
      </c>
      <c r="B128" s="26" t="inlineStr">
        <is>
          <t>PB6 MACAW</t>
        </is>
      </c>
      <c r="C128" s="26" t="n">
        <v>3</v>
      </c>
      <c r="D128" s="26" t="inlineStr">
        <is>
          <t>Review éditoriale</t>
        </is>
      </c>
      <c r="E128" s="26" t="inlineStr">
        <is>
          <t>bloomaudio.com</t>
        </is>
      </c>
      <c r="F128" s="23" t="inlineStr">
        <is>
          <t>https://bloomaudio.com/blogs/articles/macaw-some-ibasso-pb6-macaw-review</t>
        </is>
      </c>
      <c r="G128" s="26" t="inlineStr">
        <is>
          <t>Oui</t>
        </is>
      </c>
      <c r="H128" s="26" t="inlineStr">
        <is>
          <t>Review / retour exploitable</t>
        </is>
      </c>
    </row>
    <row r="129">
      <c r="A129" s="26" t="inlineStr">
        <is>
          <t>iBasso</t>
        </is>
      </c>
      <c r="B129" s="26" t="inlineStr">
        <is>
          <t>PB6 MACAW</t>
        </is>
      </c>
      <c r="C129" s="26" t="n">
        <v>4</v>
      </c>
      <c r="D129" s="26" t="inlineStr">
        <is>
          <t>Review éditoriale</t>
        </is>
      </c>
      <c r="E129" s="26" t="inlineStr">
        <is>
          <t>open-end-music.com</t>
        </is>
      </c>
      <c r="F129" s="23" t="inlineStr">
        <is>
          <t>https://www.open-end-music.com/forum/audiophile-kopfh%C3%B6rer/kh-kopfh%C3%B6rer-testberichte-rezensionen/768928-test-ibasso-pb6</t>
        </is>
      </c>
      <c r="G129" s="26" t="inlineStr">
        <is>
          <t>Oui</t>
        </is>
      </c>
      <c r="H129" s="26" t="inlineStr">
        <is>
          <t>Review / retour exploitable</t>
        </is>
      </c>
    </row>
    <row r="130">
      <c r="A130" s="26" t="inlineStr">
        <is>
          <t>HiBy</t>
        </is>
      </c>
      <c r="B130" s="26" t="inlineStr">
        <is>
          <t>W4</t>
        </is>
      </c>
      <c r="C130" s="26" t="n">
        <v>1</v>
      </c>
      <c r="D130" s="26" t="inlineStr">
        <is>
          <t>Review éditoriale</t>
        </is>
      </c>
      <c r="E130" s="26" t="inlineStr">
        <is>
          <t>headfonics.com</t>
        </is>
      </c>
      <c r="F130" s="23" t="inlineStr">
        <is>
          <t>https://headfonics.com/hiby-w4-review/</t>
        </is>
      </c>
      <c r="G130" s="26" t="inlineStr">
        <is>
          <t>Oui</t>
        </is>
      </c>
      <c r="H130" s="26" t="inlineStr">
        <is>
          <t>Review / retour exploitable</t>
        </is>
      </c>
    </row>
    <row r="131">
      <c r="A131" s="26" t="inlineStr">
        <is>
          <t>HiBy</t>
        </is>
      </c>
      <c r="B131" s="26" t="inlineStr">
        <is>
          <t>W4</t>
        </is>
      </c>
      <c r="C131" s="26" t="n">
        <v>2</v>
      </c>
      <c r="D131" s="26" t="inlineStr">
        <is>
          <t>Review éditoriale</t>
        </is>
      </c>
      <c r="E131" s="26" t="inlineStr">
        <is>
          <t>headfonia.com</t>
        </is>
      </c>
      <c r="F131" s="23" t="inlineStr">
        <is>
          <t>https://www.headfonia.com/hiby-w4-review/</t>
        </is>
      </c>
      <c r="G131" s="26" t="inlineStr">
        <is>
          <t>Oui</t>
        </is>
      </c>
      <c r="H131" s="26" t="inlineStr">
        <is>
          <t>Review / retour exploitable</t>
        </is>
      </c>
    </row>
    <row r="132">
      <c r="A132" s="26" t="inlineStr">
        <is>
          <t>HiBy</t>
        </is>
      </c>
      <c r="B132" s="26" t="inlineStr">
        <is>
          <t>W4</t>
        </is>
      </c>
      <c r="C132" s="26" t="n">
        <v>3</v>
      </c>
      <c r="D132" s="26" t="inlineStr">
        <is>
          <t>Review éditoriale</t>
        </is>
      </c>
      <c r="E132" s="26" t="inlineStr">
        <is>
          <t>audiophile-heaven.com</t>
        </is>
      </c>
      <c r="F132" s="23" t="inlineStr">
        <is>
          <t>https://www.audiophile-heaven.com/2026/06/hiby-w4-portable-hifi-bluetooth-headphone-amplifier-review-dual-core-dual-mode-uncharge-dac.html</t>
        </is>
      </c>
      <c r="G132" s="26" t="inlineStr">
        <is>
          <t>Oui</t>
        </is>
      </c>
      <c r="H132" s="26" t="inlineStr">
        <is>
          <t>Review / retour exploitable</t>
        </is>
      </c>
    </row>
    <row r="133">
      <c r="A133" s="26" t="inlineStr">
        <is>
          <t>HiBy</t>
        </is>
      </c>
      <c r="B133" s="26" t="inlineStr">
        <is>
          <t>W4</t>
        </is>
      </c>
      <c r="C133" s="26" t="n">
        <v>4</v>
      </c>
      <c r="D133" s="26" t="inlineStr">
        <is>
          <t>Review éditoriale</t>
        </is>
      </c>
      <c r="E133" s="26" t="inlineStr">
        <is>
          <t>mobileaudiophile.com</t>
        </is>
      </c>
      <c r="F133" s="23" t="inlineStr">
        <is>
          <t>https://mobileaudiophile.com/wireless/hiby-w4-review/</t>
        </is>
      </c>
      <c r="G133" s="26" t="inlineStr">
        <is>
          <t>Oui</t>
        </is>
      </c>
      <c r="H133" s="26" t="inlineStr">
        <is>
          <t>Review / retour exploitable</t>
        </is>
      </c>
    </row>
    <row r="134">
      <c r="A134" s="26" t="inlineStr">
        <is>
          <t>Questyle</t>
        </is>
      </c>
      <c r="B134" s="26" t="inlineStr">
        <is>
          <t>SIGMA Pro</t>
        </is>
      </c>
      <c r="C134" s="26" t="n">
        <v>1</v>
      </c>
      <c r="D134" s="26" t="inlineStr">
        <is>
          <t>Review éditoriale</t>
        </is>
      </c>
      <c r="E134" s="26" t="inlineStr">
        <is>
          <t>headfonics.com</t>
        </is>
      </c>
      <c r="F134" s="23" t="inlineStr">
        <is>
          <t>https://headfonics.com/questyle-sigma-pro-review/</t>
        </is>
      </c>
      <c r="G134" s="26" t="inlineStr">
        <is>
          <t>Oui</t>
        </is>
      </c>
      <c r="H134" s="26" t="inlineStr">
        <is>
          <t>Review / retour exploitable</t>
        </is>
      </c>
    </row>
    <row r="135">
      <c r="A135" s="26" t="inlineStr">
        <is>
          <t>Questyle</t>
        </is>
      </c>
      <c r="B135" s="26" t="inlineStr">
        <is>
          <t>SIGMA Pro</t>
        </is>
      </c>
      <c r="C135" s="26" t="n">
        <v>2</v>
      </c>
      <c r="D135" s="26" t="inlineStr">
        <is>
          <t>Review éditoriale</t>
        </is>
      </c>
      <c r="E135" s="26" t="inlineStr">
        <is>
          <t>kropka.audio</t>
        </is>
      </c>
      <c r="F135" s="23" t="inlineStr">
        <is>
          <t>https://kropka.audio/test/wzmacniacze/questyle-sigma-pro-recenzja/</t>
        </is>
      </c>
      <c r="G135" s="26" t="inlineStr">
        <is>
          <t>Oui</t>
        </is>
      </c>
      <c r="H135" s="26" t="inlineStr">
        <is>
          <t>Review / retour exploitable</t>
        </is>
      </c>
    </row>
    <row r="136">
      <c r="A136" s="26" t="inlineStr">
        <is>
          <t>Questyle</t>
        </is>
      </c>
      <c r="B136" s="26" t="inlineStr">
        <is>
          <t>SIGMA Pro</t>
        </is>
      </c>
      <c r="C136" s="26" t="n">
        <v>3</v>
      </c>
      <c r="D136" s="26" t="inlineStr">
        <is>
          <t>Review éditoriale</t>
        </is>
      </c>
      <c r="E136" s="26" t="inlineStr">
        <is>
          <t>dtmstation.com</t>
        </is>
      </c>
      <c r="F136" s="23" t="inlineStr">
        <is>
          <t>https://www.dtmstation.com/archives/75475.html</t>
        </is>
      </c>
      <c r="G136" s="26" t="inlineStr">
        <is>
          <t>Oui</t>
        </is>
      </c>
      <c r="H136" s="26" t="inlineStr">
        <is>
          <t>Review / retour exploitable</t>
        </is>
      </c>
    </row>
    <row r="137">
      <c r="A137" s="26" t="inlineStr">
        <is>
          <t>Questyle</t>
        </is>
      </c>
      <c r="B137" s="26" t="inlineStr">
        <is>
          <t>SIGMA Pro</t>
        </is>
      </c>
      <c r="C137" s="26" t="n">
        <v>4</v>
      </c>
      <c r="D137" s="26" t="inlineStr">
        <is>
          <t>Review éditoriale</t>
        </is>
      </c>
      <c r="E137" s="26" t="inlineStr">
        <is>
          <t>fujiya-avic.co.jp</t>
        </is>
      </c>
      <c r="F137" s="23" t="inlineStr">
        <is>
          <t>https://www.fujiya-avic.co.jp/blog/detail/996</t>
        </is>
      </c>
      <c r="G137" s="26" t="inlineStr">
        <is>
          <t>Oui</t>
        </is>
      </c>
      <c r="H137" s="26" t="inlineStr">
        <is>
          <t>Review / retour exploitable</t>
        </is>
      </c>
    </row>
    <row r="138">
      <c r="A138" s="26" t="inlineStr">
        <is>
          <t>iBasso</t>
        </is>
      </c>
      <c r="B138" s="26" t="inlineStr">
        <is>
          <t>D17 Atheris</t>
        </is>
      </c>
      <c r="C138" s="26" t="n">
        <v>1</v>
      </c>
      <c r="D138" s="26" t="inlineStr">
        <is>
          <t>Review éditoriale</t>
        </is>
      </c>
      <c r="E138" s="26" t="inlineStr">
        <is>
          <t>headfonics.com</t>
        </is>
      </c>
      <c r="F138" s="23" t="inlineStr">
        <is>
          <t>https://headfonics.com/ibasso-d17-atheris-review/</t>
        </is>
      </c>
      <c r="G138" s="26" t="inlineStr">
        <is>
          <t>Oui</t>
        </is>
      </c>
      <c r="H138" s="26" t="inlineStr">
        <is>
          <t>Review / retour exploitable</t>
        </is>
      </c>
    </row>
    <row r="139">
      <c r="A139" s="26" t="inlineStr">
        <is>
          <t>iBasso</t>
        </is>
      </c>
      <c r="B139" s="26" t="inlineStr">
        <is>
          <t>D17 Atheris</t>
        </is>
      </c>
      <c r="C139" s="26" t="n">
        <v>2</v>
      </c>
      <c r="D139" s="26" t="inlineStr">
        <is>
          <t>Review éditoriale</t>
        </is>
      </c>
      <c r="E139" s="26" t="inlineStr">
        <is>
          <t>headfonia.com</t>
        </is>
      </c>
      <c r="F139" s="23" t="inlineStr">
        <is>
          <t>https://www.headfonia.com/ibasso-d17-atheris-review/</t>
        </is>
      </c>
      <c r="G139" s="26" t="inlineStr">
        <is>
          <t>Oui</t>
        </is>
      </c>
      <c r="H139" s="26" t="inlineStr">
        <is>
          <t>Review / retour exploitable</t>
        </is>
      </c>
    </row>
    <row r="140">
      <c r="A140" s="26" t="inlineStr">
        <is>
          <t>iBasso</t>
        </is>
      </c>
      <c r="B140" s="26" t="inlineStr">
        <is>
          <t>D17 Atheris</t>
        </is>
      </c>
      <c r="C140" s="26" t="n">
        <v>3</v>
      </c>
      <c r="D140" s="26" t="inlineStr">
        <is>
          <t>Review éditoriale</t>
        </is>
      </c>
      <c r="E140" s="26" t="inlineStr">
        <is>
          <t>moonstarreviews.net</t>
        </is>
      </c>
      <c r="F140" s="23" t="inlineStr">
        <is>
          <t>https://moonstarreviews.net/ibasso-d17-atheris-review/</t>
        </is>
      </c>
      <c r="G140" s="26" t="inlineStr">
        <is>
          <t>Oui</t>
        </is>
      </c>
      <c r="H140" s="26" t="inlineStr">
        <is>
          <t>Review / retour exploitable</t>
        </is>
      </c>
    </row>
    <row r="141">
      <c r="A141" s="26" t="inlineStr">
        <is>
          <t>iBasso</t>
        </is>
      </c>
      <c r="B141" s="26" t="inlineStr">
        <is>
          <t>D17 Atheris</t>
        </is>
      </c>
      <c r="C141" s="26" t="n">
        <v>4</v>
      </c>
      <c r="D141" s="26" t="inlineStr">
        <is>
          <t>Review éditoriale</t>
        </is>
      </c>
      <c r="E141" s="26" t="inlineStr">
        <is>
          <t>audiophile-heaven.com</t>
        </is>
      </c>
      <c r="F141" s="23" t="inlineStr">
        <is>
          <t>https://www.audiophile-heaven.com/2025/12/ibasso-d17-atheris-r2r-1-bit-dac-and-tube-amp-review-complete-music-experience-systema-win.html</t>
        </is>
      </c>
      <c r="G141" s="26" t="inlineStr">
        <is>
          <t>Oui</t>
        </is>
      </c>
      <c r="H141" s="26" t="inlineStr">
        <is>
          <t>Review / retour exploitable</t>
        </is>
      </c>
    </row>
    <row r="142">
      <c r="A142" s="26" t="inlineStr">
        <is>
          <t>Cayin</t>
        </is>
      </c>
      <c r="B142" s="26" t="inlineStr">
        <is>
          <t>RU3</t>
        </is>
      </c>
      <c r="C142" s="26" t="n">
        <v>1</v>
      </c>
      <c r="D142" s="26" t="inlineStr">
        <is>
          <t>Review éditoriale</t>
        </is>
      </c>
      <c r="E142" s="26" t="inlineStr">
        <is>
          <t>headfonics.com</t>
        </is>
      </c>
      <c r="F142" s="23" t="inlineStr">
        <is>
          <t>https://headfonics.com/cayin-ru3-review/</t>
        </is>
      </c>
      <c r="G142" s="26" t="inlineStr">
        <is>
          <t>Oui</t>
        </is>
      </c>
      <c r="H142" s="26" t="inlineStr">
        <is>
          <t>Review / retour exploitable</t>
        </is>
      </c>
    </row>
    <row r="143">
      <c r="A143" s="26" t="inlineStr">
        <is>
          <t>Cayin</t>
        </is>
      </c>
      <c r="B143" s="26" t="inlineStr">
        <is>
          <t>RU3</t>
        </is>
      </c>
      <c r="C143" s="26" t="n">
        <v>2</v>
      </c>
      <c r="D143" s="26" t="inlineStr">
        <is>
          <t>Review éditoriale</t>
        </is>
      </c>
      <c r="E143" s="26" t="inlineStr">
        <is>
          <t>porta-fi.com</t>
        </is>
      </c>
      <c r="F143" s="23" t="inlineStr">
        <is>
          <t>https://porta-fi.com/cayin-ru3-review-usb-c-dongle-dac-amp-4-4mm-balanced-output/</t>
        </is>
      </c>
      <c r="G143" s="26" t="inlineStr">
        <is>
          <t>Oui</t>
        </is>
      </c>
      <c r="H143" s="26" t="inlineStr">
        <is>
          <t>Review / retour exploitable</t>
        </is>
      </c>
    </row>
    <row r="144">
      <c r="A144" s="26" t="inlineStr">
        <is>
          <t>Cayin</t>
        </is>
      </c>
      <c r="B144" s="26" t="inlineStr">
        <is>
          <t>RU3</t>
        </is>
      </c>
      <c r="C144" s="26" t="n">
        <v>3</v>
      </c>
      <c r="D144" s="26" t="inlineStr">
        <is>
          <t>Review éditoriale</t>
        </is>
      </c>
      <c r="E144" s="26" t="inlineStr">
        <is>
          <t>audiophile-heaven.com</t>
        </is>
      </c>
      <c r="F144" s="23" t="inlineStr">
        <is>
          <t>https://www.audiophile-heaven.com/2026/01/cayin-ru3-hifi-dac-amp-review-quad-balanced-bloomy-song.html</t>
        </is>
      </c>
      <c r="G144" s="26" t="inlineStr">
        <is>
          <t>Oui</t>
        </is>
      </c>
      <c r="H144" s="26" t="inlineStr">
        <is>
          <t>Review / retour exploitable</t>
        </is>
      </c>
    </row>
    <row r="145">
      <c r="A145" s="26" t="inlineStr">
        <is>
          <t>Cayin</t>
        </is>
      </c>
      <c r="B145" s="26" t="inlineStr">
        <is>
          <t>RU3</t>
        </is>
      </c>
      <c r="C145" s="26" t="n">
        <v>4</v>
      </c>
      <c r="D145" s="26" t="inlineStr">
        <is>
          <t>Review éditoriale</t>
        </is>
      </c>
      <c r="E145" s="26" t="inlineStr">
        <is>
          <t>theheadphonelist.com</t>
        </is>
      </c>
      <c r="F145" s="23" t="inlineStr">
        <is>
          <t>https://theheadphonelist.com/cayin-ru3-review-one-of-the-best-dongle-dac-amp-under-100/</t>
        </is>
      </c>
      <c r="G145" s="26" t="inlineStr">
        <is>
          <t>Oui</t>
        </is>
      </c>
      <c r="H145" s="26" t="inlineStr">
        <is>
          <t>Review / retour exploitable</t>
        </is>
      </c>
    </row>
    <row r="146">
      <c r="A146" s="26" t="inlineStr">
        <is>
          <t>FiiO</t>
        </is>
      </c>
      <c r="B146" s="26" t="inlineStr">
        <is>
          <t>SNOWSKY Tiny</t>
        </is>
      </c>
      <c r="C146" s="26" t="n">
        <v>1</v>
      </c>
      <c r="D146" s="26" t="inlineStr">
        <is>
          <t>Review éditoriale</t>
        </is>
      </c>
      <c r="E146" s="26" t="inlineStr">
        <is>
          <t>headfonics.com</t>
        </is>
      </c>
      <c r="F146" s="23" t="inlineStr">
        <is>
          <t>https://headfonics.com/fiio-snowsky-tiny-review/</t>
        </is>
      </c>
      <c r="G146" s="26" t="inlineStr">
        <is>
          <t>Oui</t>
        </is>
      </c>
      <c r="H146" s="26" t="inlineStr">
        <is>
          <t>Review / retour exploitable</t>
        </is>
      </c>
    </row>
    <row r="147">
      <c r="A147" s="26" t="inlineStr">
        <is>
          <t>FiiO</t>
        </is>
      </c>
      <c r="B147" s="26" t="inlineStr">
        <is>
          <t>SNOWSKY Tiny</t>
        </is>
      </c>
      <c r="C147" s="26" t="n">
        <v>2</v>
      </c>
      <c r="D147" s="26" t="inlineStr">
        <is>
          <t>Review éditoriale</t>
        </is>
      </c>
      <c r="E147" s="26" t="inlineStr">
        <is>
          <t>hifioasis.com</t>
        </is>
      </c>
      <c r="F147" s="23" t="inlineStr">
        <is>
          <t>https://www.hifioasis.com/reviews/fiio-snowsky-tiny-usb-dac-amp-review/</t>
        </is>
      </c>
      <c r="G147" s="26" t="inlineStr">
        <is>
          <t>Oui</t>
        </is>
      </c>
      <c r="H147" s="26" t="inlineStr">
        <is>
          <t>Review / retour exploitable</t>
        </is>
      </c>
    </row>
    <row r="148">
      <c r="A148" s="26" t="inlineStr">
        <is>
          <t>FiiO</t>
        </is>
      </c>
      <c r="B148" s="26" t="inlineStr">
        <is>
          <t>SNOWSKY Tiny</t>
        </is>
      </c>
      <c r="C148" s="26" t="n">
        <v>3</v>
      </c>
      <c r="D148" s="26" t="inlineStr">
        <is>
          <t>Communauté Reddit</t>
        </is>
      </c>
      <c r="E148" s="26" t="inlineStr">
        <is>
          <t>reddit.com</t>
        </is>
      </c>
      <c r="F148" s="23" t="inlineStr">
        <is>
          <t>https://www.reddit.com/r/iems/comments/1p07onz/got_the_fiio_snowsky_tiny_version_a_with_the_usbc/</t>
        </is>
      </c>
      <c r="G148" s="26" t="inlineStr">
        <is>
          <t>Oui</t>
        </is>
      </c>
      <c r="H148" s="26" t="inlineStr">
        <is>
          <t>Review / retour exploitable</t>
        </is>
      </c>
    </row>
    <row r="149">
      <c r="A149" s="26" t="inlineStr">
        <is>
          <t>Khadas</t>
        </is>
      </c>
      <c r="B149" s="26" t="inlineStr">
        <is>
          <t>Tea Pro</t>
        </is>
      </c>
      <c r="C149" s="26" t="n">
        <v>1</v>
      </c>
      <c r="D149" s="26" t="inlineStr">
        <is>
          <t>Review éditoriale</t>
        </is>
      </c>
      <c r="E149" s="26" t="inlineStr">
        <is>
          <t>headfonics.com</t>
        </is>
      </c>
      <c r="F149" s="23" t="inlineStr">
        <is>
          <t>https://headfonics.com/khadas-tea-pro-review/</t>
        </is>
      </c>
      <c r="G149" s="26" t="inlineStr">
        <is>
          <t>Oui</t>
        </is>
      </c>
      <c r="H149" s="26" t="inlineStr">
        <is>
          <t>Review / retour exploitable</t>
        </is>
      </c>
    </row>
    <row r="150">
      <c r="A150" s="26" t="inlineStr">
        <is>
          <t>Khadas</t>
        </is>
      </c>
      <c r="B150" s="26" t="inlineStr">
        <is>
          <t>Tea Pro</t>
        </is>
      </c>
      <c r="C150" s="26" t="n">
        <v>2</v>
      </c>
      <c r="D150" s="26" t="inlineStr">
        <is>
          <t>Review éditoriale</t>
        </is>
      </c>
      <c r="E150" s="26" t="inlineStr">
        <is>
          <t>techradar.com</t>
        </is>
      </c>
      <c r="F150" s="23" t="inlineStr">
        <is>
          <t>https://www.techradar.com/audio/dacs/khadas-tea-pro-review</t>
        </is>
      </c>
      <c r="G150" s="26" t="inlineStr">
        <is>
          <t>Oui</t>
        </is>
      </c>
      <c r="H150" s="26" t="inlineStr">
        <is>
          <t>Review / retour exploitable</t>
        </is>
      </c>
    </row>
    <row r="151">
      <c r="A151" s="26" t="inlineStr">
        <is>
          <t>Khadas</t>
        </is>
      </c>
      <c r="B151" s="26" t="inlineStr">
        <is>
          <t>Tea Pro</t>
        </is>
      </c>
      <c r="C151" s="26" t="n">
        <v>3</v>
      </c>
      <c r="D151" s="26" t="inlineStr">
        <is>
          <t>Review éditoriale</t>
        </is>
      </c>
      <c r="E151" s="26" t="inlineStr">
        <is>
          <t>mobileaudiophile.com</t>
        </is>
      </c>
      <c r="F151" s="23" t="inlineStr">
        <is>
          <t>https://mobileaudiophile.com/dacs/khadas-tea-pro-review-power-in-balance/</t>
        </is>
      </c>
      <c r="G151" s="26" t="inlineStr">
        <is>
          <t>Oui</t>
        </is>
      </c>
      <c r="H151" s="26" t="inlineStr">
        <is>
          <t>Review / retour exploitable</t>
        </is>
      </c>
    </row>
    <row r="152">
      <c r="A152" s="26" t="inlineStr">
        <is>
          <t>Khadas</t>
        </is>
      </c>
      <c r="B152" s="26" t="inlineStr">
        <is>
          <t>Tea Pro</t>
        </is>
      </c>
      <c r="C152" s="26" t="n">
        <v>4</v>
      </c>
      <c r="D152" s="26" t="inlineStr">
        <is>
          <t>Review éditoriale</t>
        </is>
      </c>
      <c r="E152" s="26" t="inlineStr">
        <is>
          <t>audiophile-heaven.com</t>
        </is>
      </c>
      <c r="F152" s="23" t="inlineStr">
        <is>
          <t>https://www.audiophile-heaven.com/2025/10/khadas-tea-pro-dac-amp-review-uniting-android-and-iphone-users-for-music.html</t>
        </is>
      </c>
      <c r="G152" s="26" t="inlineStr">
        <is>
          <t>Oui</t>
        </is>
      </c>
      <c r="H152" s="26" t="inlineStr">
        <is>
          <t>Review / retour exploitable</t>
        </is>
      </c>
    </row>
    <row r="153">
      <c r="A153" s="26" t="inlineStr">
        <is>
          <t>ddHiFi</t>
        </is>
      </c>
      <c r="B153" s="26" t="inlineStr">
        <is>
          <t>TC44Grip</t>
        </is>
      </c>
      <c r="C153" s="26" t="n">
        <v>1</v>
      </c>
      <c r="D153" s="26" t="inlineStr">
        <is>
          <t>Review éditoriale</t>
        </is>
      </c>
      <c r="E153" s="26" t="inlineStr">
        <is>
          <t>headfonics.com</t>
        </is>
      </c>
      <c r="F153" s="23" t="inlineStr">
        <is>
          <t>https://headfonics.com/ddhifi-tc44grip-review/</t>
        </is>
      </c>
      <c r="G153" s="26" t="inlineStr">
        <is>
          <t>Oui</t>
        </is>
      </c>
      <c r="H153" s="26" t="inlineStr">
        <is>
          <t>Review / retour exploitable</t>
        </is>
      </c>
    </row>
    <row r="154">
      <c r="A154" s="26" t="inlineStr">
        <is>
          <t>ddHiFi</t>
        </is>
      </c>
      <c r="B154" s="26" t="inlineStr">
        <is>
          <t>TC44Grip</t>
        </is>
      </c>
      <c r="C154" s="26" t="n">
        <v>2</v>
      </c>
      <c r="D154" s="26" t="inlineStr">
        <is>
          <t>Review éditoriale</t>
        </is>
      </c>
      <c r="E154" s="26" t="inlineStr">
        <is>
          <t>androidbrick.com</t>
        </is>
      </c>
      <c r="F154" s="23" t="inlineStr">
        <is>
          <t>https://androidbrick.com/ddhifi-tc44grip-phone-dac-review/</t>
        </is>
      </c>
      <c r="G154" s="26" t="inlineStr">
        <is>
          <t>Oui</t>
        </is>
      </c>
      <c r="H154" s="26" t="inlineStr">
        <is>
          <t>Review / retour exploitable</t>
        </is>
      </c>
    </row>
    <row r="155">
      <c r="A155" s="26" t="inlineStr">
        <is>
          <t>ddHiFi</t>
        </is>
      </c>
      <c r="B155" s="26" t="inlineStr">
        <is>
          <t>TC44Grip</t>
        </is>
      </c>
      <c r="C155" s="26" t="n">
        <v>3</v>
      </c>
      <c r="D155" s="26" t="inlineStr">
        <is>
          <t>Fiche / republication constructeur</t>
        </is>
      </c>
      <c r="E155" s="26" t="inlineStr">
        <is>
          <t>ddhifi.com</t>
        </is>
      </c>
      <c r="F155" s="23" t="inlineStr">
        <is>
          <t>https://www.ddhifi.com/en/review/21130/</t>
        </is>
      </c>
      <c r="G155" s="95" t="inlineStr">
        <is>
          <t>Non</t>
        </is>
      </c>
      <c r="H155" s="26" t="inlineStr">
        <is>
          <t>Non comptée: fiche produit, constructeur, republication ou simple actualité</t>
        </is>
      </c>
    </row>
    <row r="156">
      <c r="A156" s="26" t="inlineStr">
        <is>
          <t>ddHiFi</t>
        </is>
      </c>
      <c r="B156" s="26" t="inlineStr">
        <is>
          <t>TC44Grip</t>
        </is>
      </c>
      <c r="C156" s="26" t="n">
        <v>4</v>
      </c>
      <c r="D156" s="26" t="inlineStr">
        <is>
          <t>Review éditoriale</t>
        </is>
      </c>
      <c r="E156" s="26" t="inlineStr">
        <is>
          <t>bloomaudio.com</t>
        </is>
      </c>
      <c r="F156" s="23" t="inlineStr">
        <is>
          <t>https://bloomaudio.com/products/ddhifi-tc44grip</t>
        </is>
      </c>
      <c r="G156" s="26" t="inlineStr">
        <is>
          <t>Oui</t>
        </is>
      </c>
      <c r="H156" s="26" t="inlineStr">
        <is>
          <t>Review / retour exploitable</t>
        </is>
      </c>
    </row>
    <row r="157">
      <c r="A157" s="26" t="inlineStr">
        <is>
          <t>ddHiFi</t>
        </is>
      </c>
      <c r="B157" s="26" t="inlineStr">
        <is>
          <t>TC44 Pro E3</t>
        </is>
      </c>
      <c r="C157" s="26" t="n">
        <v>1</v>
      </c>
      <c r="D157" s="26" t="inlineStr">
        <is>
          <t>Review éditoriale</t>
        </is>
      </c>
      <c r="E157" s="26" t="inlineStr">
        <is>
          <t>headfonics.com</t>
        </is>
      </c>
      <c r="F157" s="23" t="inlineStr">
        <is>
          <t>https://headfonics.com/ddhifi-tc44-pro-e3-review/</t>
        </is>
      </c>
      <c r="G157" s="26" t="inlineStr">
        <is>
          <t>Oui</t>
        </is>
      </c>
      <c r="H157" s="26" t="inlineStr">
        <is>
          <t>Review / retour exploitable</t>
        </is>
      </c>
    </row>
    <row r="158">
      <c r="A158" s="26" t="inlineStr">
        <is>
          <t>ddHiFi</t>
        </is>
      </c>
      <c r="B158" s="26" t="inlineStr">
        <is>
          <t>TC44 Pro E3</t>
        </is>
      </c>
      <c r="C158" s="26" t="n">
        <v>2</v>
      </c>
      <c r="D158" s="26" t="inlineStr">
        <is>
          <t>Review éditoriale</t>
        </is>
      </c>
      <c r="E158" s="26" t="inlineStr">
        <is>
          <t>moonstarreviews.net</t>
        </is>
      </c>
      <c r="F158" s="23" t="inlineStr">
        <is>
          <t>https://moonstarreviews.net/ddhifi-eye3-tc44pro-e3-review/</t>
        </is>
      </c>
      <c r="G158" s="26" t="inlineStr">
        <is>
          <t>Oui</t>
        </is>
      </c>
      <c r="H158" s="26" t="inlineStr">
        <is>
          <t>Review / retour exploitable</t>
        </is>
      </c>
    </row>
    <row r="159">
      <c r="A159" s="26" t="inlineStr">
        <is>
          <t>ddHiFi</t>
        </is>
      </c>
      <c r="B159" s="26" t="inlineStr">
        <is>
          <t>TC44 Pro E3</t>
        </is>
      </c>
      <c r="C159" s="26" t="n">
        <v>3</v>
      </c>
      <c r="D159" s="26" t="inlineStr">
        <is>
          <t>Review éditoriale</t>
        </is>
      </c>
      <c r="E159" s="26" t="inlineStr">
        <is>
          <t>audioreviews.org</t>
        </is>
      </c>
      <c r="F159" s="23" t="inlineStr">
        <is>
          <t>https://www.audioreviews.org/hifi-tc44pro-e3-review/</t>
        </is>
      </c>
      <c r="G159" s="26" t="inlineStr">
        <is>
          <t>Oui</t>
        </is>
      </c>
      <c r="H159" s="26" t="inlineStr">
        <is>
          <t>Review / retour exploitable</t>
        </is>
      </c>
    </row>
    <row r="160">
      <c r="A160" s="26" t="inlineStr">
        <is>
          <t>xDuoo</t>
        </is>
      </c>
      <c r="B160" s="26" t="inlineStr">
        <is>
          <t>Link10</t>
        </is>
      </c>
      <c r="C160" s="26" t="n">
        <v>1</v>
      </c>
      <c r="D160" s="26" t="inlineStr">
        <is>
          <t>Review éditoriale</t>
        </is>
      </c>
      <c r="E160" s="26" t="inlineStr">
        <is>
          <t>headfonics.com</t>
        </is>
      </c>
      <c r="F160" s="23" t="inlineStr">
        <is>
          <t>https://headfonics.com/xduoo-link10-review/</t>
        </is>
      </c>
      <c r="G160" s="26" t="inlineStr">
        <is>
          <t>Oui</t>
        </is>
      </c>
      <c r="H160" s="26" t="inlineStr">
        <is>
          <t>Review / retour exploitable</t>
        </is>
      </c>
    </row>
    <row r="161">
      <c r="A161" s="26" t="inlineStr">
        <is>
          <t>xDuoo</t>
        </is>
      </c>
      <c r="B161" s="26" t="inlineStr">
        <is>
          <t>Link10</t>
        </is>
      </c>
      <c r="C161" s="26" t="n">
        <v>2</v>
      </c>
      <c r="D161" s="26" t="inlineStr">
        <is>
          <t>Review éditoriale</t>
        </is>
      </c>
      <c r="E161" s="26" t="inlineStr">
        <is>
          <t>bbs.erji.net</t>
        </is>
      </c>
      <c r="F161" s="23" t="inlineStr">
        <is>
          <t>https://bbs.erji.net/forum.php?mod=viewthread&amp;tid=2404200</t>
        </is>
      </c>
      <c r="G161" s="26" t="inlineStr">
        <is>
          <t>Oui</t>
        </is>
      </c>
      <c r="H161" s="26" t="inlineStr">
        <is>
          <t>Review / retour exploitable</t>
        </is>
      </c>
    </row>
    <row r="162">
      <c r="A162" s="26" t="inlineStr">
        <is>
          <t>xDuoo</t>
        </is>
      </c>
      <c r="B162" s="26" t="inlineStr">
        <is>
          <t>Link10</t>
        </is>
      </c>
      <c r="C162" s="26" t="n">
        <v>3</v>
      </c>
      <c r="D162" s="26" t="inlineStr">
        <is>
          <t>Review éditoriale</t>
        </is>
      </c>
      <c r="E162" s="26" t="inlineStr">
        <is>
          <t>inf.news</t>
        </is>
      </c>
      <c r="F162" s="23" t="inlineStr">
        <is>
          <t>https://inf.news/en/digital/f4754a56ebfbac0251b1eb9b168579f7.html</t>
        </is>
      </c>
      <c r="G162" s="26" t="inlineStr">
        <is>
          <t>Oui</t>
        </is>
      </c>
      <c r="H162" s="26" t="inlineStr">
        <is>
          <t>Review / retour exploitable</t>
        </is>
      </c>
    </row>
    <row r="163">
      <c r="A163" s="26" t="inlineStr">
        <is>
          <t>FiiO</t>
        </is>
      </c>
      <c r="B163" s="26" t="inlineStr">
        <is>
          <t>JIEZI</t>
        </is>
      </c>
      <c r="C163" s="26" t="n">
        <v>1</v>
      </c>
      <c r="D163" s="26" t="inlineStr">
        <is>
          <t>Review éditoriale</t>
        </is>
      </c>
      <c r="E163" s="26" t="inlineStr">
        <is>
          <t>headfonics.com</t>
        </is>
      </c>
      <c r="F163" s="23" t="inlineStr">
        <is>
          <t>https://headfonics.com/fiio-jiezi-review/</t>
        </is>
      </c>
      <c r="G163" s="26" t="inlineStr">
        <is>
          <t>Oui</t>
        </is>
      </c>
      <c r="H163" s="26" t="inlineStr">
        <is>
          <t>Review / retour exploitable</t>
        </is>
      </c>
    </row>
    <row r="164">
      <c r="A164" s="26" t="inlineStr">
        <is>
          <t>FiiO</t>
        </is>
      </c>
      <c r="B164" s="26" t="inlineStr">
        <is>
          <t>JIEZI</t>
        </is>
      </c>
      <c r="C164" s="26" t="n">
        <v>2</v>
      </c>
      <c r="D164" s="26" t="inlineStr">
        <is>
          <t>Review éditoriale</t>
        </is>
      </c>
      <c r="E164" s="26" t="inlineStr">
        <is>
          <t>headfonia.com</t>
        </is>
      </c>
      <c r="F164" s="23" t="inlineStr">
        <is>
          <t>https://www.headfonia.com/fiio-jiezi-review/</t>
        </is>
      </c>
      <c r="G164" s="26" t="inlineStr">
        <is>
          <t>Oui</t>
        </is>
      </c>
      <c r="H164" s="26" t="inlineStr">
        <is>
          <t>Review / retour exploitable</t>
        </is>
      </c>
    </row>
    <row r="165">
      <c r="A165" s="26" t="inlineStr">
        <is>
          <t>FiiO</t>
        </is>
      </c>
      <c r="B165" s="26" t="inlineStr">
        <is>
          <t>JIEZI</t>
        </is>
      </c>
      <c r="C165" s="26" t="n">
        <v>3</v>
      </c>
      <c r="D165" s="26" t="inlineStr">
        <is>
          <t>Review éditoriale</t>
        </is>
      </c>
      <c r="E165" s="26" t="inlineStr">
        <is>
          <t>portativ.ua</t>
        </is>
      </c>
      <c r="F165" s="23" t="inlineStr">
        <is>
          <t>https://portativ.ua/blog/ogljad-cap-pidsiljuvacha-fiio-jiezi-vse-scho-potribno.html</t>
        </is>
      </c>
      <c r="G165" s="26" t="inlineStr">
        <is>
          <t>Oui</t>
        </is>
      </c>
      <c r="H165" s="26" t="inlineStr">
        <is>
          <t>Review / retour exploitable</t>
        </is>
      </c>
    </row>
    <row r="166">
      <c r="A166" s="26" t="inlineStr">
        <is>
          <t>FiiO</t>
        </is>
      </c>
      <c r="B166" s="26" t="inlineStr">
        <is>
          <t>JIEZI</t>
        </is>
      </c>
      <c r="C166" s="26" t="n">
        <v>4</v>
      </c>
      <c r="D166" s="26" t="inlineStr">
        <is>
          <t>Review éditoriale</t>
        </is>
      </c>
      <c r="E166" s="26" t="inlineStr">
        <is>
          <t>ixbt.com</t>
        </is>
      </c>
      <c r="F166" s="23" t="inlineStr">
        <is>
          <t>https://www.ixbt.com/live/digs/fiio-jade-audio-jiezi-obzor-mobilnogo-capa-usilitelya-dlya-naushnikov-nachalnogo-urovnya.html</t>
        </is>
      </c>
      <c r="G166" s="26" t="inlineStr">
        <is>
          <t>Oui</t>
        </is>
      </c>
      <c r="H166" s="26" t="inlineStr">
        <is>
          <t>Review / retour exploitable</t>
        </is>
      </c>
    </row>
    <row r="167">
      <c r="A167" s="26" t="inlineStr">
        <is>
          <t>FiiO</t>
        </is>
      </c>
      <c r="B167" s="26" t="inlineStr">
        <is>
          <t>SNOWSKY Melody</t>
        </is>
      </c>
      <c r="C167" s="26" t="n">
        <v>1</v>
      </c>
      <c r="D167" s="26" t="inlineStr">
        <is>
          <t>Review éditoriale</t>
        </is>
      </c>
      <c r="E167" s="26" t="inlineStr">
        <is>
          <t>headfonics.com</t>
        </is>
      </c>
      <c r="F167" s="23" t="inlineStr">
        <is>
          <t>https://headfonics.com/fiio-snowsky-melody-review/</t>
        </is>
      </c>
      <c r="G167" s="26" t="inlineStr">
        <is>
          <t>Oui</t>
        </is>
      </c>
      <c r="H167" s="26" t="inlineStr">
        <is>
          <t>Review / retour exploitable</t>
        </is>
      </c>
    </row>
    <row r="168">
      <c r="A168" s="26" t="inlineStr">
        <is>
          <t>FiiO</t>
        </is>
      </c>
      <c r="B168" s="26" t="inlineStr">
        <is>
          <t>SNOWSKY Melody</t>
        </is>
      </c>
      <c r="C168" s="26" t="n">
        <v>2</v>
      </c>
      <c r="D168" s="26" t="inlineStr">
        <is>
          <t>Review éditoriale</t>
        </is>
      </c>
      <c r="E168" s="26" t="inlineStr">
        <is>
          <t>primeaudio.org</t>
        </is>
      </c>
      <c r="F168" s="23" t="inlineStr">
        <is>
          <t>https://primeaudio.org/fiio-snowsky-melody-review/</t>
        </is>
      </c>
      <c r="G168" s="26" t="inlineStr">
        <is>
          <t>Oui</t>
        </is>
      </c>
      <c r="H168" s="26" t="inlineStr">
        <is>
          <t>Review / retour exploitable</t>
        </is>
      </c>
    </row>
    <row r="169">
      <c r="A169" s="26" t="inlineStr">
        <is>
          <t>FiiO</t>
        </is>
      </c>
      <c r="B169" s="26" t="inlineStr">
        <is>
          <t>SNOWSKY Melody</t>
        </is>
      </c>
      <c r="C169" s="26" t="n">
        <v>3</v>
      </c>
      <c r="D169" s="26" t="inlineStr">
        <is>
          <t>Review éditoriale</t>
        </is>
      </c>
      <c r="E169" s="26" t="inlineStr">
        <is>
          <t>headfonia.com</t>
        </is>
      </c>
      <c r="F169" s="23" t="inlineStr">
        <is>
          <t>https://www.headfonia.com/fiio-snowksy-melody-review/</t>
        </is>
      </c>
      <c r="G169" s="26" t="inlineStr">
        <is>
          <t>Oui</t>
        </is>
      </c>
      <c r="H169" s="26" t="inlineStr">
        <is>
          <t>Review / retour exploitable</t>
        </is>
      </c>
    </row>
    <row r="170">
      <c r="A170" s="26" t="inlineStr">
        <is>
          <t>FiiO</t>
        </is>
      </c>
      <c r="B170" s="26" t="inlineStr">
        <is>
          <t>SNOWSKY Melody</t>
        </is>
      </c>
      <c r="C170" s="26" t="n">
        <v>4</v>
      </c>
      <c r="D170" s="26" t="inlineStr">
        <is>
          <t>Review éditoriale</t>
        </is>
      </c>
      <c r="E170" s="26" t="inlineStr">
        <is>
          <t>moonstarreviews.net</t>
        </is>
      </c>
      <c r="F170" s="23" t="inlineStr">
        <is>
          <t>https://moonstarreviews.net/fiio-snowsky-melody-review/</t>
        </is>
      </c>
      <c r="G170" s="26" t="inlineStr">
        <is>
          <t>Oui</t>
        </is>
      </c>
      <c r="H170" s="26" t="inlineStr">
        <is>
          <t>Review / retour exploitable</t>
        </is>
      </c>
    </row>
    <row r="171">
      <c r="A171" s="26" t="inlineStr">
        <is>
          <t>xDuoo</t>
        </is>
      </c>
      <c r="B171" s="26" t="inlineStr">
        <is>
          <t>XD05 Basic2</t>
        </is>
      </c>
      <c r="C171" s="26" t="n">
        <v>1</v>
      </c>
      <c r="D171" s="26" t="inlineStr">
        <is>
          <t>Review éditoriale</t>
        </is>
      </c>
      <c r="E171" s="26" t="inlineStr">
        <is>
          <t>headfonics.com</t>
        </is>
      </c>
      <c r="F171" s="23" t="inlineStr">
        <is>
          <t>https://headfonics.com/xduoo-xd05-basic2-review/</t>
        </is>
      </c>
      <c r="G171" s="26" t="inlineStr">
        <is>
          <t>Oui</t>
        </is>
      </c>
      <c r="H171" s="26" t="inlineStr">
        <is>
          <t>Review / retour exploitable</t>
        </is>
      </c>
    </row>
    <row r="172">
      <c r="A172" s="26" t="inlineStr">
        <is>
          <t>xDuoo</t>
        </is>
      </c>
      <c r="B172" s="26" t="inlineStr">
        <is>
          <t>XD05 Basic2</t>
        </is>
      </c>
      <c r="C172" s="26" t="n">
        <v>2</v>
      </c>
      <c r="D172" s="26" t="inlineStr">
        <is>
          <t>Review éditoriale</t>
        </is>
      </c>
      <c r="E172" s="26" t="inlineStr">
        <is>
          <t>primeaudio.org</t>
        </is>
      </c>
      <c r="F172" s="23" t="inlineStr">
        <is>
          <t>https://primeaudio.org/xduoo-xd05-basic2-review/</t>
        </is>
      </c>
      <c r="G172" s="26" t="inlineStr">
        <is>
          <t>Oui</t>
        </is>
      </c>
      <c r="H172" s="26" t="inlineStr">
        <is>
          <t>Review / retour exploitable</t>
        </is>
      </c>
    </row>
    <row r="173">
      <c r="A173" s="26" t="inlineStr">
        <is>
          <t>xDuoo</t>
        </is>
      </c>
      <c r="B173" s="26" t="inlineStr">
        <is>
          <t>XD05 Basic2</t>
        </is>
      </c>
      <c r="C173" s="26" t="n">
        <v>3</v>
      </c>
      <c r="D173" s="26" t="inlineStr">
        <is>
          <t>Review éditoriale</t>
        </is>
      </c>
      <c r="E173" s="26" t="inlineStr">
        <is>
          <t>headfonia.com</t>
        </is>
      </c>
      <c r="F173" s="23" t="inlineStr">
        <is>
          <t>https://www.headfonia.com/xduoo-xd05-basic2-review/</t>
        </is>
      </c>
      <c r="G173" s="26" t="inlineStr">
        <is>
          <t>Oui</t>
        </is>
      </c>
      <c r="H173" s="26" t="inlineStr">
        <is>
          <t>Review / retour exploitable</t>
        </is>
      </c>
    </row>
    <row r="174">
      <c r="A174" s="26" t="inlineStr">
        <is>
          <t>iBasso</t>
        </is>
      </c>
      <c r="B174" s="26" t="inlineStr">
        <is>
          <t>Nunchaku</t>
        </is>
      </c>
      <c r="C174" s="26" t="n">
        <v>1</v>
      </c>
      <c r="D174" s="26" t="inlineStr">
        <is>
          <t>Review éditoriale</t>
        </is>
      </c>
      <c r="E174" s="26" t="inlineStr">
        <is>
          <t>headfonics.com</t>
        </is>
      </c>
      <c r="F174" s="23" t="inlineStr">
        <is>
          <t>https://headfonics.com/ibasso-nunchaku-review/</t>
        </is>
      </c>
      <c r="G174" s="26" t="inlineStr">
        <is>
          <t>Oui</t>
        </is>
      </c>
      <c r="H174" s="26" t="inlineStr">
        <is>
          <t>Review / retour exploitable</t>
        </is>
      </c>
    </row>
    <row r="175">
      <c r="A175" s="26" t="inlineStr">
        <is>
          <t>iBasso</t>
        </is>
      </c>
      <c r="B175" s="26" t="inlineStr">
        <is>
          <t>Nunchaku</t>
        </is>
      </c>
      <c r="C175" s="26" t="n">
        <v>2</v>
      </c>
      <c r="D175" s="26" t="inlineStr">
        <is>
          <t>Head-Fi reviews</t>
        </is>
      </c>
      <c r="E175" s="26" t="inlineStr">
        <is>
          <t>head-fi.org</t>
        </is>
      </c>
      <c r="F175" s="23" t="inlineStr">
        <is>
          <t>https://www.head-fi.org/showcase/ibasso-nunchaku.27945/reviews</t>
        </is>
      </c>
      <c r="G175" s="26" t="inlineStr">
        <is>
          <t>Oui</t>
        </is>
      </c>
      <c r="H175" s="26" t="inlineStr">
        <is>
          <t>Review / retour exploitable</t>
        </is>
      </c>
    </row>
    <row r="176">
      <c r="A176" s="26" t="inlineStr">
        <is>
          <t>iBasso</t>
        </is>
      </c>
      <c r="B176" s="26" t="inlineStr">
        <is>
          <t>Nunchaku</t>
        </is>
      </c>
      <c r="C176" s="26" t="n">
        <v>3</v>
      </c>
      <c r="D176" s="26" t="inlineStr">
        <is>
          <t>Review éditoriale</t>
        </is>
      </c>
      <c r="E176" s="26" t="inlineStr">
        <is>
          <t>headfonia.com</t>
        </is>
      </c>
      <c r="F176" s="23" t="inlineStr">
        <is>
          <t>https://www.headfonia.com/ibasso-nunchaku-review/</t>
        </is>
      </c>
      <c r="G176" s="26" t="inlineStr">
        <is>
          <t>Oui</t>
        </is>
      </c>
      <c r="H176" s="26" t="inlineStr">
        <is>
          <t>Review / retour exploitable</t>
        </is>
      </c>
    </row>
    <row r="177">
      <c r="A177" s="26" t="inlineStr">
        <is>
          <t>iBasso</t>
        </is>
      </c>
      <c r="B177" s="26" t="inlineStr">
        <is>
          <t>Nunchaku</t>
        </is>
      </c>
      <c r="C177" s="26" t="n">
        <v>4</v>
      </c>
      <c r="D177" s="26" t="inlineStr">
        <is>
          <t>Review éditoriale</t>
        </is>
      </c>
      <c r="E177" s="26" t="inlineStr">
        <is>
          <t>moonstarreviews.net</t>
        </is>
      </c>
      <c r="F177" s="23" t="inlineStr">
        <is>
          <t>https://moonstarreviews.net/ibasso-nunchaku-review/</t>
        </is>
      </c>
      <c r="G177" s="26" t="inlineStr">
        <is>
          <t>Oui</t>
        </is>
      </c>
      <c r="H177" s="26" t="inlineStr">
        <is>
          <t>Review / retour exploitable</t>
        </is>
      </c>
    </row>
    <row r="178">
      <c r="A178" s="26" t="inlineStr">
        <is>
          <t>NiPO</t>
        </is>
      </c>
      <c r="B178" s="26" t="inlineStr">
        <is>
          <t>A100</t>
        </is>
      </c>
      <c r="C178" s="26" t="n">
        <v>1</v>
      </c>
      <c r="D178" s="26" t="inlineStr">
        <is>
          <t>Review éditoriale</t>
        </is>
      </c>
      <c r="E178" s="26" t="inlineStr">
        <is>
          <t>headfonics.com</t>
        </is>
      </c>
      <c r="F178" s="23" t="inlineStr">
        <is>
          <t>https://headfonics.com/nipo-a100-review/</t>
        </is>
      </c>
      <c r="G178" s="26" t="inlineStr">
        <is>
          <t>Oui</t>
        </is>
      </c>
      <c r="H178" s="26" t="inlineStr">
        <is>
          <t>Review / retour exploitable</t>
        </is>
      </c>
    </row>
    <row r="179">
      <c r="A179" s="26" t="inlineStr">
        <is>
          <t>NiPO</t>
        </is>
      </c>
      <c r="B179" s="26" t="inlineStr">
        <is>
          <t>A100</t>
        </is>
      </c>
      <c r="C179" s="26" t="n">
        <v>2</v>
      </c>
      <c r="D179" s="26" t="inlineStr">
        <is>
          <t>Review éditoriale</t>
        </is>
      </c>
      <c r="E179" s="26" t="inlineStr">
        <is>
          <t>twister6.com</t>
        </is>
      </c>
      <c r="F179" s="23" t="inlineStr">
        <is>
          <t>https://twister6.com/2025/08/08/nipo-a100/</t>
        </is>
      </c>
      <c r="G179" s="26" t="inlineStr">
        <is>
          <t>Oui</t>
        </is>
      </c>
      <c r="H179" s="26" t="inlineStr">
        <is>
          <t>Review / retour exploitable</t>
        </is>
      </c>
    </row>
    <row r="180">
      <c r="A180" s="26" t="inlineStr">
        <is>
          <t>NiPO</t>
        </is>
      </c>
      <c r="B180" s="26" t="inlineStr">
        <is>
          <t>A100</t>
        </is>
      </c>
      <c r="C180" s="26" t="n">
        <v>3</v>
      </c>
      <c r="D180" s="26" t="inlineStr">
        <is>
          <t>Review éditoriale</t>
        </is>
      </c>
      <c r="E180" s="26" t="inlineStr">
        <is>
          <t>trefle-lab.com</t>
        </is>
      </c>
      <c r="F180" s="23" t="inlineStr">
        <is>
          <t>https://trefle-lab.com/nipo-a100-review/</t>
        </is>
      </c>
      <c r="G180" s="26" t="inlineStr">
        <is>
          <t>Oui</t>
        </is>
      </c>
      <c r="H180" s="26" t="inlineStr">
        <is>
          <t>Review / retour exploitable</t>
        </is>
      </c>
    </row>
    <row r="181">
      <c r="A181" s="26" t="inlineStr">
        <is>
          <t>NiPO</t>
        </is>
      </c>
      <c r="B181" s="26" t="inlineStr">
        <is>
          <t>A100</t>
        </is>
      </c>
      <c r="C181" s="26" t="n">
        <v>4</v>
      </c>
      <c r="D181" s="26" t="inlineStr">
        <is>
          <t>Review éditoriale</t>
        </is>
      </c>
      <c r="E181" s="26" t="inlineStr">
        <is>
          <t>note.com</t>
        </is>
      </c>
      <c r="F181" s="23" t="inlineStr">
        <is>
          <t>https://note.com/ralphhinkley/n/n48e78452f0d8?hl=en</t>
        </is>
      </c>
      <c r="G181" s="26" t="inlineStr">
        <is>
          <t>Oui</t>
        </is>
      </c>
      <c r="H181" s="26" t="inlineStr">
        <is>
          <t>Review / retour exploitable</t>
        </is>
      </c>
    </row>
    <row r="182">
      <c r="A182" s="26" t="inlineStr">
        <is>
          <t>ddHiFi</t>
        </is>
      </c>
      <c r="B182" s="26" t="inlineStr">
        <is>
          <t>TC44Pro M3</t>
        </is>
      </c>
      <c r="C182" s="26" t="n">
        <v>1</v>
      </c>
      <c r="D182" s="26" t="inlineStr">
        <is>
          <t>Review éditoriale</t>
        </is>
      </c>
      <c r="E182" s="26" t="inlineStr">
        <is>
          <t>headfonics.com</t>
        </is>
      </c>
      <c r="F182" s="23" t="inlineStr">
        <is>
          <t>https://headfonics.com/ddhifi-tc44pro-m3-review/</t>
        </is>
      </c>
      <c r="G182" s="26" t="inlineStr">
        <is>
          <t>Oui</t>
        </is>
      </c>
      <c r="H182" s="26" t="inlineStr">
        <is>
          <t>Review / retour exploitable</t>
        </is>
      </c>
    </row>
    <row r="183">
      <c r="A183" s="26" t="inlineStr">
        <is>
          <t>ddHiFi</t>
        </is>
      </c>
      <c r="B183" s="26" t="inlineStr">
        <is>
          <t>TC44Pro M3</t>
        </is>
      </c>
      <c r="C183" s="26" t="n">
        <v>2</v>
      </c>
      <c r="D183" s="26" t="inlineStr">
        <is>
          <t>Head-Fi reviews</t>
        </is>
      </c>
      <c r="E183" s="26" t="inlineStr">
        <is>
          <t>head-fi.org</t>
        </is>
      </c>
      <c r="F183" s="23" t="inlineStr">
        <is>
          <t>https://www.head-fi.org/showcase/ddhifi-tc44pro-m3-mountain3-t-shaped-hi-res-dac-amp-dongle-adapter.28092/reviews</t>
        </is>
      </c>
      <c r="G183" s="26" t="inlineStr">
        <is>
          <t>Oui</t>
        </is>
      </c>
      <c r="H183" s="26" t="inlineStr">
        <is>
          <t>Review / retour exploitable</t>
        </is>
      </c>
    </row>
    <row r="184">
      <c r="A184" s="26" t="inlineStr">
        <is>
          <t>ddHiFi</t>
        </is>
      </c>
      <c r="B184" s="26" t="inlineStr">
        <is>
          <t>TC44Pro M3</t>
        </is>
      </c>
      <c r="C184" s="26" t="n">
        <v>3</v>
      </c>
      <c r="D184" s="26" t="inlineStr">
        <is>
          <t>Review éditoriale</t>
        </is>
      </c>
      <c r="E184" s="26" t="inlineStr">
        <is>
          <t>moonstarreviews.net</t>
        </is>
      </c>
      <c r="F184" s="23" t="inlineStr">
        <is>
          <t>https://moonstarreviews.net/ddhifi-tc44pro-m3-review/</t>
        </is>
      </c>
      <c r="G184" s="26" t="inlineStr">
        <is>
          <t>Oui</t>
        </is>
      </c>
      <c r="H184" s="26" t="inlineStr">
        <is>
          <t>Review / retour exploitable</t>
        </is>
      </c>
    </row>
    <row r="185">
      <c r="A185" s="26" t="inlineStr">
        <is>
          <t>ddHiFi</t>
        </is>
      </c>
      <c r="B185" s="26" t="inlineStr">
        <is>
          <t>TC44Pro M3</t>
        </is>
      </c>
      <c r="C185" s="26" t="n">
        <v>4</v>
      </c>
      <c r="D185" s="26" t="inlineStr">
        <is>
          <t>Review éditoriale</t>
        </is>
      </c>
      <c r="E185" s="26" t="inlineStr">
        <is>
          <t>audiophile-heaven.com</t>
        </is>
      </c>
      <c r="F185" s="23" t="inlineStr">
        <is>
          <t>https://www.audiophile-heaven.com/2025/09/ddhifi-tc44pro-m3-mountain3-review-t-shaped-dongle-dac-amp-with-an-engaging-signature.html</t>
        </is>
      </c>
      <c r="G185" s="26" t="inlineStr">
        <is>
          <t>Oui</t>
        </is>
      </c>
      <c r="H185" s="26" t="inlineStr">
        <is>
          <t>Review / retour exploitable</t>
        </is>
      </c>
    </row>
    <row r="186">
      <c r="A186" s="26" t="inlineStr">
        <is>
          <t>Cayin</t>
        </is>
      </c>
      <c r="B186" s="26" t="inlineStr">
        <is>
          <t>RU9</t>
        </is>
      </c>
      <c r="C186" s="26" t="n">
        <v>1</v>
      </c>
      <c r="D186" s="26" t="inlineStr">
        <is>
          <t>Review éditoriale</t>
        </is>
      </c>
      <c r="E186" s="26" t="inlineStr">
        <is>
          <t>headfonics.com</t>
        </is>
      </c>
      <c r="F186" s="23" t="inlineStr">
        <is>
          <t>https://headfonics.com/cayin-ru9-review/</t>
        </is>
      </c>
      <c r="G186" s="26" t="inlineStr">
        <is>
          <t>Oui</t>
        </is>
      </c>
      <c r="H186" s="26" t="inlineStr">
        <is>
          <t>Review / retour exploitable</t>
        </is>
      </c>
    </row>
    <row r="187">
      <c r="A187" s="26" t="inlineStr">
        <is>
          <t>Cayin</t>
        </is>
      </c>
      <c r="B187" s="26" t="inlineStr">
        <is>
          <t>RU9</t>
        </is>
      </c>
      <c r="C187" s="26" t="n">
        <v>2</v>
      </c>
      <c r="D187" s="26" t="inlineStr">
        <is>
          <t>Review éditoriale</t>
        </is>
      </c>
      <c r="E187" s="26" t="inlineStr">
        <is>
          <t>headfonia.com</t>
        </is>
      </c>
      <c r="F187" s="23" t="inlineStr">
        <is>
          <t>https://www.headfonia.com/cayin-ru9-review/</t>
        </is>
      </c>
      <c r="G187" s="26" t="inlineStr">
        <is>
          <t>Oui</t>
        </is>
      </c>
      <c r="H187" s="26" t="inlineStr">
        <is>
          <t>Review / retour exploitable</t>
        </is>
      </c>
    </row>
    <row r="188">
      <c r="A188" s="26" t="inlineStr">
        <is>
          <t>Cayin</t>
        </is>
      </c>
      <c r="B188" s="26" t="inlineStr">
        <is>
          <t>RU9</t>
        </is>
      </c>
      <c r="C188" s="26" t="n">
        <v>3</v>
      </c>
      <c r="D188" s="26" t="inlineStr">
        <is>
          <t>Review éditoriale</t>
        </is>
      </c>
      <c r="E188" s="26" t="inlineStr">
        <is>
          <t>ecoustics.com</t>
        </is>
      </c>
      <c r="F188" s="23" t="inlineStr">
        <is>
          <t>https://www.ecoustics.com/reviews/cayin-ru9/</t>
        </is>
      </c>
      <c r="G188" s="26" t="inlineStr">
        <is>
          <t>Oui</t>
        </is>
      </c>
      <c r="H188" s="26" t="inlineStr">
        <is>
          <t>Review / retour exploitable</t>
        </is>
      </c>
    </row>
    <row r="189">
      <c r="A189" s="26" t="inlineStr">
        <is>
          <t>Cayin</t>
        </is>
      </c>
      <c r="B189" s="26" t="inlineStr">
        <is>
          <t>RU9</t>
        </is>
      </c>
      <c r="C189" s="26" t="n">
        <v>4</v>
      </c>
      <c r="D189" s="26" t="inlineStr">
        <is>
          <t>Review éditoriale</t>
        </is>
      </c>
      <c r="E189" s="26" t="inlineStr">
        <is>
          <t>kropka.audio</t>
        </is>
      </c>
      <c r="F189" s="23" t="inlineStr">
        <is>
          <t>https://kropka.audio/test/wzmacniacze/cayin-ru9-review/</t>
        </is>
      </c>
      <c r="G189" s="26" t="inlineStr">
        <is>
          <t>Oui</t>
        </is>
      </c>
      <c r="H189" s="26" t="inlineStr">
        <is>
          <t>Review / retour exploitable</t>
        </is>
      </c>
    </row>
    <row r="190">
      <c r="A190" s="26" t="inlineStr">
        <is>
          <t>Shanling</t>
        </is>
      </c>
      <c r="B190" s="26" t="inlineStr">
        <is>
          <t>UP6</t>
        </is>
      </c>
      <c r="C190" s="26" t="n">
        <v>1</v>
      </c>
      <c r="D190" s="26" t="inlineStr">
        <is>
          <t>Review éditoriale</t>
        </is>
      </c>
      <c r="E190" s="26" t="inlineStr">
        <is>
          <t>headfonics.com</t>
        </is>
      </c>
      <c r="F190" s="23" t="inlineStr">
        <is>
          <t>https://headfonics.com/shanling-up6-review/</t>
        </is>
      </c>
      <c r="G190" s="26" t="inlineStr">
        <is>
          <t>Oui</t>
        </is>
      </c>
      <c r="H190" s="26" t="inlineStr">
        <is>
          <t>Review / retour exploitable</t>
        </is>
      </c>
    </row>
    <row r="191">
      <c r="A191" s="26" t="inlineStr">
        <is>
          <t>Shanling</t>
        </is>
      </c>
      <c r="B191" s="26" t="inlineStr">
        <is>
          <t>UP6</t>
        </is>
      </c>
      <c r="C191" s="26" t="n">
        <v>2</v>
      </c>
      <c r="D191" s="26" t="inlineStr">
        <is>
          <t>Head-Fi reviews</t>
        </is>
      </c>
      <c r="E191" s="26" t="inlineStr">
        <is>
          <t>head-fi.org</t>
        </is>
      </c>
      <c r="F191" s="23" t="inlineStr">
        <is>
          <t>https://www.head-fi.org/showcase/shanling-up6.28161/reviews</t>
        </is>
      </c>
      <c r="G191" s="26" t="inlineStr">
        <is>
          <t>Oui</t>
        </is>
      </c>
      <c r="H191" s="26" t="inlineStr">
        <is>
          <t>Review / retour exploitable</t>
        </is>
      </c>
    </row>
    <row r="192">
      <c r="A192" s="26" t="inlineStr">
        <is>
          <t>Shanling</t>
        </is>
      </c>
      <c r="B192" s="26" t="inlineStr">
        <is>
          <t>UP6</t>
        </is>
      </c>
      <c r="C192" s="26" t="n">
        <v>3</v>
      </c>
      <c r="D192" s="26" t="inlineStr">
        <is>
          <t>Review éditoriale</t>
        </is>
      </c>
      <c r="E192" s="26" t="inlineStr">
        <is>
          <t>headfonia.com</t>
        </is>
      </c>
      <c r="F192" s="23" t="inlineStr">
        <is>
          <t>https://www.headfonia.com/shanling-up6-review/</t>
        </is>
      </c>
      <c r="G192" s="26" t="inlineStr">
        <is>
          <t>Oui</t>
        </is>
      </c>
      <c r="H192" s="26" t="inlineStr">
        <is>
          <t>Review / retour exploitable</t>
        </is>
      </c>
    </row>
    <row r="193">
      <c r="A193" s="26" t="inlineStr">
        <is>
          <t>Shanling</t>
        </is>
      </c>
      <c r="B193" s="26" t="inlineStr">
        <is>
          <t>UP6</t>
        </is>
      </c>
      <c r="C193" s="26" t="n">
        <v>4</v>
      </c>
      <c r="D193" s="26" t="inlineStr">
        <is>
          <t>Review éditoriale</t>
        </is>
      </c>
      <c r="E193" s="26" t="inlineStr">
        <is>
          <t>hifioasis.com</t>
        </is>
      </c>
      <c r="F193" s="23" t="inlineStr">
        <is>
          <t>https://www.hifioasis.com/reviews/shanling-up6-review/</t>
        </is>
      </c>
      <c r="G193" s="26" t="inlineStr">
        <is>
          <t>Oui</t>
        </is>
      </c>
      <c r="H193" s="26" t="inlineStr">
        <is>
          <t>Review / retour exploitable</t>
        </is>
      </c>
    </row>
    <row r="194">
      <c r="A194" s="26" t="inlineStr">
        <is>
          <t>Questyle</t>
        </is>
      </c>
      <c r="B194" s="26" t="inlineStr">
        <is>
          <t>M18i</t>
        </is>
      </c>
      <c r="C194" s="26" t="n">
        <v>1</v>
      </c>
      <c r="D194" s="26" t="inlineStr">
        <is>
          <t>Review éditoriale</t>
        </is>
      </c>
      <c r="E194" s="26" t="inlineStr">
        <is>
          <t>headfonics.com</t>
        </is>
      </c>
      <c r="F194" s="23" t="inlineStr">
        <is>
          <t>https://headfonics.com/questyle-m18i-review/</t>
        </is>
      </c>
      <c r="G194" s="26" t="inlineStr">
        <is>
          <t>Oui</t>
        </is>
      </c>
      <c r="H194" s="26" t="inlineStr">
        <is>
          <t>Review / retour exploitable</t>
        </is>
      </c>
    </row>
    <row r="195">
      <c r="A195" s="26" t="inlineStr">
        <is>
          <t>Questyle</t>
        </is>
      </c>
      <c r="B195" s="26" t="inlineStr">
        <is>
          <t>M18i</t>
        </is>
      </c>
      <c r="C195" s="26" t="n">
        <v>2</v>
      </c>
      <c r="D195" s="26" t="inlineStr">
        <is>
          <t>Review éditoriale</t>
        </is>
      </c>
      <c r="E195" s="26" t="inlineStr">
        <is>
          <t>headfonia.com</t>
        </is>
      </c>
      <c r="F195" s="23" t="inlineStr">
        <is>
          <t>https://www.headfonia.com/questyle-m18i-review/</t>
        </is>
      </c>
      <c r="G195" s="26" t="inlineStr">
        <is>
          <t>Oui</t>
        </is>
      </c>
      <c r="H195" s="26" t="inlineStr">
        <is>
          <t>Review / retour exploitable</t>
        </is>
      </c>
    </row>
    <row r="196">
      <c r="A196" s="26" t="inlineStr">
        <is>
          <t>Questyle</t>
        </is>
      </c>
      <c r="B196" s="26" t="inlineStr">
        <is>
          <t>M18i</t>
        </is>
      </c>
      <c r="C196" s="26" t="n">
        <v>3</v>
      </c>
      <c r="D196" s="26" t="inlineStr">
        <is>
          <t>Review éditoriale</t>
        </is>
      </c>
      <c r="E196" s="26" t="inlineStr">
        <is>
          <t>ecoustics.com</t>
        </is>
      </c>
      <c r="F196" s="23" t="inlineStr">
        <is>
          <t>https://www.ecoustics.com/reviews/questyle-m18i/</t>
        </is>
      </c>
      <c r="G196" s="26" t="inlineStr">
        <is>
          <t>Oui</t>
        </is>
      </c>
      <c r="H196" s="26" t="inlineStr">
        <is>
          <t>Review / retour exploitable</t>
        </is>
      </c>
    </row>
    <row r="197">
      <c r="A197" s="26" t="inlineStr">
        <is>
          <t>Questyle</t>
        </is>
      </c>
      <c r="B197" s="26" t="inlineStr">
        <is>
          <t>M18i</t>
        </is>
      </c>
      <c r="C197" s="26" t="n">
        <v>4</v>
      </c>
      <c r="D197" s="26" t="inlineStr">
        <is>
          <t>Review éditoriale</t>
        </is>
      </c>
      <c r="E197" s="26" t="inlineStr">
        <is>
          <t>androidcentral.com</t>
        </is>
      </c>
      <c r="F197" s="23" t="inlineStr">
        <is>
          <t>https://www.androidcentral.com/accessories/audio/review-questyle-m18i</t>
        </is>
      </c>
      <c r="G197" s="26" t="inlineStr">
        <is>
          <t>Oui</t>
        </is>
      </c>
      <c r="H197" s="26" t="inlineStr">
        <is>
          <t>Review / retour exploitable</t>
        </is>
      </c>
    </row>
    <row r="198">
      <c r="A198" s="26" t="inlineStr">
        <is>
          <t>FiiO</t>
        </is>
      </c>
      <c r="B198" s="26" t="inlineStr">
        <is>
          <t>RR11</t>
        </is>
      </c>
      <c r="C198" s="26" t="n">
        <v>1</v>
      </c>
      <c r="D198" s="26" t="inlineStr">
        <is>
          <t>Review éditoriale</t>
        </is>
      </c>
      <c r="E198" s="26" t="inlineStr">
        <is>
          <t>headfonics.com</t>
        </is>
      </c>
      <c r="F198" s="23" t="inlineStr">
        <is>
          <t>https://headfonics.com/fiio-rr11-review/</t>
        </is>
      </c>
      <c r="G198" s="26" t="inlineStr">
        <is>
          <t>Oui</t>
        </is>
      </c>
      <c r="H198" s="26" t="inlineStr">
        <is>
          <t>Review / retour exploitable</t>
        </is>
      </c>
    </row>
    <row r="199">
      <c r="A199" s="26" t="inlineStr">
        <is>
          <t>FiiO</t>
        </is>
      </c>
      <c r="B199" s="26" t="inlineStr">
        <is>
          <t>RR11</t>
        </is>
      </c>
      <c r="C199" s="26" t="n">
        <v>2</v>
      </c>
      <c r="D199" s="26" t="inlineStr">
        <is>
          <t>Head-Fi reviews</t>
        </is>
      </c>
      <c r="E199" s="26" t="inlineStr">
        <is>
          <t>head-fi.org</t>
        </is>
      </c>
      <c r="F199" s="23" t="inlineStr">
        <is>
          <t>https://www.head-fi.org/showcase/fiio-rr11.28083/reviews</t>
        </is>
      </c>
      <c r="G199" s="26" t="inlineStr">
        <is>
          <t>Oui</t>
        </is>
      </c>
      <c r="H199" s="26" t="inlineStr">
        <is>
          <t>Review / retour exploitable</t>
        </is>
      </c>
    </row>
    <row r="200">
      <c r="A200" s="26" t="inlineStr">
        <is>
          <t>FiiO</t>
        </is>
      </c>
      <c r="B200" s="26" t="inlineStr">
        <is>
          <t>RR11</t>
        </is>
      </c>
      <c r="C200" s="26" t="n">
        <v>3</v>
      </c>
      <c r="D200" s="26" t="inlineStr">
        <is>
          <t>Review éditoriale</t>
        </is>
      </c>
      <c r="E200" s="26" t="inlineStr">
        <is>
          <t>headfonia.com</t>
        </is>
      </c>
      <c r="F200" s="23" t="inlineStr">
        <is>
          <t>https://www.headfonia.com/fiio-rr11-review/</t>
        </is>
      </c>
      <c r="G200" s="26" t="inlineStr">
        <is>
          <t>Oui</t>
        </is>
      </c>
      <c r="H200" s="26" t="inlineStr">
        <is>
          <t>Review / retour exploitable</t>
        </is>
      </c>
    </row>
    <row r="201">
      <c r="A201" s="26" t="inlineStr">
        <is>
          <t>FiiO</t>
        </is>
      </c>
      <c r="B201" s="26" t="inlineStr">
        <is>
          <t>RR11</t>
        </is>
      </c>
      <c r="C201" s="26" t="n">
        <v>4</v>
      </c>
      <c r="D201" s="26" t="inlineStr">
        <is>
          <t>Review éditoriale</t>
        </is>
      </c>
      <c r="E201" s="26" t="inlineStr">
        <is>
          <t>moonstarreviews.net</t>
        </is>
      </c>
      <c r="F201" s="23" t="inlineStr">
        <is>
          <t>https://moonstarreviews.net/fiio-rr11-review/</t>
        </is>
      </c>
      <c r="G201" s="26" t="inlineStr">
        <is>
          <t>Oui</t>
        </is>
      </c>
      <c r="H201" s="26" t="inlineStr">
        <is>
          <t>Review / retour exploitable</t>
        </is>
      </c>
    </row>
    <row r="202">
      <c r="A202" s="26" t="inlineStr">
        <is>
          <t>EarMen</t>
        </is>
      </c>
      <c r="B202" s="26" t="inlineStr">
        <is>
          <t>L-Amp</t>
        </is>
      </c>
      <c r="C202" s="26" t="n">
        <v>1</v>
      </c>
      <c r="D202" s="26" t="inlineStr">
        <is>
          <t>Review éditoriale</t>
        </is>
      </c>
      <c r="E202" s="26" t="inlineStr">
        <is>
          <t>headfonics.com</t>
        </is>
      </c>
      <c r="F202" s="23" t="inlineStr">
        <is>
          <t>https://headfonics.com/earmen-l-amp-review/</t>
        </is>
      </c>
      <c r="G202" s="26" t="inlineStr">
        <is>
          <t>Oui</t>
        </is>
      </c>
      <c r="H202" s="26" t="inlineStr">
        <is>
          <t>Review / retour exploitable</t>
        </is>
      </c>
    </row>
    <row r="203">
      <c r="A203" s="26" t="inlineStr">
        <is>
          <t>EarMen</t>
        </is>
      </c>
      <c r="B203" s="26" t="inlineStr">
        <is>
          <t>L-Amp</t>
        </is>
      </c>
      <c r="C203" s="26" t="n">
        <v>2</v>
      </c>
      <c r="D203" s="26" t="inlineStr">
        <is>
          <t>Head-Fi forum</t>
        </is>
      </c>
      <c r="E203" s="26" t="inlineStr">
        <is>
          <t>head-fi.org</t>
        </is>
      </c>
      <c r="F203" s="23" t="inlineStr">
        <is>
          <t>https://www.head-fi.org/threads/earmen-l-amp-review.976122/</t>
        </is>
      </c>
      <c r="G203" s="26" t="inlineStr">
        <is>
          <t>Oui</t>
        </is>
      </c>
      <c r="H203" s="26" t="inlineStr">
        <is>
          <t>Review / retour exploitable</t>
        </is>
      </c>
    </row>
    <row r="204">
      <c r="A204" s="26" t="inlineStr">
        <is>
          <t>EarMen</t>
        </is>
      </c>
      <c r="B204" s="26" t="inlineStr">
        <is>
          <t>L-Amp</t>
        </is>
      </c>
      <c r="C204" s="26" t="n">
        <v>3</v>
      </c>
      <c r="D204" s="26" t="inlineStr">
        <is>
          <t>Review éditoriale</t>
        </is>
      </c>
      <c r="E204" s="26" t="inlineStr">
        <is>
          <t>headfonia.com</t>
        </is>
      </c>
      <c r="F204" s="23" t="inlineStr">
        <is>
          <t>https://www.headfonia.com/earmen-l-amp-review/</t>
        </is>
      </c>
      <c r="G204" s="26" t="inlineStr">
        <is>
          <t>Oui</t>
        </is>
      </c>
      <c r="H204" s="26" t="inlineStr">
        <is>
          <t>Review / retour exploitable</t>
        </is>
      </c>
    </row>
    <row r="205">
      <c r="A205" s="26" t="inlineStr">
        <is>
          <t>FiiO</t>
        </is>
      </c>
      <c r="B205" s="26" t="inlineStr">
        <is>
          <t>SNOWSKY RETRO NANO</t>
        </is>
      </c>
      <c r="C205" s="26" t="n">
        <v>1</v>
      </c>
      <c r="D205" s="26" t="inlineStr">
        <is>
          <t>Review éditoriale</t>
        </is>
      </c>
      <c r="E205" s="26" t="inlineStr">
        <is>
          <t>headfonics.com</t>
        </is>
      </c>
      <c r="F205" s="23" t="inlineStr">
        <is>
          <t>https://headfonics.com/fiio-snowsky-retro-nano-review/</t>
        </is>
      </c>
      <c r="G205" s="26" t="inlineStr">
        <is>
          <t>Oui</t>
        </is>
      </c>
      <c r="H205" s="26" t="inlineStr">
        <is>
          <t>Review / retour exploitable</t>
        </is>
      </c>
    </row>
    <row r="206">
      <c r="A206" s="26" t="inlineStr">
        <is>
          <t>FiiO</t>
        </is>
      </c>
      <c r="B206" s="26" t="inlineStr">
        <is>
          <t>SNOWSKY RETRO NANO</t>
        </is>
      </c>
      <c r="C206" s="26" t="n">
        <v>2</v>
      </c>
      <c r="D206" s="26" t="inlineStr">
        <is>
          <t>Head-Fi reviews</t>
        </is>
      </c>
      <c r="E206" s="26" t="inlineStr">
        <is>
          <t>head-fi.org</t>
        </is>
      </c>
      <c r="F206" s="23" t="inlineStr">
        <is>
          <t>https://www.head-fi.org/showcase/snowsky-retro-nano.27828/reviews</t>
        </is>
      </c>
      <c r="G206" s="26" t="inlineStr">
        <is>
          <t>Oui</t>
        </is>
      </c>
      <c r="H206" s="26" t="inlineStr">
        <is>
          <t>Review / retour exploitable</t>
        </is>
      </c>
    </row>
    <row r="207">
      <c r="A207" s="26" t="inlineStr">
        <is>
          <t>FiiO</t>
        </is>
      </c>
      <c r="B207" s="26" t="inlineStr">
        <is>
          <t>SNOWSKY RETRO NANO</t>
        </is>
      </c>
      <c r="C207" s="26" t="n">
        <v>3</v>
      </c>
      <c r="D207" s="26" t="inlineStr">
        <is>
          <t>Review éditoriale</t>
        </is>
      </c>
      <c r="E207" s="26" t="inlineStr">
        <is>
          <t>hifioasis.com</t>
        </is>
      </c>
      <c r="F207" s="23" t="inlineStr">
        <is>
          <t>https://www.hifioasis.com/reviews/snowsky-retro-nano-review/</t>
        </is>
      </c>
      <c r="G207" s="26" t="inlineStr">
        <is>
          <t>Oui</t>
        </is>
      </c>
      <c r="H207" s="26" t="inlineStr">
        <is>
          <t>Review / retour exploitable</t>
        </is>
      </c>
    </row>
    <row r="208">
      <c r="A208" s="26" t="inlineStr">
        <is>
          <t>FiiO</t>
        </is>
      </c>
      <c r="B208" s="26" t="inlineStr">
        <is>
          <t>SNOWSKY RETRO NANO</t>
        </is>
      </c>
      <c r="C208" s="26" t="n">
        <v>4</v>
      </c>
      <c r="D208" s="26" t="inlineStr">
        <is>
          <t>Review éditoriale</t>
        </is>
      </c>
      <c r="E208" s="26" t="inlineStr">
        <is>
          <t>audio46.com</t>
        </is>
      </c>
      <c r="F208" s="23" t="inlineStr">
        <is>
          <t>https://audio46.com/blogs/headphones/fiio-snowsky-retro-nano-bluetooth-dac-amp-review</t>
        </is>
      </c>
      <c r="G208" s="26" t="inlineStr">
        <is>
          <t>Oui</t>
        </is>
      </c>
      <c r="H208" s="26" t="inlineStr">
        <is>
          <t>Review / retour exploitable</t>
        </is>
      </c>
    </row>
    <row r="209">
      <c r="A209" s="26" t="inlineStr">
        <is>
          <t>Cayin</t>
        </is>
      </c>
      <c r="B209" s="26" t="inlineStr">
        <is>
          <t>C9ii</t>
        </is>
      </c>
      <c r="C209" s="26" t="n">
        <v>1</v>
      </c>
      <c r="D209" s="26" t="inlineStr">
        <is>
          <t>Review éditoriale</t>
        </is>
      </c>
      <c r="E209" s="26" t="inlineStr">
        <is>
          <t>headfonics.com</t>
        </is>
      </c>
      <c r="F209" s="23" t="inlineStr">
        <is>
          <t>https://headfonics.com/cayin-c9ii-review/</t>
        </is>
      </c>
      <c r="G209" s="26" t="inlineStr">
        <is>
          <t>Oui</t>
        </is>
      </c>
      <c r="H209" s="26" t="inlineStr">
        <is>
          <t>Review / retour exploitable</t>
        </is>
      </c>
    </row>
    <row r="210">
      <c r="A210" s="26" t="inlineStr">
        <is>
          <t>Cayin</t>
        </is>
      </c>
      <c r="B210" s="26" t="inlineStr">
        <is>
          <t>C9ii</t>
        </is>
      </c>
      <c r="C210" s="26" t="n">
        <v>2</v>
      </c>
      <c r="D210" s="26" t="inlineStr">
        <is>
          <t>Review éditoriale</t>
        </is>
      </c>
      <c r="E210" s="26" t="inlineStr">
        <is>
          <t>headfonia.com</t>
        </is>
      </c>
      <c r="F210" s="23" t="inlineStr">
        <is>
          <t>https://www.headfonia.com/cayin-c9ii-review/</t>
        </is>
      </c>
      <c r="G210" s="26" t="inlineStr">
        <is>
          <t>Oui</t>
        </is>
      </c>
      <c r="H210" s="26" t="inlineStr">
        <is>
          <t>Review / retour exploitable</t>
        </is>
      </c>
    </row>
    <row r="211">
      <c r="A211" s="26" t="inlineStr">
        <is>
          <t>Cayin</t>
        </is>
      </c>
      <c r="B211" s="26" t="inlineStr">
        <is>
          <t>C9ii</t>
        </is>
      </c>
      <c r="C211" s="26" t="n">
        <v>3</v>
      </c>
      <c r="D211" s="26" t="inlineStr">
        <is>
          <t>Head-Fi forum</t>
        </is>
      </c>
      <c r="E211" s="26" t="inlineStr">
        <is>
          <t>head-fi.org</t>
        </is>
      </c>
      <c r="F211" s="23" t="inlineStr">
        <is>
          <t>https://www.head-fi.org/threads/cayin-c9ii-dual-nutube-prtable-headphone-amplifier-gen5-3x-timbre-anode-nfb-pre-line.973711/</t>
        </is>
      </c>
      <c r="G211" s="26" t="inlineStr">
        <is>
          <t>Oui</t>
        </is>
      </c>
      <c r="H211" s="26" t="inlineStr">
        <is>
          <t>Review / retour exploitable</t>
        </is>
      </c>
    </row>
    <row r="212">
      <c r="A212" s="26" t="inlineStr">
        <is>
          <t>ddHiFi</t>
        </is>
      </c>
      <c r="B212" s="26" t="inlineStr">
        <is>
          <t>TC35M2</t>
        </is>
      </c>
      <c r="C212" s="26" t="n">
        <v>1</v>
      </c>
      <c r="D212" s="26" t="inlineStr">
        <is>
          <t>Review éditoriale</t>
        </is>
      </c>
      <c r="E212" s="26" t="inlineStr">
        <is>
          <t>headfonics.com</t>
        </is>
      </c>
      <c r="F212" s="23" t="inlineStr">
        <is>
          <t>https://headfonics.com/ddhifi-tc35m2-review/</t>
        </is>
      </c>
      <c r="G212" s="26" t="inlineStr">
        <is>
          <t>Oui</t>
        </is>
      </c>
      <c r="H212" s="26" t="inlineStr">
        <is>
          <t>Review / retour exploitable</t>
        </is>
      </c>
    </row>
    <row r="213">
      <c r="A213" s="26" t="inlineStr">
        <is>
          <t>ddHiFi</t>
        </is>
      </c>
      <c r="B213" s="26" t="inlineStr">
        <is>
          <t>TC35M2</t>
        </is>
      </c>
      <c r="C213" s="26" t="n">
        <v>2</v>
      </c>
      <c r="D213" s="26" t="inlineStr">
        <is>
          <t>Head-Fi reviews</t>
        </is>
      </c>
      <c r="E213" s="26" t="inlineStr">
        <is>
          <t>head-fi.org</t>
        </is>
      </c>
      <c r="F213" s="23" t="inlineStr">
        <is>
          <t>https://www.head-fi.org/showcase/ddhifi-tc35m2.27896/reviews</t>
        </is>
      </c>
      <c r="G213" s="26" t="inlineStr">
        <is>
          <t>Oui</t>
        </is>
      </c>
      <c r="H213" s="26" t="inlineStr">
        <is>
          <t>Review / retour exploitable</t>
        </is>
      </c>
    </row>
    <row r="214">
      <c r="A214" s="26" t="inlineStr">
        <is>
          <t>ddHiFi</t>
        </is>
      </c>
      <c r="B214" s="26" t="inlineStr">
        <is>
          <t>TC35M2</t>
        </is>
      </c>
      <c r="C214" s="26" t="n">
        <v>3</v>
      </c>
      <c r="D214" s="26" t="inlineStr">
        <is>
          <t>Review éditoriale</t>
        </is>
      </c>
      <c r="E214" s="26" t="inlineStr">
        <is>
          <t>audioreviews.org</t>
        </is>
      </c>
      <c r="F214" s="23" t="inlineStr">
        <is>
          <t>https://www.audioreviews.org/ddhifi-tc35cm2-review/</t>
        </is>
      </c>
      <c r="G214" s="26" t="inlineStr">
        <is>
          <t>Oui</t>
        </is>
      </c>
      <c r="H214" s="26" t="inlineStr">
        <is>
          <t>Review / retour exploitable</t>
        </is>
      </c>
    </row>
    <row r="215">
      <c r="A215" s="26" t="inlineStr">
        <is>
          <t>iFi audio</t>
        </is>
      </c>
      <c r="B215" s="26" t="inlineStr">
        <is>
          <t>GO link Max</t>
        </is>
      </c>
      <c r="C215" s="26" t="n">
        <v>1</v>
      </c>
      <c r="D215" s="26" t="inlineStr">
        <is>
          <t>Review éditoriale</t>
        </is>
      </c>
      <c r="E215" s="26" t="inlineStr">
        <is>
          <t>headfonics.com</t>
        </is>
      </c>
      <c r="F215" s="23" t="inlineStr">
        <is>
          <t>https://headfonics.com/ifi-audio-go-link-max-review/</t>
        </is>
      </c>
      <c r="G215" s="26" t="inlineStr">
        <is>
          <t>Oui</t>
        </is>
      </c>
      <c r="H215" s="26" t="inlineStr">
        <is>
          <t>Review / retour exploitable</t>
        </is>
      </c>
    </row>
    <row r="216">
      <c r="A216" s="26" t="inlineStr">
        <is>
          <t>iFi audio</t>
        </is>
      </c>
      <c r="B216" s="26" t="inlineStr">
        <is>
          <t>GO link Max</t>
        </is>
      </c>
      <c r="C216" s="26" t="n">
        <v>2</v>
      </c>
      <c r="D216" s="26" t="inlineStr">
        <is>
          <t>Head-Fi reviews</t>
        </is>
      </c>
      <c r="E216" s="26" t="inlineStr">
        <is>
          <t>head-fi.org</t>
        </is>
      </c>
      <c r="F216" s="23" t="inlineStr">
        <is>
          <t>https://www.head-fi.org/showcase/ifi-audio-go-link-max.27729/reviews</t>
        </is>
      </c>
      <c r="G216" s="26" t="inlineStr">
        <is>
          <t>Oui</t>
        </is>
      </c>
      <c r="H216" s="26" t="inlineStr">
        <is>
          <t>Review / retour exploitable</t>
        </is>
      </c>
    </row>
    <row r="217">
      <c r="A217" s="26" t="inlineStr">
        <is>
          <t>iFi audio</t>
        </is>
      </c>
      <c r="B217" s="26" t="inlineStr">
        <is>
          <t>GO link Max</t>
        </is>
      </c>
      <c r="C217" s="26" t="n">
        <v>3</v>
      </c>
      <c r="D217" s="26" t="inlineStr">
        <is>
          <t>Review éditoriale</t>
        </is>
      </c>
      <c r="E217" s="26" t="inlineStr">
        <is>
          <t>whathifi.com</t>
        </is>
      </c>
      <c r="F217" s="23" t="inlineStr">
        <is>
          <t>https://www.whathifi.com/reviews/ifi-go-link-max</t>
        </is>
      </c>
      <c r="G217" s="26" t="inlineStr">
        <is>
          <t>Oui</t>
        </is>
      </c>
      <c r="H217" s="26" t="inlineStr">
        <is>
          <t>Review / retour exploitable</t>
        </is>
      </c>
    </row>
    <row r="218">
      <c r="A218" s="26" t="inlineStr">
        <is>
          <t>iFi audio</t>
        </is>
      </c>
      <c r="B218" s="26" t="inlineStr">
        <is>
          <t>GO link Max</t>
        </is>
      </c>
      <c r="C218" s="26" t="n">
        <v>4</v>
      </c>
      <c r="D218" s="26" t="inlineStr">
        <is>
          <t>Review éditoriale</t>
        </is>
      </c>
      <c r="E218" s="26" t="inlineStr">
        <is>
          <t>primeaudio.org</t>
        </is>
      </c>
      <c r="F218" s="23" t="inlineStr">
        <is>
          <t>https://primeaudio.org/ifi-go-link-max-review/</t>
        </is>
      </c>
      <c r="G218" s="26" t="inlineStr">
        <is>
          <t>Oui</t>
        </is>
      </c>
      <c r="H218" s="26" t="inlineStr">
        <is>
          <t>Review / retour exploitable</t>
        </is>
      </c>
    </row>
    <row r="219">
      <c r="A219" s="26" t="inlineStr">
        <is>
          <t>Heartfield</t>
        </is>
      </c>
      <c r="B219" s="26" t="inlineStr">
        <is>
          <t>R1</t>
        </is>
      </c>
      <c r="C219" s="26" t="n">
        <v>1</v>
      </c>
      <c r="D219" s="26" t="inlineStr">
        <is>
          <t>Review éditoriale</t>
        </is>
      </c>
      <c r="E219" s="26" t="inlineStr">
        <is>
          <t>headfonics.com</t>
        </is>
      </c>
      <c r="F219" s="23" t="inlineStr">
        <is>
          <t>https://headfonics.com/heartfield-r1-review/</t>
        </is>
      </c>
      <c r="G219" s="26" t="inlineStr">
        <is>
          <t>Oui</t>
        </is>
      </c>
      <c r="H219" s="26" t="inlineStr">
        <is>
          <t>Review / retour exploitable</t>
        </is>
      </c>
    </row>
    <row r="220">
      <c r="A220" s="26" t="inlineStr">
        <is>
          <t>Heartfield</t>
        </is>
      </c>
      <c r="B220" s="26" t="inlineStr">
        <is>
          <t>R1</t>
        </is>
      </c>
      <c r="C220" s="26" t="n">
        <v>2</v>
      </c>
      <c r="D220" s="26" t="inlineStr">
        <is>
          <t>Head-Fi reviews</t>
        </is>
      </c>
      <c r="E220" s="26" t="inlineStr">
        <is>
          <t>head-fi.org</t>
        </is>
      </c>
      <c r="F220" s="23" t="inlineStr">
        <is>
          <t>https://www.head-fi.org/showcase/heartfield-r1.27610/</t>
        </is>
      </c>
      <c r="G220" s="26" t="inlineStr">
        <is>
          <t>Oui</t>
        </is>
      </c>
      <c r="H220" s="26" t="inlineStr">
        <is>
          <t>Review / retour exploitable</t>
        </is>
      </c>
    </row>
    <row r="221">
      <c r="A221" s="26" t="inlineStr">
        <is>
          <t>Heartfield</t>
        </is>
      </c>
      <c r="B221" s="26" t="inlineStr">
        <is>
          <t>R1</t>
        </is>
      </c>
      <c r="C221" s="26" t="n">
        <v>3</v>
      </c>
      <c r="D221" s="26" t="inlineStr">
        <is>
          <t>Fiche / republication constructeur</t>
        </is>
      </c>
      <c r="E221" s="26" t="inlineStr">
        <is>
          <t>linsoul.com</t>
        </is>
      </c>
      <c r="F221" s="23" t="inlineStr">
        <is>
          <t>https://www.linsoul.com/products/heartfield-r1</t>
        </is>
      </c>
      <c r="G221" s="95" t="inlineStr">
        <is>
          <t>Non</t>
        </is>
      </c>
      <c r="H221" s="26" t="inlineStr">
        <is>
          <t>Non comptée: fiche produit, constructeur, republication ou simple actualité</t>
        </is>
      </c>
    </row>
    <row r="222">
      <c r="A222" s="26" t="inlineStr">
        <is>
          <t>Heartfield</t>
        </is>
      </c>
      <c r="B222" s="26" t="inlineStr">
        <is>
          <t>R1</t>
        </is>
      </c>
      <c r="C222" s="26" t="n">
        <v>4</v>
      </c>
      <c r="D222" s="26" t="inlineStr">
        <is>
          <t>Review éditoriale</t>
        </is>
      </c>
      <c r="E222" s="26" t="inlineStr">
        <is>
          <t>audiophile-heaven.com</t>
        </is>
      </c>
      <c r="F222" s="23" t="inlineStr">
        <is>
          <t>https://www.audiophile-heaven.com/2024/10/heartfield-r1-r2r-hifi-portable-dac-amp-low-mass-music-class.html</t>
        </is>
      </c>
      <c r="G222" s="26" t="inlineStr">
        <is>
          <t>Oui</t>
        </is>
      </c>
      <c r="H222" s="26" t="inlineStr">
        <is>
          <t>Review / retour exploitable</t>
        </is>
      </c>
    </row>
    <row r="223">
      <c r="A223" s="26" t="inlineStr">
        <is>
          <t>iBasso</t>
        </is>
      </c>
      <c r="B223" s="26" t="inlineStr">
        <is>
          <t>PB5 Osprey</t>
        </is>
      </c>
      <c r="C223" s="26" t="n">
        <v>1</v>
      </c>
      <c r="D223" s="26" t="inlineStr">
        <is>
          <t>Review éditoriale</t>
        </is>
      </c>
      <c r="E223" s="26" t="inlineStr">
        <is>
          <t>headfonics.com</t>
        </is>
      </c>
      <c r="F223" s="23" t="inlineStr">
        <is>
          <t>https://headfonics.com/ibasso-pb5-osprey-review/</t>
        </is>
      </c>
      <c r="G223" s="26" t="inlineStr">
        <is>
          <t>Oui</t>
        </is>
      </c>
      <c r="H223" s="26" t="inlineStr">
        <is>
          <t>Review / retour exploitable</t>
        </is>
      </c>
    </row>
    <row r="224">
      <c r="A224" s="26" t="inlineStr">
        <is>
          <t>iBasso</t>
        </is>
      </c>
      <c r="B224" s="26" t="inlineStr">
        <is>
          <t>PB5 Osprey</t>
        </is>
      </c>
      <c r="C224" s="26" t="n">
        <v>2</v>
      </c>
      <c r="D224" s="26" t="inlineStr">
        <is>
          <t>Review éditoriale</t>
        </is>
      </c>
      <c r="E224" s="26" t="inlineStr">
        <is>
          <t>headfonia.com</t>
        </is>
      </c>
      <c r="F224" s="23" t="inlineStr">
        <is>
          <t>https://www.headfonia.com/ibasso-pb5-review/</t>
        </is>
      </c>
      <c r="G224" s="26" t="inlineStr">
        <is>
          <t>Oui</t>
        </is>
      </c>
      <c r="H224" s="26" t="inlineStr">
        <is>
          <t>Review / retour exploitable</t>
        </is>
      </c>
    </row>
    <row r="225">
      <c r="A225" s="26" t="inlineStr">
        <is>
          <t>iBasso</t>
        </is>
      </c>
      <c r="B225" s="26" t="inlineStr">
        <is>
          <t>PB5 Osprey</t>
        </is>
      </c>
      <c r="C225" s="26" t="n">
        <v>3</v>
      </c>
      <c r="D225" s="26" t="inlineStr">
        <is>
          <t>Review éditoriale</t>
        </is>
      </c>
      <c r="E225" s="26" t="inlineStr">
        <is>
          <t>audiodiscourse.com</t>
        </is>
      </c>
      <c r="F225" s="23" t="inlineStr">
        <is>
          <t>https://www.audiodiscourse.com/2024/04/ibasso-pb5-osprey-nutube-portable.html</t>
        </is>
      </c>
      <c r="G225" s="26" t="inlineStr">
        <is>
          <t>Oui</t>
        </is>
      </c>
      <c r="H225" s="26" t="inlineStr">
        <is>
          <t>Review / retour exploitable</t>
        </is>
      </c>
    </row>
    <row r="226">
      <c r="A226" s="26" t="inlineStr">
        <is>
          <t>iBasso</t>
        </is>
      </c>
      <c r="B226" s="26" t="inlineStr">
        <is>
          <t>PB5 Osprey</t>
        </is>
      </c>
      <c r="C226" s="26" t="n">
        <v>4</v>
      </c>
      <c r="D226" s="26" t="inlineStr">
        <is>
          <t>Review éditoriale</t>
        </is>
      </c>
      <c r="E226" s="26" t="inlineStr">
        <is>
          <t>audiophile-heaven.com</t>
        </is>
      </c>
      <c r="F226" s="23" t="inlineStr">
        <is>
          <t>https://www.audiophile-heaven.com/2024/09/ibasso-pb5-osprey-hifi-tube-amplifier-apex-analogic-musicality.html</t>
        </is>
      </c>
      <c r="G226" s="26" t="inlineStr">
        <is>
          <t>Oui</t>
        </is>
      </c>
      <c r="H226" s="26" t="inlineStr">
        <is>
          <t>Review / retour exploitable</t>
        </is>
      </c>
    </row>
    <row r="227">
      <c r="A227" s="26" t="inlineStr">
        <is>
          <t>FiiO</t>
        </is>
      </c>
      <c r="B227" s="26" t="inlineStr">
        <is>
          <t>KA15</t>
        </is>
      </c>
      <c r="C227" s="26" t="n">
        <v>1</v>
      </c>
      <c r="D227" s="26" t="inlineStr">
        <is>
          <t>Review éditoriale</t>
        </is>
      </c>
      <c r="E227" s="26" t="inlineStr">
        <is>
          <t>headfonics.com</t>
        </is>
      </c>
      <c r="F227" s="23" t="inlineStr">
        <is>
          <t>https://headfonics.com/fiio-ka15-review/</t>
        </is>
      </c>
      <c r="G227" s="26" t="inlineStr">
        <is>
          <t>Oui</t>
        </is>
      </c>
      <c r="H227" s="26" t="inlineStr">
        <is>
          <t>Review / retour exploitable</t>
        </is>
      </c>
    </row>
    <row r="228">
      <c r="A228" s="26" t="inlineStr">
        <is>
          <t>FiiO</t>
        </is>
      </c>
      <c r="B228" s="26" t="inlineStr">
        <is>
          <t>KA15</t>
        </is>
      </c>
      <c r="C228" s="26" t="n">
        <v>2</v>
      </c>
      <c r="D228" s="26" t="inlineStr">
        <is>
          <t>Head-Fi reviews</t>
        </is>
      </c>
      <c r="E228" s="26" t="inlineStr">
        <is>
          <t>head-fi.org</t>
        </is>
      </c>
      <c r="F228" s="23" t="inlineStr">
        <is>
          <t>https://www.head-fi.org/showcase/fiio-ka15-dac-and-headphone-amplifier.27557/reviews</t>
        </is>
      </c>
      <c r="G228" s="26" t="inlineStr">
        <is>
          <t>Oui</t>
        </is>
      </c>
      <c r="H228" s="26" t="inlineStr">
        <is>
          <t>Review / retour exploitable</t>
        </is>
      </c>
    </row>
    <row r="229">
      <c r="A229" s="26" t="inlineStr">
        <is>
          <t>FiiO</t>
        </is>
      </c>
      <c r="B229" s="26" t="inlineStr">
        <is>
          <t>KA15</t>
        </is>
      </c>
      <c r="C229" s="26" t="n">
        <v>3</v>
      </c>
      <c r="D229" s="26" t="inlineStr">
        <is>
          <t>Review éditoriale</t>
        </is>
      </c>
      <c r="E229" s="26" t="inlineStr">
        <is>
          <t>headfonia.com</t>
        </is>
      </c>
      <c r="F229" s="23" t="inlineStr">
        <is>
          <t>https://www.headfonia.com/fiio-ka15-review/</t>
        </is>
      </c>
      <c r="G229" s="26" t="inlineStr">
        <is>
          <t>Oui</t>
        </is>
      </c>
      <c r="H229" s="26" t="inlineStr">
        <is>
          <t>Review / retour exploitable</t>
        </is>
      </c>
    </row>
    <row r="230">
      <c r="A230" s="26" t="inlineStr">
        <is>
          <t>FiiO</t>
        </is>
      </c>
      <c r="B230" s="26" t="inlineStr">
        <is>
          <t>KA15</t>
        </is>
      </c>
      <c r="C230" s="26" t="n">
        <v>4</v>
      </c>
      <c r="D230" s="26" t="inlineStr">
        <is>
          <t>Review éditoriale</t>
        </is>
      </c>
      <c r="E230" s="26" t="inlineStr">
        <is>
          <t>moonstarreviews.net</t>
        </is>
      </c>
      <c r="F230" s="23" t="inlineStr">
        <is>
          <t>https://moonstarreviews.net/fiio-ka15-review/</t>
        </is>
      </c>
      <c r="G230" s="26" t="inlineStr">
        <is>
          <t>Oui</t>
        </is>
      </c>
      <c r="H230" s="26" t="inlineStr">
        <is>
          <t>Review / retour exploitable</t>
        </is>
      </c>
    </row>
    <row r="231">
      <c r="A231" s="26" t="inlineStr">
        <is>
          <t>TempoTec</t>
        </is>
      </c>
      <c r="B231" s="26" t="inlineStr">
        <is>
          <t>Sonata BHD Pro</t>
        </is>
      </c>
      <c r="C231" s="26" t="n">
        <v>1</v>
      </c>
      <c r="D231" s="26" t="inlineStr">
        <is>
          <t>Review éditoriale</t>
        </is>
      </c>
      <c r="E231" s="26" t="inlineStr">
        <is>
          <t>headfonics.com</t>
        </is>
      </c>
      <c r="F231" s="23" t="inlineStr">
        <is>
          <t>https://headfonics.com/tempotec-sonata-bhd-pro-review/</t>
        </is>
      </c>
      <c r="G231" s="26" t="inlineStr">
        <is>
          <t>Oui</t>
        </is>
      </c>
      <c r="H231" s="26" t="inlineStr">
        <is>
          <t>Review / retour exploitable</t>
        </is>
      </c>
    </row>
    <row r="232">
      <c r="A232" s="26" t="inlineStr">
        <is>
          <t>TempoTec</t>
        </is>
      </c>
      <c r="B232" s="26" t="inlineStr">
        <is>
          <t>Sonata BHD Pro</t>
        </is>
      </c>
      <c r="C232" s="26" t="n">
        <v>2</v>
      </c>
      <c r="D232" s="26" t="inlineStr">
        <is>
          <t>Head-Fi reviews</t>
        </is>
      </c>
      <c r="E232" s="26" t="inlineStr">
        <is>
          <t>head-fi.org</t>
        </is>
      </c>
      <c r="F232" s="23" t="inlineStr">
        <is>
          <t>https://www.head-fi.org/showcase/tempotec-sonata-bhd-pro.26579/reviews</t>
        </is>
      </c>
      <c r="G232" s="26" t="inlineStr">
        <is>
          <t>Oui</t>
        </is>
      </c>
      <c r="H232" s="26" t="inlineStr">
        <is>
          <t>Review / retour exploitable</t>
        </is>
      </c>
    </row>
    <row r="233">
      <c r="A233" s="26" t="inlineStr">
        <is>
          <t>TempoTec</t>
        </is>
      </c>
      <c r="B233" s="26" t="inlineStr">
        <is>
          <t>Sonata BHD Pro</t>
        </is>
      </c>
      <c r="C233" s="26" t="n">
        <v>3</v>
      </c>
      <c r="D233" s="26" t="inlineStr">
        <is>
          <t>Forum / communauté</t>
        </is>
      </c>
      <c r="E233" s="26" t="inlineStr">
        <is>
          <t>forum.hifiguides.com</t>
        </is>
      </c>
      <c r="F233" s="23" t="inlineStr">
        <is>
          <t>https://forum.hifiguides.com/t/tempotec-sonata-bhd-pro-review/41099</t>
        </is>
      </c>
      <c r="G233" s="26" t="inlineStr">
        <is>
          <t>Oui</t>
        </is>
      </c>
      <c r="H233" s="26" t="inlineStr">
        <is>
          <t>Review / retour exploitable</t>
        </is>
      </c>
    </row>
    <row r="234">
      <c r="A234" s="26" t="inlineStr">
        <is>
          <t>iBasso</t>
        </is>
      </c>
      <c r="B234" s="26" t="inlineStr">
        <is>
          <t>D16 Taipan</t>
        </is>
      </c>
      <c r="C234" s="26" t="n">
        <v>1</v>
      </c>
      <c r="D234" s="26" t="inlineStr">
        <is>
          <t>Review éditoriale</t>
        </is>
      </c>
      <c r="E234" s="26" t="inlineStr">
        <is>
          <t>headfonics.com</t>
        </is>
      </c>
      <c r="F234" s="23" t="inlineStr">
        <is>
          <t>https://headfonics.com/ibasso-d16-taipan-review/</t>
        </is>
      </c>
      <c r="G234" s="26" t="inlineStr">
        <is>
          <t>Oui</t>
        </is>
      </c>
      <c r="H234" s="26" t="inlineStr">
        <is>
          <t>Review / retour exploitable</t>
        </is>
      </c>
    </row>
    <row r="235">
      <c r="A235" s="26" t="inlineStr">
        <is>
          <t>iBasso</t>
        </is>
      </c>
      <c r="B235" s="26" t="inlineStr">
        <is>
          <t>D16 Taipan</t>
        </is>
      </c>
      <c r="C235" s="26" t="n">
        <v>2</v>
      </c>
      <c r="D235" s="26" t="inlineStr">
        <is>
          <t>Head-Fi reviews</t>
        </is>
      </c>
      <c r="E235" s="26" t="inlineStr">
        <is>
          <t>head-fi.org</t>
        </is>
      </c>
      <c r="F235" s="23" t="inlineStr">
        <is>
          <t>https://www.head-fi.org/showcase/ibasso-d16-taipan.27482/reviews</t>
        </is>
      </c>
      <c r="G235" s="26" t="inlineStr">
        <is>
          <t>Oui</t>
        </is>
      </c>
      <c r="H235" s="26" t="inlineStr">
        <is>
          <t>Review / retour exploitable</t>
        </is>
      </c>
    </row>
    <row r="236">
      <c r="A236" s="26" t="inlineStr">
        <is>
          <t>iBasso</t>
        </is>
      </c>
      <c r="B236" s="26" t="inlineStr">
        <is>
          <t>D16 Taipan</t>
        </is>
      </c>
      <c r="C236" s="26" t="n">
        <v>3</v>
      </c>
      <c r="D236" s="26" t="inlineStr">
        <is>
          <t>Review éditoriale</t>
        </is>
      </c>
      <c r="E236" s="26" t="inlineStr">
        <is>
          <t>headfonia.com</t>
        </is>
      </c>
      <c r="F236" s="23" t="inlineStr">
        <is>
          <t>https://www.headfonia.com/ibasso-d16-review/</t>
        </is>
      </c>
      <c r="G236" s="26" t="inlineStr">
        <is>
          <t>Oui</t>
        </is>
      </c>
      <c r="H236" s="26" t="inlineStr">
        <is>
          <t>Review / retour exploitable</t>
        </is>
      </c>
    </row>
    <row r="237">
      <c r="A237" s="26" t="inlineStr">
        <is>
          <t>iBasso</t>
        </is>
      </c>
      <c r="B237" s="26" t="inlineStr">
        <is>
          <t>D16 Taipan</t>
        </is>
      </c>
      <c r="C237" s="26" t="n">
        <v>4</v>
      </c>
      <c r="D237" s="26" t="inlineStr">
        <is>
          <t>Review éditoriale</t>
        </is>
      </c>
      <c r="E237" s="26" t="inlineStr">
        <is>
          <t>moonstarreviews.net</t>
        </is>
      </c>
      <c r="F237" s="23" t="inlineStr">
        <is>
          <t>https://moonstarreviews.net/ibasso-d16-taipan-review/</t>
        </is>
      </c>
      <c r="G237" s="26" t="inlineStr">
        <is>
          <t>Oui</t>
        </is>
      </c>
      <c r="H237" s="26" t="inlineStr">
        <is>
          <t>Review / retour exploitable</t>
        </is>
      </c>
    </row>
    <row r="238">
      <c r="A238" s="26" t="inlineStr">
        <is>
          <t>7Hz</t>
        </is>
      </c>
      <c r="B238" s="26" t="inlineStr">
        <is>
          <t>Artemis39</t>
        </is>
      </c>
      <c r="C238" s="26" t="n">
        <v>1</v>
      </c>
      <c r="D238" s="26" t="inlineStr">
        <is>
          <t>Review éditoriale</t>
        </is>
      </c>
      <c r="E238" s="26" t="inlineStr">
        <is>
          <t>headfonics.com</t>
        </is>
      </c>
      <c r="F238" s="23" t="inlineStr">
        <is>
          <t>https://headfonics.com/7hz-artemis39-review/</t>
        </is>
      </c>
      <c r="G238" s="26" t="inlineStr">
        <is>
          <t>Oui</t>
        </is>
      </c>
      <c r="H238" s="26" t="inlineStr">
        <is>
          <t>Review / retour exploitable</t>
        </is>
      </c>
    </row>
    <row r="239">
      <c r="A239" s="26" t="inlineStr">
        <is>
          <t>7Hz</t>
        </is>
      </c>
      <c r="B239" s="26" t="inlineStr">
        <is>
          <t>Artemis39</t>
        </is>
      </c>
      <c r="C239" s="26" t="n">
        <v>2</v>
      </c>
      <c r="D239" s="26" t="inlineStr">
        <is>
          <t>Head-Fi reviews</t>
        </is>
      </c>
      <c r="E239" s="26" t="inlineStr">
        <is>
          <t>head-fi.org</t>
        </is>
      </c>
      <c r="F239" s="23" t="inlineStr">
        <is>
          <t>https://www.head-fi.org/showcase/7hz-artemis-39.27382/reviews</t>
        </is>
      </c>
      <c r="G239" s="26" t="inlineStr">
        <is>
          <t>Oui</t>
        </is>
      </c>
      <c r="H239" s="26" t="inlineStr">
        <is>
          <t>Review / retour exploitable</t>
        </is>
      </c>
    </row>
    <row r="240">
      <c r="A240" s="26" t="inlineStr">
        <is>
          <t>7Hz</t>
        </is>
      </c>
      <c r="B240" s="26" t="inlineStr">
        <is>
          <t>Artemis39</t>
        </is>
      </c>
      <c r="C240" s="26" t="n">
        <v>3</v>
      </c>
      <c r="D240" s="26" t="inlineStr">
        <is>
          <t>Vidéo review</t>
        </is>
      </c>
      <c r="E240" s="26" t="inlineStr">
        <is>
          <t>youtube.com</t>
        </is>
      </c>
      <c r="F240" s="23" t="inlineStr">
        <is>
          <t>https://www.youtube.com/watch?v=9_EumJz2pSc</t>
        </is>
      </c>
      <c r="G240" s="26" t="inlineStr">
        <is>
          <t>Oui</t>
        </is>
      </c>
      <c r="H240" s="26" t="inlineStr">
        <is>
          <t>Review / retour exploitable</t>
        </is>
      </c>
    </row>
    <row r="241">
      <c r="A241" s="26" t="inlineStr">
        <is>
          <t>SMSL</t>
        </is>
      </c>
      <c r="B241" s="26" t="inlineStr">
        <is>
          <t>D10</t>
        </is>
      </c>
      <c r="C241" s="26" t="n">
        <v>1</v>
      </c>
      <c r="D241" s="26" t="inlineStr">
        <is>
          <t>Review éditoriale</t>
        </is>
      </c>
      <c r="E241" s="26" t="inlineStr">
        <is>
          <t>headfonics.com</t>
        </is>
      </c>
      <c r="F241" s="23" t="inlineStr">
        <is>
          <t>https://headfonics.com/smsl-d10-review/</t>
        </is>
      </c>
      <c r="G241" s="26" t="inlineStr">
        <is>
          <t>Oui</t>
        </is>
      </c>
      <c r="H241" s="26" t="inlineStr">
        <is>
          <t>Review / retour exploitable</t>
        </is>
      </c>
    </row>
    <row r="242">
      <c r="A242" s="26" t="inlineStr">
        <is>
          <t>SMSL</t>
        </is>
      </c>
      <c r="B242" s="26" t="inlineStr">
        <is>
          <t>D10</t>
        </is>
      </c>
      <c r="C242" s="26" t="n">
        <v>2</v>
      </c>
      <c r="D242" s="26" t="inlineStr">
        <is>
          <t>Head-Fi reviews</t>
        </is>
      </c>
      <c r="E242" s="26" t="inlineStr">
        <is>
          <t>head-fi.org</t>
        </is>
      </c>
      <c r="F242" s="23" t="inlineStr">
        <is>
          <t>https://www.head-fi.org/showcase/smsl-d10.27738/reviews</t>
        </is>
      </c>
      <c r="G242" s="26" t="inlineStr">
        <is>
          <t>Oui</t>
        </is>
      </c>
      <c r="H242" s="26" t="inlineStr">
        <is>
          <t>Review / retour exploitable</t>
        </is>
      </c>
    </row>
    <row r="243">
      <c r="A243" s="26" t="inlineStr">
        <is>
          <t>SMSL</t>
        </is>
      </c>
      <c r="B243" s="26" t="inlineStr">
        <is>
          <t>D10</t>
        </is>
      </c>
      <c r="C243" s="26" t="n">
        <v>3</v>
      </c>
      <c r="D243" s="26" t="inlineStr">
        <is>
          <t>Review éditoriale</t>
        </is>
      </c>
      <c r="E243" s="26" t="inlineStr">
        <is>
          <t>primeaudio.org</t>
        </is>
      </c>
      <c r="F243" s="23" t="inlineStr">
        <is>
          <t>https://primeaudio.org/smsl-d10-review/</t>
        </is>
      </c>
      <c r="G243" s="26" t="inlineStr">
        <is>
          <t>Oui</t>
        </is>
      </c>
      <c r="H243" s="26" t="inlineStr">
        <is>
          <t>Review / retour exploitable</t>
        </is>
      </c>
    </row>
    <row r="244">
      <c r="A244" s="26" t="inlineStr">
        <is>
          <t>SMSL</t>
        </is>
      </c>
      <c r="B244" s="26" t="inlineStr">
        <is>
          <t>D10</t>
        </is>
      </c>
      <c r="C244" s="26" t="n">
        <v>4</v>
      </c>
      <c r="D244" s="26" t="inlineStr">
        <is>
          <t>Review éditoriale</t>
        </is>
      </c>
      <c r="E244" s="26" t="inlineStr">
        <is>
          <t>audioreviews.org</t>
        </is>
      </c>
      <c r="F244" s="23" t="inlineStr">
        <is>
          <t>https://www.audioreviews.org/smsl-d10-review/</t>
        </is>
      </c>
      <c r="G244" s="26" t="inlineStr">
        <is>
          <t>Oui</t>
        </is>
      </c>
      <c r="H244" s="26" t="inlineStr">
        <is>
          <t>Review / retour exploitable</t>
        </is>
      </c>
    </row>
    <row r="245">
      <c r="A245" s="26" t="inlineStr">
        <is>
          <t>FiiO</t>
        </is>
      </c>
      <c r="B245" s="26" t="inlineStr">
        <is>
          <t>JA11</t>
        </is>
      </c>
      <c r="C245" s="26" t="n">
        <v>1</v>
      </c>
      <c r="D245" s="26" t="inlineStr">
        <is>
          <t>Review éditoriale</t>
        </is>
      </c>
      <c r="E245" s="26" t="inlineStr">
        <is>
          <t>headfonics.com</t>
        </is>
      </c>
      <c r="F245" s="23" t="inlineStr">
        <is>
          <t>https://headfonics.com/fiio-ja11-review/</t>
        </is>
      </c>
      <c r="G245" s="26" t="inlineStr">
        <is>
          <t>Oui</t>
        </is>
      </c>
      <c r="H245" s="26" t="inlineStr">
        <is>
          <t>Review / retour exploitable</t>
        </is>
      </c>
    </row>
    <row r="246">
      <c r="A246" s="26" t="inlineStr">
        <is>
          <t>FiiO</t>
        </is>
      </c>
      <c r="B246" s="26" t="inlineStr">
        <is>
          <t>JA11</t>
        </is>
      </c>
      <c r="C246" s="26" t="n">
        <v>2</v>
      </c>
      <c r="D246" s="26" t="inlineStr">
        <is>
          <t>Head-Fi reviews</t>
        </is>
      </c>
      <c r="E246" s="26" t="inlineStr">
        <is>
          <t>head-fi.org</t>
        </is>
      </c>
      <c r="F246" s="23" t="inlineStr">
        <is>
          <t>https://www.head-fi.org/showcase/fiio-ja11.27321/reviews</t>
        </is>
      </c>
      <c r="G246" s="26" t="inlineStr">
        <is>
          <t>Oui</t>
        </is>
      </c>
      <c r="H246" s="26" t="inlineStr">
        <is>
          <t>Review / retour exploitable</t>
        </is>
      </c>
    </row>
    <row r="247">
      <c r="A247" s="26" t="inlineStr">
        <is>
          <t>FiiO</t>
        </is>
      </c>
      <c r="B247" s="26" t="inlineStr">
        <is>
          <t>JA11</t>
        </is>
      </c>
      <c r="C247" s="26" t="n">
        <v>3</v>
      </c>
      <c r="D247" s="26" t="inlineStr">
        <is>
          <t>Review éditoriale</t>
        </is>
      </c>
      <c r="E247" s="26" t="inlineStr">
        <is>
          <t>headfonia.com</t>
        </is>
      </c>
      <c r="F247" s="23" t="inlineStr">
        <is>
          <t>https://www.headfonia.com/fiio-ja11-review/</t>
        </is>
      </c>
      <c r="G247" s="26" t="inlineStr">
        <is>
          <t>Oui</t>
        </is>
      </c>
      <c r="H247" s="26" t="inlineStr">
        <is>
          <t>Review / retour exploitable</t>
        </is>
      </c>
    </row>
    <row r="248">
      <c r="A248" s="26" t="inlineStr">
        <is>
          <t>FiiO</t>
        </is>
      </c>
      <c r="B248" s="26" t="inlineStr">
        <is>
          <t>JA11</t>
        </is>
      </c>
      <c r="C248" s="26" t="n">
        <v>4</v>
      </c>
      <c r="D248" s="26" t="inlineStr">
        <is>
          <t>Review éditoriale</t>
        </is>
      </c>
      <c r="E248" s="26" t="inlineStr">
        <is>
          <t>mobileaudiophile.com</t>
        </is>
      </c>
      <c r="F248" s="23" t="inlineStr">
        <is>
          <t>https://mobileaudiophile.com/dacs/dongle/fiio-ja11-review-peq-on-budget/</t>
        </is>
      </c>
      <c r="G248" s="26" t="inlineStr">
        <is>
          <t>Oui</t>
        </is>
      </c>
      <c r="H248" s="26" t="inlineStr">
        <is>
          <t>Review / retour exploitable</t>
        </is>
      </c>
    </row>
    <row r="249">
      <c r="A249" s="26" t="inlineStr">
        <is>
          <t>Shanling</t>
        </is>
      </c>
      <c r="B249" s="26" t="inlineStr">
        <is>
          <t>H2</t>
        </is>
      </c>
      <c r="C249" s="26" t="n">
        <v>1</v>
      </c>
      <c r="D249" s="26" t="inlineStr">
        <is>
          <t>Review éditoriale</t>
        </is>
      </c>
      <c r="E249" s="26" t="inlineStr">
        <is>
          <t>headfonics.com</t>
        </is>
      </c>
      <c r="F249" s="23" t="inlineStr">
        <is>
          <t>https://headfonics.com/shanling-h2-review/</t>
        </is>
      </c>
      <c r="G249" s="26" t="inlineStr">
        <is>
          <t>Oui</t>
        </is>
      </c>
      <c r="H249" s="26" t="inlineStr">
        <is>
          <t>Review / retour exploitable</t>
        </is>
      </c>
    </row>
    <row r="250">
      <c r="A250" s="26" t="inlineStr">
        <is>
          <t>Shanling</t>
        </is>
      </c>
      <c r="B250" s="26" t="inlineStr">
        <is>
          <t>H2</t>
        </is>
      </c>
      <c r="C250" s="26" t="n">
        <v>2</v>
      </c>
      <c r="D250" s="26" t="inlineStr">
        <is>
          <t>Review éditoriale</t>
        </is>
      </c>
      <c r="E250" s="26" t="inlineStr">
        <is>
          <t>headfonia.com</t>
        </is>
      </c>
      <c r="F250" s="23" t="inlineStr">
        <is>
          <t>https://www.headfonia.com/shanling-h2-review/</t>
        </is>
      </c>
      <c r="G250" s="26" t="inlineStr">
        <is>
          <t>Oui</t>
        </is>
      </c>
      <c r="H250" s="26" t="inlineStr">
        <is>
          <t>Review / retour exploitable</t>
        </is>
      </c>
    </row>
    <row r="251">
      <c r="A251" s="26" t="inlineStr">
        <is>
          <t>Shanling</t>
        </is>
      </c>
      <c r="B251" s="26" t="inlineStr">
        <is>
          <t>H2</t>
        </is>
      </c>
      <c r="C251" s="26" t="n">
        <v>3</v>
      </c>
      <c r="D251" s="26" t="inlineStr">
        <is>
          <t>Head-Fi forum</t>
        </is>
      </c>
      <c r="E251" s="26" t="inlineStr">
        <is>
          <t>head-fi.org</t>
        </is>
      </c>
      <c r="F251" s="23" t="inlineStr">
        <is>
          <t>https://www.head-fi.org/threads/introducing-shanling-h2-budget-portable-dac-amp-with-built-in-player.970935/</t>
        </is>
      </c>
      <c r="G251" s="26" t="inlineStr">
        <is>
          <t>Oui</t>
        </is>
      </c>
      <c r="H251" s="26" t="inlineStr">
        <is>
          <t>Review / retour exploitable</t>
        </is>
      </c>
    </row>
    <row r="252">
      <c r="A252" s="26" t="inlineStr">
        <is>
          <t>LETSHUOER</t>
        </is>
      </c>
      <c r="B252" s="26" t="inlineStr">
        <is>
          <t>DT03</t>
        </is>
      </c>
      <c r="C252" s="26" t="n">
        <v>1</v>
      </c>
      <c r="D252" s="26" t="inlineStr">
        <is>
          <t>Review éditoriale</t>
        </is>
      </c>
      <c r="E252" s="26" t="inlineStr">
        <is>
          <t>headfonics.com</t>
        </is>
      </c>
      <c r="F252" s="23" t="inlineStr">
        <is>
          <t>https://headfonics.com/letshuoer-dt03-review/</t>
        </is>
      </c>
      <c r="G252" s="26" t="inlineStr">
        <is>
          <t>Oui</t>
        </is>
      </c>
      <c r="H252" s="26" t="inlineStr">
        <is>
          <t>Review / retour exploitable</t>
        </is>
      </c>
    </row>
    <row r="253">
      <c r="A253" s="26" t="inlineStr">
        <is>
          <t>LETSHUOER</t>
        </is>
      </c>
      <c r="B253" s="26" t="inlineStr">
        <is>
          <t>DT03</t>
        </is>
      </c>
      <c r="C253" s="26" t="n">
        <v>2</v>
      </c>
      <c r="D253" s="26" t="inlineStr">
        <is>
          <t>Head-Fi reviews</t>
        </is>
      </c>
      <c r="E253" s="26" t="inlineStr">
        <is>
          <t>head-fi.org</t>
        </is>
      </c>
      <c r="F253" s="23" t="inlineStr">
        <is>
          <t>https://www.head-fi.org/showcase/letshuoer-dt03.27289/reviews</t>
        </is>
      </c>
      <c r="G253" s="26" t="inlineStr">
        <is>
          <t>Oui</t>
        </is>
      </c>
      <c r="H253" s="26" t="inlineStr">
        <is>
          <t>Review / retour exploitable</t>
        </is>
      </c>
    </row>
    <row r="254">
      <c r="A254" s="26" t="inlineStr">
        <is>
          <t>LETSHUOER</t>
        </is>
      </c>
      <c r="B254" s="26" t="inlineStr">
        <is>
          <t>DT03</t>
        </is>
      </c>
      <c r="C254" s="26" t="n">
        <v>3</v>
      </c>
      <c r="D254" s="26" t="inlineStr">
        <is>
          <t>Review éditoriale</t>
        </is>
      </c>
      <c r="E254" s="26" t="inlineStr">
        <is>
          <t>mobileaudiophile.com</t>
        </is>
      </c>
      <c r="F254" s="23" t="inlineStr">
        <is>
          <t>https://mobileaudiophile.com/dacs/dongle/letshuoer-dt03-dongle-review-unsuspecting-power-can/</t>
        </is>
      </c>
      <c r="G254" s="26" t="inlineStr">
        <is>
          <t>Oui</t>
        </is>
      </c>
      <c r="H254" s="26" t="inlineStr">
        <is>
          <t>Review / retour exploitable</t>
        </is>
      </c>
    </row>
    <row r="255">
      <c r="A255" s="26" t="inlineStr">
        <is>
          <t>LETSHUOER</t>
        </is>
      </c>
      <c r="B255" s="26" t="inlineStr">
        <is>
          <t>DT03</t>
        </is>
      </c>
      <c r="C255" s="26" t="n">
        <v>4</v>
      </c>
      <c r="D255" s="26" t="inlineStr">
        <is>
          <t>Review éditoriale</t>
        </is>
      </c>
      <c r="E255" s="26" t="inlineStr">
        <is>
          <t>ichos-reviews.com</t>
        </is>
      </c>
      <c r="F255" s="23" t="inlineStr">
        <is>
          <t>https://ichos-reviews.com/letshuoer-dt03-review/</t>
        </is>
      </c>
      <c r="G255" s="26" t="inlineStr">
        <is>
          <t>Oui</t>
        </is>
      </c>
      <c r="H255" s="26" t="inlineStr">
        <is>
          <t>Review / retour exploitable</t>
        </is>
      </c>
    </row>
    <row r="256">
      <c r="A256" s="26" t="inlineStr">
        <is>
          <t>Kiwi Ears</t>
        </is>
      </c>
      <c r="B256" s="26" t="inlineStr">
        <is>
          <t>Allegro</t>
        </is>
      </c>
      <c r="C256" s="26" t="n">
        <v>1</v>
      </c>
      <c r="D256" s="26" t="inlineStr">
        <is>
          <t>Review éditoriale</t>
        </is>
      </c>
      <c r="E256" s="26" t="inlineStr">
        <is>
          <t>headfonics.com</t>
        </is>
      </c>
      <c r="F256" s="23" t="inlineStr">
        <is>
          <t>https://headfonics.com/kiwi-ears-allegro-review/</t>
        </is>
      </c>
      <c r="G256" s="26" t="inlineStr">
        <is>
          <t>Oui</t>
        </is>
      </c>
      <c r="H256" s="26" t="inlineStr">
        <is>
          <t>Review / retour exploitable</t>
        </is>
      </c>
    </row>
    <row r="257">
      <c r="A257" s="26" t="inlineStr">
        <is>
          <t>Kiwi Ears</t>
        </is>
      </c>
      <c r="B257" s="26" t="inlineStr">
        <is>
          <t>Allegro</t>
        </is>
      </c>
      <c r="C257" s="26" t="n">
        <v>2</v>
      </c>
      <c r="D257" s="26" t="inlineStr">
        <is>
          <t>Head-Fi reviews</t>
        </is>
      </c>
      <c r="E257" s="26" t="inlineStr">
        <is>
          <t>head-fi.org</t>
        </is>
      </c>
      <c r="F257" s="23" t="inlineStr">
        <is>
          <t>https://www.head-fi.org/showcase/kiwi-ears-allegro.27061/reviews</t>
        </is>
      </c>
      <c r="G257" s="26" t="inlineStr">
        <is>
          <t>Oui</t>
        </is>
      </c>
      <c r="H257" s="26" t="inlineStr">
        <is>
          <t>Review / retour exploitable</t>
        </is>
      </c>
    </row>
    <row r="258">
      <c r="A258" s="26" t="inlineStr">
        <is>
          <t>Kiwi Ears</t>
        </is>
      </c>
      <c r="B258" s="26" t="inlineStr">
        <is>
          <t>Allegro</t>
        </is>
      </c>
      <c r="C258" s="26" t="n">
        <v>3</v>
      </c>
      <c r="D258" s="26" t="inlineStr">
        <is>
          <t>Review éditoriale</t>
        </is>
      </c>
      <c r="E258" s="26" t="inlineStr">
        <is>
          <t>pragmaticaudio.com</t>
        </is>
      </c>
      <c r="F258" s="23" t="inlineStr">
        <is>
          <t>https://www.pragmaticaudio.com/reviews/2024/11/kiwi-ears-allegro/</t>
        </is>
      </c>
      <c r="G258" s="26" t="inlineStr">
        <is>
          <t>Oui</t>
        </is>
      </c>
      <c r="H258" s="26" t="inlineStr">
        <is>
          <t>Review / retour exploitable</t>
        </is>
      </c>
    </row>
    <row r="259">
      <c r="A259" s="26" t="inlineStr">
        <is>
          <t>Kiwi Ears</t>
        </is>
      </c>
      <c r="B259" s="26" t="inlineStr">
        <is>
          <t>Allegro</t>
        </is>
      </c>
      <c r="C259" s="26" t="n">
        <v>4</v>
      </c>
      <c r="D259" s="26" t="inlineStr">
        <is>
          <t>Review éditoriale</t>
        </is>
      </c>
      <c r="E259" s="26" t="inlineStr">
        <is>
          <t>audiodiscourse.com</t>
        </is>
      </c>
      <c r="F259" s="23" t="inlineStr">
        <is>
          <t>https://www.audiodiscourse.com/2024/03/kiwi-ears-allegro-portable-dac-review.html</t>
        </is>
      </c>
      <c r="G259" s="26" t="inlineStr">
        <is>
          <t>Oui</t>
        </is>
      </c>
      <c r="H259" s="26" t="inlineStr">
        <is>
          <t>Review / retour exploitable</t>
        </is>
      </c>
    </row>
    <row r="260">
      <c r="A260" s="26" t="inlineStr">
        <is>
          <t>Hidizs</t>
        </is>
      </c>
      <c r="B260" s="26" t="inlineStr">
        <is>
          <t>S8 Pro Robin</t>
        </is>
      </c>
      <c r="C260" s="26" t="n">
        <v>1</v>
      </c>
      <c r="D260" s="26" t="inlineStr">
        <is>
          <t>Review éditoriale</t>
        </is>
      </c>
      <c r="E260" s="26" t="inlineStr">
        <is>
          <t>headfonics.com</t>
        </is>
      </c>
      <c r="F260" s="23" t="inlineStr">
        <is>
          <t>https://headfonics.com/hidizs-s8-pro-robin-review/</t>
        </is>
      </c>
      <c r="G260" s="26" t="inlineStr">
        <is>
          <t>Oui</t>
        </is>
      </c>
      <c r="H260" s="26" t="inlineStr">
        <is>
          <t>Review / retour exploitable</t>
        </is>
      </c>
    </row>
    <row r="261">
      <c r="A261" s="26" t="inlineStr">
        <is>
          <t>Hidizs</t>
        </is>
      </c>
      <c r="B261" s="26" t="inlineStr">
        <is>
          <t>S8 Pro Robin</t>
        </is>
      </c>
      <c r="C261" s="26" t="n">
        <v>2</v>
      </c>
      <c r="D261" s="26" t="inlineStr">
        <is>
          <t>Head-Fi reviews</t>
        </is>
      </c>
      <c r="E261" s="26" t="inlineStr">
        <is>
          <t>head-fi.org</t>
        </is>
      </c>
      <c r="F261" s="23" t="inlineStr">
        <is>
          <t>https://www.head-fi.org/showcase/hidizs-s8-pro-robin.27188/reviews</t>
        </is>
      </c>
      <c r="G261" s="26" t="inlineStr">
        <is>
          <t>Oui</t>
        </is>
      </c>
      <c r="H261" s="26" t="inlineStr">
        <is>
          <t>Review / retour exploitable</t>
        </is>
      </c>
    </row>
    <row r="262">
      <c r="A262" s="26" t="inlineStr">
        <is>
          <t>Hidizs</t>
        </is>
      </c>
      <c r="B262" s="26" t="inlineStr">
        <is>
          <t>S8 Pro Robin</t>
        </is>
      </c>
      <c r="C262" s="26" t="n">
        <v>3</v>
      </c>
      <c r="D262" s="26" t="inlineStr">
        <is>
          <t>Review éditoriale</t>
        </is>
      </c>
      <c r="E262" s="26" t="inlineStr">
        <is>
          <t>techradar.com</t>
        </is>
      </c>
      <c r="F262" s="23" t="inlineStr">
        <is>
          <t>https://www.techradar.com/audio/hi-fi/hidizs-s8-pro-robin-review</t>
        </is>
      </c>
      <c r="G262" s="26" t="inlineStr">
        <is>
          <t>Oui</t>
        </is>
      </c>
      <c r="H262" s="26" t="inlineStr">
        <is>
          <t>Review / retour exploitable</t>
        </is>
      </c>
    </row>
    <row r="263">
      <c r="A263" s="26" t="inlineStr">
        <is>
          <t>Hidizs</t>
        </is>
      </c>
      <c r="B263" s="26" t="inlineStr">
        <is>
          <t>S8 Pro Robin</t>
        </is>
      </c>
      <c r="C263" s="26" t="n">
        <v>4</v>
      </c>
      <c r="D263" s="26" t="inlineStr">
        <is>
          <t>Review éditoriale</t>
        </is>
      </c>
      <c r="E263" s="26" t="inlineStr">
        <is>
          <t>headfonia.com</t>
        </is>
      </c>
      <c r="F263" s="23" t="inlineStr">
        <is>
          <t>https://www.headfonia.com/hidizs-s8-pro-robin-review/</t>
        </is>
      </c>
      <c r="G263" s="26" t="inlineStr">
        <is>
          <t>Oui</t>
        </is>
      </c>
      <c r="H263" s="26" t="inlineStr">
        <is>
          <t>Review / retour exploitable</t>
        </is>
      </c>
    </row>
    <row r="264">
      <c r="A264" s="26" t="inlineStr">
        <is>
          <t>iFi audio</t>
        </is>
      </c>
      <c r="B264" s="26" t="inlineStr">
        <is>
          <t>GO bar Kensei</t>
        </is>
      </c>
      <c r="C264" s="26" t="n">
        <v>1</v>
      </c>
      <c r="D264" s="26" t="inlineStr">
        <is>
          <t>Review éditoriale</t>
        </is>
      </c>
      <c r="E264" s="26" t="inlineStr">
        <is>
          <t>headfonics.com</t>
        </is>
      </c>
      <c r="F264" s="23" t="inlineStr">
        <is>
          <t>https://headfonics.com/ifi-audio-go-bar-kensei-review/</t>
        </is>
      </c>
      <c r="G264" s="26" t="inlineStr">
        <is>
          <t>Oui</t>
        </is>
      </c>
      <c r="H264" s="26" t="inlineStr">
        <is>
          <t>Review / retour exploitable</t>
        </is>
      </c>
    </row>
    <row r="265">
      <c r="A265" s="26" t="inlineStr">
        <is>
          <t>iFi audio</t>
        </is>
      </c>
      <c r="B265" s="26" t="inlineStr">
        <is>
          <t>GO bar Kensei</t>
        </is>
      </c>
      <c r="C265" s="26" t="n">
        <v>2</v>
      </c>
      <c r="D265" s="26" t="inlineStr">
        <is>
          <t>Head-Fi reviews</t>
        </is>
      </c>
      <c r="E265" s="26" t="inlineStr">
        <is>
          <t>head-fi.org</t>
        </is>
      </c>
      <c r="F265" s="23" t="inlineStr">
        <is>
          <t>https://www.head-fi.org/showcase/ifi-audio-go-bar-kensei.27123/reviews</t>
        </is>
      </c>
      <c r="G265" s="26" t="inlineStr">
        <is>
          <t>Oui</t>
        </is>
      </c>
      <c r="H265" s="26" t="inlineStr">
        <is>
          <t>Review / retour exploitable</t>
        </is>
      </c>
    </row>
    <row r="266">
      <c r="A266" s="26" t="inlineStr">
        <is>
          <t>iFi audio</t>
        </is>
      </c>
      <c r="B266" s="26" t="inlineStr">
        <is>
          <t>GO bar Kensei</t>
        </is>
      </c>
      <c r="C266" s="26" t="n">
        <v>3</v>
      </c>
      <c r="D266" s="26" t="inlineStr">
        <is>
          <t>Review éditoriale</t>
        </is>
      </c>
      <c r="E266" s="26" t="inlineStr">
        <is>
          <t>headfonia.com</t>
        </is>
      </c>
      <c r="F266" s="23" t="inlineStr">
        <is>
          <t>https://www.headfonia.com/ifi-audio-go-bar-kensei-review/</t>
        </is>
      </c>
      <c r="G266" s="26" t="inlineStr">
        <is>
          <t>Oui</t>
        </is>
      </c>
      <c r="H266" s="26" t="inlineStr">
        <is>
          <t>Review / retour exploitable</t>
        </is>
      </c>
    </row>
    <row r="267">
      <c r="A267" s="26" t="inlineStr">
        <is>
          <t>iFi audio</t>
        </is>
      </c>
      <c r="B267" s="26" t="inlineStr">
        <is>
          <t>GO bar Kensei</t>
        </is>
      </c>
      <c r="C267" s="26" t="n">
        <v>4</v>
      </c>
      <c r="D267" s="26" t="inlineStr">
        <is>
          <t>Review éditoriale</t>
        </is>
      </c>
      <c r="E267" s="26" t="inlineStr">
        <is>
          <t>techradar.com</t>
        </is>
      </c>
      <c r="F267" s="23" t="inlineStr">
        <is>
          <t>https://www.techradar.com/audio/hi-fi/ifi-go-bar-kensei-review</t>
        </is>
      </c>
      <c r="G267" s="26" t="inlineStr">
        <is>
          <t>Oui</t>
        </is>
      </c>
      <c r="H267" s="26" t="inlineStr">
        <is>
          <t>Review / retour exploitable</t>
        </is>
      </c>
    </row>
    <row r="268">
      <c r="A268" s="26" t="inlineStr">
        <is>
          <t>ONIX</t>
        </is>
      </c>
      <c r="B268" s="26" t="inlineStr">
        <is>
          <t>Mystic XP1</t>
        </is>
      </c>
      <c r="C268" s="26" t="n">
        <v>1</v>
      </c>
      <c r="D268" s="26" t="inlineStr">
        <is>
          <t>Review éditoriale</t>
        </is>
      </c>
      <c r="E268" s="26" t="inlineStr">
        <is>
          <t>headfonics.com</t>
        </is>
      </c>
      <c r="F268" s="23" t="inlineStr">
        <is>
          <t>https://headfonics.com/onix-mystic-xp1-review/</t>
        </is>
      </c>
      <c r="G268" s="26" t="inlineStr">
        <is>
          <t>Oui</t>
        </is>
      </c>
      <c r="H268" s="26" t="inlineStr">
        <is>
          <t>Review / retour exploitable</t>
        </is>
      </c>
    </row>
    <row r="269">
      <c r="A269" s="26" t="inlineStr">
        <is>
          <t>ONIX</t>
        </is>
      </c>
      <c r="B269" s="26" t="inlineStr">
        <is>
          <t>Mystic XP1</t>
        </is>
      </c>
      <c r="C269" s="26" t="n">
        <v>2</v>
      </c>
      <c r="D269" s="26" t="inlineStr">
        <is>
          <t>Head-Fi reviews</t>
        </is>
      </c>
      <c r="E269" s="26" t="inlineStr">
        <is>
          <t>head-fi.org</t>
        </is>
      </c>
      <c r="F269" s="23" t="inlineStr">
        <is>
          <t>https://www.head-fi.org/showcase/onix-mystic-xp1-%E2%80%93-high-end-portable-dac-amp.27530/reviews</t>
        </is>
      </c>
      <c r="G269" s="26" t="inlineStr">
        <is>
          <t>Oui</t>
        </is>
      </c>
      <c r="H269" s="26" t="inlineStr">
        <is>
          <t>Review / retour exploitable</t>
        </is>
      </c>
    </row>
    <row r="270">
      <c r="A270" s="26" t="inlineStr">
        <is>
          <t>ONIX</t>
        </is>
      </c>
      <c r="B270" s="26" t="inlineStr">
        <is>
          <t>Mystic XP1</t>
        </is>
      </c>
      <c r="C270" s="26" t="n">
        <v>3</v>
      </c>
      <c r="D270" s="26" t="inlineStr">
        <is>
          <t>Head-Fi forum</t>
        </is>
      </c>
      <c r="E270" s="26" t="inlineStr">
        <is>
          <t>head-fi.org</t>
        </is>
      </c>
      <c r="F270" s="23" t="inlineStr">
        <is>
          <t>https://www.head-fi.org/threads/introducing-onix-mystic-xp1-%E2%80%93-high-end-portable-dac-amp.970241/</t>
        </is>
      </c>
      <c r="G270" s="26" t="inlineStr">
        <is>
          <t>Oui</t>
        </is>
      </c>
      <c r="H270" s="26" t="inlineStr">
        <is>
          <t>Review / retour exploitable</t>
        </is>
      </c>
    </row>
    <row r="271">
      <c r="A271" s="26" t="inlineStr">
        <is>
          <t>Shanling</t>
        </is>
      </c>
      <c r="B271" s="26" t="inlineStr">
        <is>
          <t>UA4</t>
        </is>
      </c>
      <c r="C271" s="26" t="n">
        <v>1</v>
      </c>
      <c r="D271" s="26" t="inlineStr">
        <is>
          <t>Review éditoriale</t>
        </is>
      </c>
      <c r="E271" s="26" t="inlineStr">
        <is>
          <t>headfonics.com</t>
        </is>
      </c>
      <c r="F271" s="23" t="inlineStr">
        <is>
          <t>https://headfonics.com/shanling-ua4-review/</t>
        </is>
      </c>
      <c r="G271" s="26" t="inlineStr">
        <is>
          <t>Oui</t>
        </is>
      </c>
      <c r="H271" s="26" t="inlineStr">
        <is>
          <t>Review / retour exploitable</t>
        </is>
      </c>
    </row>
    <row r="272">
      <c r="A272" s="26" t="inlineStr">
        <is>
          <t>Shanling</t>
        </is>
      </c>
      <c r="B272" s="26" t="inlineStr">
        <is>
          <t>UA4</t>
        </is>
      </c>
      <c r="C272" s="26" t="n">
        <v>2</v>
      </c>
      <c r="D272" s="26" t="inlineStr">
        <is>
          <t>Review éditoriale</t>
        </is>
      </c>
      <c r="E272" s="26" t="inlineStr">
        <is>
          <t>headfonia.com</t>
        </is>
      </c>
      <c r="F272" s="23" t="inlineStr">
        <is>
          <t>https://www.headfonia.com/shanling-ua4-review/</t>
        </is>
      </c>
      <c r="G272" s="26" t="inlineStr">
        <is>
          <t>Oui</t>
        </is>
      </c>
      <c r="H272" s="26" t="inlineStr">
        <is>
          <t>Review / retour exploitable</t>
        </is>
      </c>
    </row>
    <row r="273">
      <c r="A273" s="26" t="inlineStr">
        <is>
          <t>Shanling</t>
        </is>
      </c>
      <c r="B273" s="26" t="inlineStr">
        <is>
          <t>UA4</t>
        </is>
      </c>
      <c r="C273" s="26" t="n">
        <v>3</v>
      </c>
      <c r="D273" s="26" t="inlineStr">
        <is>
          <t>Communauté Reddit</t>
        </is>
      </c>
      <c r="E273" s="26" t="inlineStr">
        <is>
          <t>reddit.com</t>
        </is>
      </c>
      <c r="F273" s="23" t="inlineStr">
        <is>
          <t>https://www.reddit.com/r/headphones/comments/1bbvgpf</t>
        </is>
      </c>
      <c r="G273" s="26" t="inlineStr">
        <is>
          <t>Oui</t>
        </is>
      </c>
      <c r="H273" s="26" t="inlineStr">
        <is>
          <t>Review / retour exploitable</t>
        </is>
      </c>
    </row>
    <row r="274">
      <c r="A274" s="26" t="inlineStr">
        <is>
          <t>FiiO</t>
        </is>
      </c>
      <c r="B274" s="26" t="inlineStr">
        <is>
          <t>KA11</t>
        </is>
      </c>
      <c r="C274" s="26" t="n">
        <v>1</v>
      </c>
      <c r="D274" s="26" t="inlineStr">
        <is>
          <t>Review éditoriale</t>
        </is>
      </c>
      <c r="E274" s="26" t="inlineStr">
        <is>
          <t>headfonics.com</t>
        </is>
      </c>
      <c r="F274" s="23" t="inlineStr">
        <is>
          <t>https://headfonics.com/fiio-ka11-review/</t>
        </is>
      </c>
      <c r="G274" s="26" t="inlineStr">
        <is>
          <t>Oui</t>
        </is>
      </c>
      <c r="H274" s="26" t="inlineStr">
        <is>
          <t>Review / retour exploitable</t>
        </is>
      </c>
    </row>
    <row r="275">
      <c r="A275" s="26" t="inlineStr">
        <is>
          <t>FiiO</t>
        </is>
      </c>
      <c r="B275" s="26" t="inlineStr">
        <is>
          <t>KA11</t>
        </is>
      </c>
      <c r="C275" s="26" t="n">
        <v>2</v>
      </c>
      <c r="D275" s="26" t="inlineStr">
        <is>
          <t>Head-Fi reviews</t>
        </is>
      </c>
      <c r="E275" s="26" t="inlineStr">
        <is>
          <t>head-fi.org</t>
        </is>
      </c>
      <c r="F275" s="23" t="inlineStr">
        <is>
          <t>https://www.head-fi.org/showcase/fiio-ka11.27035/reviews</t>
        </is>
      </c>
      <c r="G275" s="26" t="inlineStr">
        <is>
          <t>Oui</t>
        </is>
      </c>
      <c r="H275" s="26" t="inlineStr">
        <is>
          <t>Review / retour exploitable</t>
        </is>
      </c>
    </row>
    <row r="276">
      <c r="A276" s="26" t="inlineStr">
        <is>
          <t>FiiO</t>
        </is>
      </c>
      <c r="B276" s="26" t="inlineStr">
        <is>
          <t>KA11</t>
        </is>
      </c>
      <c r="C276" s="26" t="n">
        <v>3</v>
      </c>
      <c r="D276" s="26" t="inlineStr">
        <is>
          <t>Review éditoriale</t>
        </is>
      </c>
      <c r="E276" s="26" t="inlineStr">
        <is>
          <t>headfonia.com</t>
        </is>
      </c>
      <c r="F276" s="23" t="inlineStr">
        <is>
          <t>https://www.headfonia.com/fiio-ka11-review/</t>
        </is>
      </c>
      <c r="G276" s="26" t="inlineStr">
        <is>
          <t>Oui</t>
        </is>
      </c>
      <c r="H276" s="26" t="inlineStr">
        <is>
          <t>Review / retour exploitable</t>
        </is>
      </c>
    </row>
    <row r="277">
      <c r="A277" s="26" t="inlineStr">
        <is>
          <t>FiiO</t>
        </is>
      </c>
      <c r="B277" s="26" t="inlineStr">
        <is>
          <t>KA11</t>
        </is>
      </c>
      <c r="C277" s="26" t="n">
        <v>4</v>
      </c>
      <c r="D277" s="26" t="inlineStr">
        <is>
          <t>Review éditoriale</t>
        </is>
      </c>
      <c r="E277" s="26" t="inlineStr">
        <is>
          <t>androidcentral.com</t>
        </is>
      </c>
      <c r="F277" s="23" t="inlineStr">
        <is>
          <t>https://www.androidcentral.com/accessories/audio/fiio-ka11-review</t>
        </is>
      </c>
      <c r="G277" s="26" t="inlineStr">
        <is>
          <t>Oui</t>
        </is>
      </c>
      <c r="H277" s="26" t="inlineStr">
        <is>
          <t>Review / retour exploitable</t>
        </is>
      </c>
    </row>
    <row r="278">
      <c r="A278" s="26" t="inlineStr">
        <is>
          <t>FiiO</t>
        </is>
      </c>
      <c r="B278" s="26" t="inlineStr">
        <is>
          <t>KA17</t>
        </is>
      </c>
      <c r="C278" s="26" t="n">
        <v>1</v>
      </c>
      <c r="D278" s="26" t="inlineStr">
        <is>
          <t>Review éditoriale</t>
        </is>
      </c>
      <c r="E278" s="26" t="inlineStr">
        <is>
          <t>headfonics.com</t>
        </is>
      </c>
      <c r="F278" s="23" t="inlineStr">
        <is>
          <t>https://headfonics.com/fiio-ka17-review/</t>
        </is>
      </c>
      <c r="G278" s="26" t="inlineStr">
        <is>
          <t>Oui</t>
        </is>
      </c>
      <c r="H278" s="26" t="inlineStr">
        <is>
          <t>Review / retour exploitable</t>
        </is>
      </c>
    </row>
    <row r="279">
      <c r="A279" s="26" t="inlineStr">
        <is>
          <t>FiiO</t>
        </is>
      </c>
      <c r="B279" s="26" t="inlineStr">
        <is>
          <t>KA17</t>
        </is>
      </c>
      <c r="C279" s="26" t="n">
        <v>2</v>
      </c>
      <c r="D279" s="26" t="inlineStr">
        <is>
          <t>Head-Fi reviews</t>
        </is>
      </c>
      <c r="E279" s="26" t="inlineStr">
        <is>
          <t>head-fi.org</t>
        </is>
      </c>
      <c r="F279" s="23" t="inlineStr">
        <is>
          <t>https://www.head-fi.org/showcase/fiio-ka17.26982/reviews</t>
        </is>
      </c>
      <c r="G279" s="26" t="inlineStr">
        <is>
          <t>Oui</t>
        </is>
      </c>
      <c r="H279" s="26" t="inlineStr">
        <is>
          <t>Review / retour exploitable</t>
        </is>
      </c>
    </row>
    <row r="280">
      <c r="A280" s="26" t="inlineStr">
        <is>
          <t>FiiO</t>
        </is>
      </c>
      <c r="B280" s="26" t="inlineStr">
        <is>
          <t>KA17</t>
        </is>
      </c>
      <c r="C280" s="26" t="n">
        <v>3</v>
      </c>
      <c r="D280" s="26" t="inlineStr">
        <is>
          <t>Review éditoriale</t>
        </is>
      </c>
      <c r="E280" s="26" t="inlineStr">
        <is>
          <t>headfonia.com</t>
        </is>
      </c>
      <c r="F280" s="23" t="inlineStr">
        <is>
          <t>https://www.headfonia.com/fiio-ka17-review/</t>
        </is>
      </c>
      <c r="G280" s="26" t="inlineStr">
        <is>
          <t>Oui</t>
        </is>
      </c>
      <c r="H280" s="26" t="inlineStr">
        <is>
          <t>Review / retour exploitable</t>
        </is>
      </c>
    </row>
    <row r="281">
      <c r="A281" s="26" t="inlineStr">
        <is>
          <t>FiiO</t>
        </is>
      </c>
      <c r="B281" s="26" t="inlineStr">
        <is>
          <t>KA17</t>
        </is>
      </c>
      <c r="C281" s="26" t="n">
        <v>4</v>
      </c>
      <c r="D281" s="26" t="inlineStr">
        <is>
          <t>Review éditoriale</t>
        </is>
      </c>
      <c r="E281" s="26" t="inlineStr">
        <is>
          <t>primeaudio.org</t>
        </is>
      </c>
      <c r="F281" s="23" t="inlineStr">
        <is>
          <t>https://primeaudio.org/fiio-ka17-review/</t>
        </is>
      </c>
      <c r="G281" s="26" t="inlineStr">
        <is>
          <t>Oui</t>
        </is>
      </c>
      <c r="H281" s="26" t="inlineStr">
        <is>
          <t>Review / retour exploitable</t>
        </is>
      </c>
    </row>
    <row r="282">
      <c r="A282" s="26" t="inlineStr">
        <is>
          <t>Colorfly</t>
        </is>
      </c>
      <c r="B282" s="26" t="inlineStr">
        <is>
          <t>CDA-M2</t>
        </is>
      </c>
      <c r="C282" s="26" t="n">
        <v>1</v>
      </c>
      <c r="D282" s="26" t="inlineStr">
        <is>
          <t>Review éditoriale</t>
        </is>
      </c>
      <c r="E282" s="26" t="inlineStr">
        <is>
          <t>headfonics.com</t>
        </is>
      </c>
      <c r="F282" s="23" t="inlineStr">
        <is>
          <t>https://headfonics.com/colorfly-cda-m2-review/</t>
        </is>
      </c>
      <c r="G282" s="26" t="inlineStr">
        <is>
          <t>Oui</t>
        </is>
      </c>
      <c r="H282" s="26" t="inlineStr">
        <is>
          <t>Review / retour exploitable</t>
        </is>
      </c>
    </row>
    <row r="283">
      <c r="A283" s="26" t="inlineStr">
        <is>
          <t>Colorfly</t>
        </is>
      </c>
      <c r="B283" s="26" t="inlineStr">
        <is>
          <t>CDA-M2</t>
        </is>
      </c>
      <c r="C283" s="26" t="n">
        <v>2</v>
      </c>
      <c r="D283" s="26" t="inlineStr">
        <is>
          <t>Review éditoriale</t>
        </is>
      </c>
      <c r="E283" s="26" t="inlineStr">
        <is>
          <t>headphonesty.com</t>
        </is>
      </c>
      <c r="F283" s="23" t="inlineStr">
        <is>
          <t>https://www.headphonesty.com/2024/08/colorfly-cda-m2-review/</t>
        </is>
      </c>
      <c r="G283" s="26" t="inlineStr">
        <is>
          <t>Oui</t>
        </is>
      </c>
      <c r="H283" s="26" t="inlineStr">
        <is>
          <t>Review / retour exploitable</t>
        </is>
      </c>
    </row>
    <row r="284">
      <c r="A284" s="26" t="inlineStr">
        <is>
          <t>Colorfly</t>
        </is>
      </c>
      <c r="B284" s="26" t="inlineStr">
        <is>
          <t>CDA-M2</t>
        </is>
      </c>
      <c r="C284" s="26" t="n">
        <v>3</v>
      </c>
      <c r="D284" s="26" t="inlineStr">
        <is>
          <t>Review éditoriale</t>
        </is>
      </c>
      <c r="E284" s="26" t="inlineStr">
        <is>
          <t>primeaudio.org</t>
        </is>
      </c>
      <c r="F284" s="23" t="inlineStr">
        <is>
          <t>https://primeaudio.org/colorfly-cda-m2-review/</t>
        </is>
      </c>
      <c r="G284" s="26" t="inlineStr">
        <is>
          <t>Oui</t>
        </is>
      </c>
      <c r="H284" s="26" t="inlineStr">
        <is>
          <t>Review / retour exploitable</t>
        </is>
      </c>
    </row>
    <row r="285">
      <c r="A285" s="26" t="inlineStr">
        <is>
          <t>Colorfly</t>
        </is>
      </c>
      <c r="B285" s="26" t="inlineStr">
        <is>
          <t>CDA-M2</t>
        </is>
      </c>
      <c r="C285" s="26" t="n">
        <v>4</v>
      </c>
      <c r="D285" s="26" t="inlineStr">
        <is>
          <t>Review éditoriale</t>
        </is>
      </c>
      <c r="E285" s="26" t="inlineStr">
        <is>
          <t>moonstarreviews.net</t>
        </is>
      </c>
      <c r="F285" s="23" t="inlineStr">
        <is>
          <t>https://moonstarreviews.net/colorfly-cda-m2-review/</t>
        </is>
      </c>
      <c r="G285" s="26" t="inlineStr">
        <is>
          <t>Oui</t>
        </is>
      </c>
      <c r="H285" s="26" t="inlineStr">
        <is>
          <t>Review / retour exploitable</t>
        </is>
      </c>
    </row>
    <row r="286">
      <c r="A286" s="26" t="inlineStr">
        <is>
          <t>ddHiFi</t>
        </is>
      </c>
      <c r="B286" s="26" t="inlineStr">
        <is>
          <t>TC44Pro E2</t>
        </is>
      </c>
      <c r="C286" s="26" t="n">
        <v>1</v>
      </c>
      <c r="D286" s="26" t="inlineStr">
        <is>
          <t>Review éditoriale</t>
        </is>
      </c>
      <c r="E286" s="26" t="inlineStr">
        <is>
          <t>headfonics.com</t>
        </is>
      </c>
      <c r="F286" s="23" t="inlineStr">
        <is>
          <t>https://headfonics.com/ddhifi-tc44pro-e2-review/</t>
        </is>
      </c>
      <c r="G286" s="26" t="inlineStr">
        <is>
          <t>Oui</t>
        </is>
      </c>
      <c r="H286" s="26" t="inlineStr">
        <is>
          <t>Review / retour exploitable</t>
        </is>
      </c>
    </row>
    <row r="287">
      <c r="A287" s="26" t="inlineStr">
        <is>
          <t>ddHiFi</t>
        </is>
      </c>
      <c r="B287" s="26" t="inlineStr">
        <is>
          <t>TC44Pro E2</t>
        </is>
      </c>
      <c r="C287" s="26" t="n">
        <v>2</v>
      </c>
      <c r="D287" s="26" t="inlineStr">
        <is>
          <t>Head-Fi reviews</t>
        </is>
      </c>
      <c r="E287" s="26" t="inlineStr">
        <is>
          <t>head-fi.org</t>
        </is>
      </c>
      <c r="F287" s="23" t="inlineStr">
        <is>
          <t>https://www.head-fi.org/showcase/ddhifi-tc44pro-e2.27259/reviews</t>
        </is>
      </c>
      <c r="G287" s="26" t="inlineStr">
        <is>
          <t>Oui</t>
        </is>
      </c>
      <c r="H287" s="26" t="inlineStr">
        <is>
          <t>Review / retour exploitable</t>
        </is>
      </c>
    </row>
    <row r="288">
      <c r="A288" s="26" t="inlineStr">
        <is>
          <t>ddHiFi</t>
        </is>
      </c>
      <c r="B288" s="26" t="inlineStr">
        <is>
          <t>TC44Pro E2</t>
        </is>
      </c>
      <c r="C288" s="26" t="n">
        <v>3</v>
      </c>
      <c r="D288" s="26" t="inlineStr">
        <is>
          <t>Review éditoriale</t>
        </is>
      </c>
      <c r="E288" s="26" t="inlineStr">
        <is>
          <t>headfonia.com</t>
        </is>
      </c>
      <c r="F288" s="23" t="inlineStr">
        <is>
          <t>https://www.headfonia.com/ddhifi-tc44pro-e2-review/</t>
        </is>
      </c>
      <c r="G288" s="26" t="inlineStr">
        <is>
          <t>Oui</t>
        </is>
      </c>
      <c r="H288" s="26" t="inlineStr">
        <is>
          <t>Review / retour exploitable</t>
        </is>
      </c>
    </row>
    <row r="289">
      <c r="A289" s="26" t="inlineStr">
        <is>
          <t>ddHiFi</t>
        </is>
      </c>
      <c r="B289" s="26" t="inlineStr">
        <is>
          <t>TC44Pro E2</t>
        </is>
      </c>
      <c r="C289" s="26" t="n">
        <v>4</v>
      </c>
      <c r="D289" s="26" t="inlineStr">
        <is>
          <t>Review éditoriale</t>
        </is>
      </c>
      <c r="E289" s="26" t="inlineStr">
        <is>
          <t>audio46.com</t>
        </is>
      </c>
      <c r="F289" s="23" t="inlineStr">
        <is>
          <t>https://audio46.com/blogs/headphones/ddhifi-tc44pro-e2-review</t>
        </is>
      </c>
      <c r="G289" s="26" t="inlineStr">
        <is>
          <t>Oui</t>
        </is>
      </c>
      <c r="H289" s="26" t="inlineStr">
        <is>
          <t>Review / retour exploitable</t>
        </is>
      </c>
    </row>
    <row r="290">
      <c r="A290" s="26" t="inlineStr">
        <is>
          <t>Hidizs</t>
        </is>
      </c>
      <c r="B290" s="26" t="inlineStr">
        <is>
          <t>SD2</t>
        </is>
      </c>
      <c r="C290" s="26" t="n">
        <v>1</v>
      </c>
      <c r="D290" s="26" t="inlineStr">
        <is>
          <t>Review éditoriale</t>
        </is>
      </c>
      <c r="E290" s="26" t="inlineStr">
        <is>
          <t>headfonics.com</t>
        </is>
      </c>
      <c r="F290" s="23" t="inlineStr">
        <is>
          <t>https://headfonics.com/hidizs-sd2-review/</t>
        </is>
      </c>
      <c r="G290" s="26" t="inlineStr">
        <is>
          <t>Oui</t>
        </is>
      </c>
      <c r="H290" s="26" t="inlineStr">
        <is>
          <t>Review / retour exploitable</t>
        </is>
      </c>
    </row>
    <row r="291">
      <c r="A291" s="26" t="inlineStr">
        <is>
          <t>Hidizs</t>
        </is>
      </c>
      <c r="B291" s="26" t="inlineStr">
        <is>
          <t>SD2</t>
        </is>
      </c>
      <c r="C291" s="26" t="n">
        <v>2</v>
      </c>
      <c r="D291" s="26" t="inlineStr">
        <is>
          <t>Head-Fi reviews</t>
        </is>
      </c>
      <c r="E291" s="26" t="inlineStr">
        <is>
          <t>head-fi.org</t>
        </is>
      </c>
      <c r="F291" s="23" t="inlineStr">
        <is>
          <t>https://www.head-fi.org/showcase/hidizs-sd2.27003/reviews</t>
        </is>
      </c>
      <c r="G291" s="26" t="inlineStr">
        <is>
          <t>Oui</t>
        </is>
      </c>
      <c r="H291" s="26" t="inlineStr">
        <is>
          <t>Review / retour exploitable</t>
        </is>
      </c>
    </row>
    <row r="292">
      <c r="A292" s="26" t="inlineStr">
        <is>
          <t>Hidizs</t>
        </is>
      </c>
      <c r="B292" s="26" t="inlineStr">
        <is>
          <t>SD2</t>
        </is>
      </c>
      <c r="C292" s="26" t="n">
        <v>3</v>
      </c>
      <c r="D292" s="26" t="inlineStr">
        <is>
          <t>Review éditoriale</t>
        </is>
      </c>
      <c r="E292" s="26" t="inlineStr">
        <is>
          <t>mobileaudiophile.com</t>
        </is>
      </c>
      <c r="F292" s="23" t="inlineStr">
        <is>
          <t>https://mobileaudiophile.com/dacs/dongle/hidizs-sd2-review-enjoy-the-versatility/</t>
        </is>
      </c>
      <c r="G292" s="26" t="inlineStr">
        <is>
          <t>Oui</t>
        </is>
      </c>
      <c r="H292" s="26" t="inlineStr">
        <is>
          <t>Review / retour exploitable</t>
        </is>
      </c>
    </row>
    <row r="293">
      <c r="A293" s="26" t="inlineStr">
        <is>
          <t>Colorfly</t>
        </is>
      </c>
      <c r="B293" s="26" t="inlineStr">
        <is>
          <t>CDA-M1P</t>
        </is>
      </c>
      <c r="C293" s="26" t="n">
        <v>1</v>
      </c>
      <c r="D293" s="26" t="inlineStr">
        <is>
          <t>Review éditoriale</t>
        </is>
      </c>
      <c r="E293" s="26" t="inlineStr">
        <is>
          <t>headfonics.com</t>
        </is>
      </c>
      <c r="F293" s="23" t="inlineStr">
        <is>
          <t>https://headfonics.com/colorfly-cda-m1p-review/</t>
        </is>
      </c>
      <c r="G293" s="26" t="inlineStr">
        <is>
          <t>Oui</t>
        </is>
      </c>
      <c r="H293" s="26" t="inlineStr">
        <is>
          <t>Review / retour exploitable</t>
        </is>
      </c>
    </row>
    <row r="294">
      <c r="A294" s="26" t="inlineStr">
        <is>
          <t>Colorfly</t>
        </is>
      </c>
      <c r="B294" s="26" t="inlineStr">
        <is>
          <t>CDA-M1P</t>
        </is>
      </c>
      <c r="C294" s="26" t="n">
        <v>2</v>
      </c>
      <c r="D294" s="26" t="inlineStr">
        <is>
          <t>Head-Fi reviews</t>
        </is>
      </c>
      <c r="E294" s="26" t="inlineStr">
        <is>
          <t>head-fi.org</t>
        </is>
      </c>
      <c r="F294" s="23" t="inlineStr">
        <is>
          <t>https://www.head-fi.org/showcase/colorfly-cda-m1p-portable-hifi-dsd512-usb-ak4493seq-dac-amplifier.27007/reviews</t>
        </is>
      </c>
      <c r="G294" s="26" t="inlineStr">
        <is>
          <t>Oui</t>
        </is>
      </c>
      <c r="H294" s="26" t="inlineStr">
        <is>
          <t>Review / retour exploitable</t>
        </is>
      </c>
    </row>
    <row r="295">
      <c r="A295" s="26" t="inlineStr">
        <is>
          <t>Colorfly</t>
        </is>
      </c>
      <c r="B295" s="26" t="inlineStr">
        <is>
          <t>CDA-M1P</t>
        </is>
      </c>
      <c r="C295" s="26" t="n">
        <v>3</v>
      </c>
      <c r="D295" s="26" t="inlineStr">
        <is>
          <t>Review éditoriale</t>
        </is>
      </c>
      <c r="E295" s="26" t="inlineStr">
        <is>
          <t>audioreviews.org</t>
        </is>
      </c>
      <c r="F295" s="23" t="inlineStr">
        <is>
          <t>https://www.audioreviews.org/colorfly-cda-m1p-review-dw/</t>
        </is>
      </c>
      <c r="G295" s="26" t="inlineStr">
        <is>
          <t>Oui</t>
        </is>
      </c>
      <c r="H295" s="26" t="inlineStr">
        <is>
          <t>Review / retour exploitable</t>
        </is>
      </c>
    </row>
    <row r="296">
      <c r="A296" s="26" t="inlineStr">
        <is>
          <t>Colorfly</t>
        </is>
      </c>
      <c r="B296" s="26" t="inlineStr">
        <is>
          <t>CDA-M1P</t>
        </is>
      </c>
      <c r="C296" s="26" t="n">
        <v>4</v>
      </c>
      <c r="D296" s="26" t="inlineStr">
        <is>
          <t>Review éditoriale</t>
        </is>
      </c>
      <c r="E296" s="26" t="inlineStr">
        <is>
          <t>androidbrick.com</t>
        </is>
      </c>
      <c r="F296" s="23" t="inlineStr">
        <is>
          <t>https://androidbrick.com/colorfly-cda-m1p-review/</t>
        </is>
      </c>
      <c r="G296" s="26" t="inlineStr">
        <is>
          <t>Oui</t>
        </is>
      </c>
      <c r="H296" s="26" t="inlineStr">
        <is>
          <t>Review / retour exploitable</t>
        </is>
      </c>
    </row>
    <row r="297">
      <c r="A297" s="26" t="inlineStr">
        <is>
          <t>FiiO</t>
        </is>
      </c>
      <c r="B297" s="26" t="inlineStr">
        <is>
          <t>Q15</t>
        </is>
      </c>
      <c r="C297" s="26" t="n">
        <v>1</v>
      </c>
      <c r="D297" s="26" t="inlineStr">
        <is>
          <t>Review éditoriale</t>
        </is>
      </c>
      <c r="E297" s="26" t="inlineStr">
        <is>
          <t>headfonics.com</t>
        </is>
      </c>
      <c r="F297" s="23" t="inlineStr">
        <is>
          <t>https://headfonics.com/fiio-q15-review/</t>
        </is>
      </c>
      <c r="G297" s="26" t="inlineStr">
        <is>
          <t>Oui</t>
        </is>
      </c>
      <c r="H297" s="26" t="inlineStr">
        <is>
          <t>Review / retour exploitable</t>
        </is>
      </c>
    </row>
    <row r="298">
      <c r="A298" s="26" t="inlineStr">
        <is>
          <t>FiiO</t>
        </is>
      </c>
      <c r="B298" s="26" t="inlineStr">
        <is>
          <t>Q15</t>
        </is>
      </c>
      <c r="C298" s="26" t="n">
        <v>2</v>
      </c>
      <c r="D298" s="26" t="inlineStr">
        <is>
          <t>Head-Fi reviews</t>
        </is>
      </c>
      <c r="E298" s="26" t="inlineStr">
        <is>
          <t>head-fi.org</t>
        </is>
      </c>
      <c r="F298" s="23" t="inlineStr">
        <is>
          <t>https://www.head-fi.org/showcase/fiio-q15.26846/reviews</t>
        </is>
      </c>
      <c r="G298" s="26" t="inlineStr">
        <is>
          <t>Oui</t>
        </is>
      </c>
      <c r="H298" s="26" t="inlineStr">
        <is>
          <t>Review / retour exploitable</t>
        </is>
      </c>
    </row>
    <row r="299">
      <c r="A299" s="26" t="inlineStr">
        <is>
          <t>FiiO</t>
        </is>
      </c>
      <c r="B299" s="26" t="inlineStr">
        <is>
          <t>Q15</t>
        </is>
      </c>
      <c r="C299" s="26" t="n">
        <v>3</v>
      </c>
      <c r="D299" s="26" t="inlineStr">
        <is>
          <t>Review éditoriale</t>
        </is>
      </c>
      <c r="E299" s="26" t="inlineStr">
        <is>
          <t>headfonia.com</t>
        </is>
      </c>
      <c r="F299" s="23" t="inlineStr">
        <is>
          <t>https://www.headfonia.com/fiio-q15-review/</t>
        </is>
      </c>
      <c r="G299" s="26" t="inlineStr">
        <is>
          <t>Oui</t>
        </is>
      </c>
      <c r="H299" s="26" t="inlineStr">
        <is>
          <t>Review / retour exploitable</t>
        </is>
      </c>
    </row>
    <row r="300">
      <c r="A300" s="26" t="inlineStr">
        <is>
          <t>FiiO</t>
        </is>
      </c>
      <c r="B300" s="26" t="inlineStr">
        <is>
          <t>Q15</t>
        </is>
      </c>
      <c r="C300" s="26" t="n">
        <v>4</v>
      </c>
      <c r="D300" s="26" t="inlineStr">
        <is>
          <t>Review éditoriale</t>
        </is>
      </c>
      <c r="E300" s="26" t="inlineStr">
        <is>
          <t>androidcentral.com</t>
        </is>
      </c>
      <c r="F300" s="23" t="inlineStr">
        <is>
          <t>https://www.androidcentral.com/accessories/audio/fiio-q15-review</t>
        </is>
      </c>
      <c r="G300" s="26" t="inlineStr">
        <is>
          <t>Oui</t>
        </is>
      </c>
      <c r="H300" s="26" t="inlineStr">
        <is>
          <t>Review / retour exploitable</t>
        </is>
      </c>
    </row>
    <row r="301">
      <c r="A301" s="26" t="inlineStr">
        <is>
          <t>iFi audio</t>
        </is>
      </c>
      <c r="B301" s="26" t="inlineStr">
        <is>
          <t>iDSD Diablo 2</t>
        </is>
      </c>
      <c r="C301" s="26" t="n">
        <v>1</v>
      </c>
      <c r="D301" s="26" t="inlineStr">
        <is>
          <t>Review éditoriale</t>
        </is>
      </c>
      <c r="E301" s="26" t="inlineStr">
        <is>
          <t>headfonics.com</t>
        </is>
      </c>
      <c r="F301" s="23" t="inlineStr">
        <is>
          <t>https://headfonics.com/ifi-audio-idsd-diablo-2-review/</t>
        </is>
      </c>
      <c r="G301" s="26" t="inlineStr">
        <is>
          <t>Oui</t>
        </is>
      </c>
      <c r="H301" s="26" t="inlineStr">
        <is>
          <t>Review / retour exploitable</t>
        </is>
      </c>
    </row>
    <row r="302">
      <c r="A302" s="26" t="inlineStr">
        <is>
          <t>iFi audio</t>
        </is>
      </c>
      <c r="B302" s="26" t="inlineStr">
        <is>
          <t>iDSD Diablo 2</t>
        </is>
      </c>
      <c r="C302" s="26" t="n">
        <v>2</v>
      </c>
      <c r="D302" s="26" t="inlineStr">
        <is>
          <t>Head-Fi reviews</t>
        </is>
      </c>
      <c r="E302" s="26" t="inlineStr">
        <is>
          <t>head-fi.org</t>
        </is>
      </c>
      <c r="F302" s="23" t="inlineStr">
        <is>
          <t>https://www.head-fi.org/showcase/ifi-audio-idsd-diablo-2.26962/reviews</t>
        </is>
      </c>
      <c r="G302" s="26" t="inlineStr">
        <is>
          <t>Oui</t>
        </is>
      </c>
      <c r="H302" s="26" t="inlineStr">
        <is>
          <t>Review / retour exploitable</t>
        </is>
      </c>
    </row>
    <row r="303">
      <c r="A303" s="26" t="inlineStr">
        <is>
          <t>iFi audio</t>
        </is>
      </c>
      <c r="B303" s="26" t="inlineStr">
        <is>
          <t>iDSD Diablo 2</t>
        </is>
      </c>
      <c r="C303" s="26" t="n">
        <v>3</v>
      </c>
      <c r="D303" s="26" t="inlineStr">
        <is>
          <t>Review éditoriale</t>
        </is>
      </c>
      <c r="E303" s="26" t="inlineStr">
        <is>
          <t>techradar.com</t>
        </is>
      </c>
      <c r="F303" s="23" t="inlineStr">
        <is>
          <t>https://www.techradar.com/audio/hi-fi/ifi-idsd-diablo-2-review-the-red-dacs-more-devilishly-good-second-time-around</t>
        </is>
      </c>
      <c r="G303" s="26" t="inlineStr">
        <is>
          <t>Oui</t>
        </is>
      </c>
      <c r="H303" s="26" t="inlineStr">
        <is>
          <t>Review / retour exploitable</t>
        </is>
      </c>
    </row>
    <row r="304">
      <c r="A304" s="26" t="inlineStr">
        <is>
          <t>iFi audio</t>
        </is>
      </c>
      <c r="B304" s="26" t="inlineStr">
        <is>
          <t>iDSD Diablo 2</t>
        </is>
      </c>
      <c r="C304" s="26" t="n">
        <v>4</v>
      </c>
      <c r="D304" s="26" t="inlineStr">
        <is>
          <t>Review éditoriale</t>
        </is>
      </c>
      <c r="E304" s="26" t="inlineStr">
        <is>
          <t>audio46.com</t>
        </is>
      </c>
      <c r="F304" s="23" t="inlineStr">
        <is>
          <t>https://audio46.com/blogs/headphones/ifi-diablo-2-review</t>
        </is>
      </c>
      <c r="G304" s="26" t="inlineStr">
        <is>
          <t>Oui</t>
        </is>
      </c>
      <c r="H304" s="26" t="inlineStr">
        <is>
          <t>Review / retour exploitable</t>
        </is>
      </c>
    </row>
    <row r="305">
      <c r="A305" s="26" t="inlineStr">
        <is>
          <t>ddHiFi</t>
        </is>
      </c>
      <c r="B305" s="26" t="inlineStr">
        <is>
          <t>TC35Pro Eye2 &amp; Mountain2</t>
        </is>
      </c>
      <c r="C305" s="26" t="n">
        <v>1</v>
      </c>
      <c r="D305" s="26" t="inlineStr">
        <is>
          <t>Review éditoriale</t>
        </is>
      </c>
      <c r="E305" s="26" t="inlineStr">
        <is>
          <t>headfonics.com</t>
        </is>
      </c>
      <c r="F305" s="23" t="inlineStr">
        <is>
          <t>https://headfonics.com/ddhifi-tc35pro-eye2-mountain2-review/</t>
        </is>
      </c>
      <c r="G305" s="26" t="inlineStr">
        <is>
          <t>Oui</t>
        </is>
      </c>
      <c r="H305" s="26" t="inlineStr">
        <is>
          <t>Review / retour exploitable</t>
        </is>
      </c>
    </row>
    <row r="306">
      <c r="A306" s="26" t="inlineStr">
        <is>
          <t>ddHiFi</t>
        </is>
      </c>
      <c r="B306" s="26" t="inlineStr">
        <is>
          <t>TC35Pro Eye2 &amp; Mountain2</t>
        </is>
      </c>
      <c r="C306" s="26" t="n">
        <v>2</v>
      </c>
      <c r="D306" s="26" t="inlineStr">
        <is>
          <t>Review éditoriale</t>
        </is>
      </c>
      <c r="E306" s="26" t="inlineStr">
        <is>
          <t>headfonia.com</t>
        </is>
      </c>
      <c r="F306" s="23" t="inlineStr">
        <is>
          <t>https://www.headfonia.com/ddhifi-tc35pro-eye2-mountain2-review/</t>
        </is>
      </c>
      <c r="G306" s="26" t="inlineStr">
        <is>
          <t>Oui</t>
        </is>
      </c>
      <c r="H306" s="26" t="inlineStr">
        <is>
          <t>Review / retour exploitable</t>
        </is>
      </c>
    </row>
    <row r="307">
      <c r="A307" s="26" t="inlineStr">
        <is>
          <t>ddHiFi</t>
        </is>
      </c>
      <c r="B307" s="26" t="inlineStr">
        <is>
          <t>TC35Pro Eye2 &amp; Mountain2</t>
        </is>
      </c>
      <c r="C307" s="26" t="n">
        <v>3</v>
      </c>
      <c r="D307" s="26" t="inlineStr">
        <is>
          <t>Review éditoriale</t>
        </is>
      </c>
      <c r="E307" s="26" t="inlineStr">
        <is>
          <t>androidbrick.com</t>
        </is>
      </c>
      <c r="F307" s="23" t="inlineStr">
        <is>
          <t>https://androidbrick.com/ddhifi-tc35pro-eye2-and-mountain2-review/</t>
        </is>
      </c>
      <c r="G307" s="26" t="inlineStr">
        <is>
          <t>Oui</t>
        </is>
      </c>
      <c r="H307" s="26" t="inlineStr">
        <is>
          <t>Review / retour exploitable</t>
        </is>
      </c>
    </row>
    <row r="308">
      <c r="A308" s="26" t="inlineStr">
        <is>
          <t>Shanling</t>
        </is>
      </c>
      <c r="B308" s="26" t="inlineStr">
        <is>
          <t>UA1 Plus</t>
        </is>
      </c>
      <c r="C308" s="26" t="n">
        <v>1</v>
      </c>
      <c r="D308" s="26" t="inlineStr">
        <is>
          <t>Review éditoriale</t>
        </is>
      </c>
      <c r="E308" s="26" t="inlineStr">
        <is>
          <t>headfonics.com</t>
        </is>
      </c>
      <c r="F308" s="23" t="inlineStr">
        <is>
          <t>https://headfonics.com/shanling-ua1-plus-review/</t>
        </is>
      </c>
      <c r="G308" s="26" t="inlineStr">
        <is>
          <t>Oui</t>
        </is>
      </c>
      <c r="H308" s="26" t="inlineStr">
        <is>
          <t>Review / retour exploitable</t>
        </is>
      </c>
    </row>
    <row r="309">
      <c r="A309" s="26" t="inlineStr">
        <is>
          <t>Shanling</t>
        </is>
      </c>
      <c r="B309" s="26" t="inlineStr">
        <is>
          <t>UA1 Plus</t>
        </is>
      </c>
      <c r="C309" s="26" t="n">
        <v>2</v>
      </c>
      <c r="D309" s="26" t="inlineStr">
        <is>
          <t>Head-Fi reviews</t>
        </is>
      </c>
      <c r="E309" s="26" t="inlineStr">
        <is>
          <t>head-fi.org</t>
        </is>
      </c>
      <c r="F309" s="23" t="inlineStr">
        <is>
          <t>https://www.head-fi.org/showcase/shanling-ua1-plus.26636/reviews</t>
        </is>
      </c>
      <c r="G309" s="26" t="inlineStr">
        <is>
          <t>Oui</t>
        </is>
      </c>
      <c r="H309" s="26" t="inlineStr">
        <is>
          <t>Review / retour exploitable</t>
        </is>
      </c>
    </row>
    <row r="310">
      <c r="A310" s="26" t="inlineStr">
        <is>
          <t>Shanling</t>
        </is>
      </c>
      <c r="B310" s="26" t="inlineStr">
        <is>
          <t>UA1 Plus</t>
        </is>
      </c>
      <c r="C310" s="26" t="n">
        <v>3</v>
      </c>
      <c r="D310" s="26" t="inlineStr">
        <is>
          <t>Review éditoriale</t>
        </is>
      </c>
      <c r="E310" s="26" t="inlineStr">
        <is>
          <t>androidbrick.com</t>
        </is>
      </c>
      <c r="F310" s="23" t="inlineStr">
        <is>
          <t>https://androidbrick.com/shanling-ua1-plus-review/</t>
        </is>
      </c>
      <c r="G310" s="26" t="inlineStr">
        <is>
          <t>Oui</t>
        </is>
      </c>
      <c r="H310" s="26" t="inlineStr">
        <is>
          <t>Review / retour exploitable</t>
        </is>
      </c>
    </row>
    <row r="311">
      <c r="A311" s="26" t="inlineStr">
        <is>
          <t>Shanling</t>
        </is>
      </c>
      <c r="B311" s="26" t="inlineStr">
        <is>
          <t>UA1 Plus</t>
        </is>
      </c>
      <c r="C311" s="26" t="n">
        <v>4</v>
      </c>
      <c r="D311" s="26" t="inlineStr">
        <is>
          <t>Review éditoriale</t>
        </is>
      </c>
      <c r="E311" s="26" t="inlineStr">
        <is>
          <t>ichos-reviews.com</t>
        </is>
      </c>
      <c r="F311" s="23" t="inlineStr">
        <is>
          <t>https://ichos-reviews.com/shanling-ua1-plus-review/</t>
        </is>
      </c>
      <c r="G311" s="26" t="inlineStr">
        <is>
          <t>Oui</t>
        </is>
      </c>
      <c r="H311" s="26" t="inlineStr">
        <is>
          <t>Review / retour exploitable</t>
        </is>
      </c>
    </row>
    <row r="312">
      <c r="A312" s="26" t="inlineStr">
        <is>
          <t>iFi audio</t>
        </is>
      </c>
      <c r="B312" s="26" t="inlineStr">
        <is>
          <t>hip-dac 3</t>
        </is>
      </c>
      <c r="C312" s="26" t="n">
        <v>1</v>
      </c>
      <c r="D312" s="26" t="inlineStr">
        <is>
          <t>Review éditoriale</t>
        </is>
      </c>
      <c r="E312" s="26" t="inlineStr">
        <is>
          <t>headfonics.com</t>
        </is>
      </c>
      <c r="F312" s="23" t="inlineStr">
        <is>
          <t>https://headfonics.com/ifi-audio-hip-dac-3-review/</t>
        </is>
      </c>
      <c r="G312" s="26" t="inlineStr">
        <is>
          <t>Oui</t>
        </is>
      </c>
      <c r="H312" s="26" t="inlineStr">
        <is>
          <t>Review / retour exploitable</t>
        </is>
      </c>
    </row>
    <row r="313">
      <c r="A313" s="26" t="inlineStr">
        <is>
          <t>iFi audio</t>
        </is>
      </c>
      <c r="B313" s="26" t="inlineStr">
        <is>
          <t>hip-dac 3</t>
        </is>
      </c>
      <c r="C313" s="26" t="n">
        <v>2</v>
      </c>
      <c r="D313" s="26" t="inlineStr">
        <is>
          <t>Head-Fi reviews</t>
        </is>
      </c>
      <c r="E313" s="26" t="inlineStr">
        <is>
          <t>head-fi.org</t>
        </is>
      </c>
      <c r="F313" s="23" t="inlineStr">
        <is>
          <t>https://www.head-fi.org/showcase/ifi-audio-hip-dac-3.26837/reviews</t>
        </is>
      </c>
      <c r="G313" s="26" t="inlineStr">
        <is>
          <t>Oui</t>
        </is>
      </c>
      <c r="H313" s="26" t="inlineStr">
        <is>
          <t>Review / retour exploitable</t>
        </is>
      </c>
    </row>
    <row r="314">
      <c r="A314" s="26" t="inlineStr">
        <is>
          <t>iFi audio</t>
        </is>
      </c>
      <c r="B314" s="26" t="inlineStr">
        <is>
          <t>hip-dac 3</t>
        </is>
      </c>
      <c r="C314" s="26" t="n">
        <v>3</v>
      </c>
      <c r="D314" s="26" t="inlineStr">
        <is>
          <t>Review éditoriale</t>
        </is>
      </c>
      <c r="E314" s="26" t="inlineStr">
        <is>
          <t>whathifi.com</t>
        </is>
      </c>
      <c r="F314" s="23" t="inlineStr">
        <is>
          <t>https://www.whathifi.com/reviews/ifi-hip-dac-3</t>
        </is>
      </c>
      <c r="G314" s="26" t="inlineStr">
        <is>
          <t>Oui</t>
        </is>
      </c>
      <c r="H314" s="26" t="inlineStr">
        <is>
          <t>Review / retour exploitable</t>
        </is>
      </c>
    </row>
    <row r="315">
      <c r="A315" s="26" t="inlineStr">
        <is>
          <t>iFi audio</t>
        </is>
      </c>
      <c r="B315" s="26" t="inlineStr">
        <is>
          <t>hip-dac 3</t>
        </is>
      </c>
      <c r="C315" s="26" t="n">
        <v>4</v>
      </c>
      <c r="D315" s="26" t="inlineStr">
        <is>
          <t>Review éditoriale</t>
        </is>
      </c>
      <c r="E315" s="26" t="inlineStr">
        <is>
          <t>headphonesty.com</t>
        </is>
      </c>
      <c r="F315" s="23" t="inlineStr">
        <is>
          <t>https://www.headphonesty.com/2024/02/ifi-hip-dac-3-review/</t>
        </is>
      </c>
      <c r="G315" s="26" t="inlineStr">
        <is>
          <t>Oui</t>
        </is>
      </c>
      <c r="H315" s="26" t="inlineStr">
        <is>
          <t>Review / retour exploitable</t>
        </is>
      </c>
    </row>
    <row r="316">
      <c r="A316" s="26" t="inlineStr">
        <is>
          <t>Hidizs</t>
        </is>
      </c>
      <c r="B316" s="26" t="inlineStr">
        <is>
          <t>S9 Pro Plus Martha</t>
        </is>
      </c>
      <c r="C316" s="26" t="n">
        <v>1</v>
      </c>
      <c r="D316" s="26" t="inlineStr">
        <is>
          <t>Review éditoriale</t>
        </is>
      </c>
      <c r="E316" s="26" t="inlineStr">
        <is>
          <t>headfonics.com</t>
        </is>
      </c>
      <c r="F316" s="23" t="inlineStr">
        <is>
          <t>https://headfonics.com/hidizs-s9-pro-plus-martha-review/</t>
        </is>
      </c>
      <c r="G316" s="26" t="inlineStr">
        <is>
          <t>Oui</t>
        </is>
      </c>
      <c r="H316" s="26" t="inlineStr">
        <is>
          <t>Review / retour exploitable</t>
        </is>
      </c>
    </row>
    <row r="317">
      <c r="A317" s="26" t="inlineStr">
        <is>
          <t>Hidizs</t>
        </is>
      </c>
      <c r="B317" s="26" t="inlineStr">
        <is>
          <t>S9 Pro Plus Martha</t>
        </is>
      </c>
      <c r="C317" s="26" t="n">
        <v>2</v>
      </c>
      <c r="D317" s="26" t="inlineStr">
        <is>
          <t>Head-Fi reviews</t>
        </is>
      </c>
      <c r="E317" s="26" t="inlineStr">
        <is>
          <t>head-fi.org</t>
        </is>
      </c>
      <c r="F317" s="23" t="inlineStr">
        <is>
          <t>https://www.head-fi.org/showcase/hidizs-s9-pro-plus-martha.26811/reviews</t>
        </is>
      </c>
      <c r="G317" s="26" t="inlineStr">
        <is>
          <t>Oui</t>
        </is>
      </c>
      <c r="H317" s="26" t="inlineStr">
        <is>
          <t>Review / retour exploitable</t>
        </is>
      </c>
    </row>
    <row r="318">
      <c r="A318" s="26" t="inlineStr">
        <is>
          <t>Hidizs</t>
        </is>
      </c>
      <c r="B318" s="26" t="inlineStr">
        <is>
          <t>S9 Pro Plus Martha</t>
        </is>
      </c>
      <c r="C318" s="26" t="n">
        <v>3</v>
      </c>
      <c r="D318" s="26" t="inlineStr">
        <is>
          <t>Review éditoriale</t>
        </is>
      </c>
      <c r="E318" s="26" t="inlineStr">
        <is>
          <t>headphonesty.com</t>
        </is>
      </c>
      <c r="F318" s="23" t="inlineStr">
        <is>
          <t>https://www.headphonesty.com/2023/12/review-hidizs-s9-pro-plus-martha/</t>
        </is>
      </c>
      <c r="G318" s="26" t="inlineStr">
        <is>
          <t>Oui</t>
        </is>
      </c>
      <c r="H318" s="26" t="inlineStr">
        <is>
          <t>Review / retour exploitable</t>
        </is>
      </c>
    </row>
    <row r="319">
      <c r="A319" s="26" t="inlineStr">
        <is>
          <t>Hidizs</t>
        </is>
      </c>
      <c r="B319" s="26" t="inlineStr">
        <is>
          <t>S9 Pro Plus Martha</t>
        </is>
      </c>
      <c r="C319" s="26" t="n">
        <v>4</v>
      </c>
      <c r="D319" s="26" t="inlineStr">
        <is>
          <t>Review éditoriale</t>
        </is>
      </c>
      <c r="E319" s="26" t="inlineStr">
        <is>
          <t>mobileaudiophile.com</t>
        </is>
      </c>
      <c r="F319" s="23" t="inlineStr">
        <is>
          <t>https://mobileaudiophile.com/dacs/hidizs-s9-pro-plus-martha-review/</t>
        </is>
      </c>
      <c r="G319" s="26" t="inlineStr">
        <is>
          <t>Oui</t>
        </is>
      </c>
      <c r="H319" s="26" t="inlineStr">
        <is>
          <t>Review / retour exploitable</t>
        </is>
      </c>
    </row>
    <row r="320">
      <c r="A320" s="26" t="inlineStr">
        <is>
          <t>xDuoo</t>
        </is>
      </c>
      <c r="B320" s="26" t="inlineStr">
        <is>
          <t>XD05 Pro</t>
        </is>
      </c>
      <c r="C320" s="26" t="n">
        <v>1</v>
      </c>
      <c r="D320" s="26" t="inlineStr">
        <is>
          <t>Review éditoriale</t>
        </is>
      </c>
      <c r="E320" s="26" t="inlineStr">
        <is>
          <t>headfonics.com</t>
        </is>
      </c>
      <c r="F320" s="23" t="inlineStr">
        <is>
          <t>https://headfonics.com/xduoo-xd05-pro-review/</t>
        </is>
      </c>
      <c r="G320" s="26" t="inlineStr">
        <is>
          <t>Oui</t>
        </is>
      </c>
      <c r="H320" s="26" t="inlineStr">
        <is>
          <t>Review / retour exploitable</t>
        </is>
      </c>
    </row>
    <row r="321">
      <c r="A321" s="26" t="inlineStr">
        <is>
          <t>xDuoo</t>
        </is>
      </c>
      <c r="B321" s="26" t="inlineStr">
        <is>
          <t>XD05 Pro</t>
        </is>
      </c>
      <c r="C321" s="26" t="n">
        <v>2</v>
      </c>
      <c r="D321" s="26" t="inlineStr">
        <is>
          <t>Review éditoriale</t>
        </is>
      </c>
      <c r="E321" s="26" t="inlineStr">
        <is>
          <t>headphonesty.com</t>
        </is>
      </c>
      <c r="F321" s="23" t="inlineStr">
        <is>
          <t>https://www.headphonesty.com/2024/03/xduoo-xd05-pro-review/</t>
        </is>
      </c>
      <c r="G321" s="26" t="inlineStr">
        <is>
          <t>Oui</t>
        </is>
      </c>
      <c r="H321" s="26" t="inlineStr">
        <is>
          <t>Review / retour exploitable</t>
        </is>
      </c>
    </row>
    <row r="322">
      <c r="A322" s="26" t="inlineStr">
        <is>
          <t>xDuoo</t>
        </is>
      </c>
      <c r="B322" s="26" t="inlineStr">
        <is>
          <t>XD05 Pro</t>
        </is>
      </c>
      <c r="C322" s="26" t="n">
        <v>3</v>
      </c>
      <c r="D322" s="26" t="inlineStr">
        <is>
          <t>Review éditoriale</t>
        </is>
      </c>
      <c r="E322" s="26" t="inlineStr">
        <is>
          <t>soundnews.net</t>
        </is>
      </c>
      <c r="F322" s="23" t="inlineStr">
        <is>
          <t>https://soundnews.net/reviews/sources/dacs/xduoo-xd05-pro-review-badassery-on-the-go/</t>
        </is>
      </c>
      <c r="G322" s="26" t="inlineStr">
        <is>
          <t>Oui</t>
        </is>
      </c>
      <c r="H322" s="26" t="inlineStr">
        <is>
          <t>Review / retour exploitable</t>
        </is>
      </c>
    </row>
    <row r="323">
      <c r="A323" s="26" t="inlineStr">
        <is>
          <t>xDuoo</t>
        </is>
      </c>
      <c r="B323" s="26" t="inlineStr">
        <is>
          <t>XD05 Pro</t>
        </is>
      </c>
      <c r="C323" s="26" t="n">
        <v>4</v>
      </c>
      <c r="D323" s="26" t="inlineStr">
        <is>
          <t>Vidéo review</t>
        </is>
      </c>
      <c r="E323" s="26" t="inlineStr">
        <is>
          <t>youtube.com</t>
        </is>
      </c>
      <c r="F323" s="23" t="inlineStr">
        <is>
          <t>https://www.youtube.com/watch?v=nznizrQYqyA</t>
        </is>
      </c>
      <c r="G323" s="26" t="inlineStr">
        <is>
          <t>Oui</t>
        </is>
      </c>
      <c r="H323" s="26" t="inlineStr">
        <is>
          <t>Review / retour exploitable</t>
        </is>
      </c>
    </row>
    <row r="324">
      <c r="A324" s="26" t="inlineStr">
        <is>
          <t>FiiO</t>
        </is>
      </c>
      <c r="B324" s="26" t="inlineStr">
        <is>
          <t>KA13</t>
        </is>
      </c>
      <c r="C324" s="26" t="n">
        <v>1</v>
      </c>
      <c r="D324" s="26" t="inlineStr">
        <is>
          <t>Review éditoriale</t>
        </is>
      </c>
      <c r="E324" s="26" t="inlineStr">
        <is>
          <t>headfonics.com</t>
        </is>
      </c>
      <c r="F324" s="23" t="inlineStr">
        <is>
          <t>https://headfonics.com/fiio-ka13-review/</t>
        </is>
      </c>
      <c r="G324" s="26" t="inlineStr">
        <is>
          <t>Oui</t>
        </is>
      </c>
      <c r="H324" s="26" t="inlineStr">
        <is>
          <t>Review / retour exploitable</t>
        </is>
      </c>
    </row>
    <row r="325">
      <c r="A325" s="26" t="inlineStr">
        <is>
          <t>FiiO</t>
        </is>
      </c>
      <c r="B325" s="26" t="inlineStr">
        <is>
          <t>KA13</t>
        </is>
      </c>
      <c r="C325" s="26" t="n">
        <v>2</v>
      </c>
      <c r="D325" s="26" t="inlineStr">
        <is>
          <t>Head-Fi reviews</t>
        </is>
      </c>
      <c r="E325" s="26" t="inlineStr">
        <is>
          <t>head-fi.org</t>
        </is>
      </c>
      <c r="F325" s="23" t="inlineStr">
        <is>
          <t>https://www.head-fi.org/showcase/fiio-ka13.26751/reviews</t>
        </is>
      </c>
      <c r="G325" s="26" t="inlineStr">
        <is>
          <t>Oui</t>
        </is>
      </c>
      <c r="H325" s="26" t="inlineStr">
        <is>
          <t>Review / retour exploitable</t>
        </is>
      </c>
    </row>
    <row r="326">
      <c r="A326" s="26" t="inlineStr">
        <is>
          <t>FiiO</t>
        </is>
      </c>
      <c r="B326" s="26" t="inlineStr">
        <is>
          <t>KA13</t>
        </is>
      </c>
      <c r="C326" s="26" t="n">
        <v>3</v>
      </c>
      <c r="D326" s="26" t="inlineStr">
        <is>
          <t>Review éditoriale</t>
        </is>
      </c>
      <c r="E326" s="26" t="inlineStr">
        <is>
          <t>headfonia.com</t>
        </is>
      </c>
      <c r="F326" s="23" t="inlineStr">
        <is>
          <t>https://www.headfonia.com/fiio-ka13-review/</t>
        </is>
      </c>
      <c r="G326" s="26" t="inlineStr">
        <is>
          <t>Oui</t>
        </is>
      </c>
      <c r="H326" s="26" t="inlineStr">
        <is>
          <t>Review / retour exploitable</t>
        </is>
      </c>
    </row>
    <row r="327">
      <c r="A327" s="26" t="inlineStr">
        <is>
          <t>FiiO</t>
        </is>
      </c>
      <c r="B327" s="26" t="inlineStr">
        <is>
          <t>KA13</t>
        </is>
      </c>
      <c r="C327" s="26" t="n">
        <v>4</v>
      </c>
      <c r="D327" s="26" t="inlineStr">
        <is>
          <t>Review éditoriale</t>
        </is>
      </c>
      <c r="E327" s="26" t="inlineStr">
        <is>
          <t>androidcentral.com</t>
        </is>
      </c>
      <c r="F327" s="23" t="inlineStr">
        <is>
          <t>https://www.androidcentral.com/accessories/audio/fiio-ka13-review</t>
        </is>
      </c>
      <c r="G327" s="26" t="inlineStr">
        <is>
          <t>Oui</t>
        </is>
      </c>
      <c r="H327" s="26" t="inlineStr">
        <is>
          <t>Review / retour exploitable</t>
        </is>
      </c>
    </row>
    <row r="328">
      <c r="A328" s="26" t="inlineStr">
        <is>
          <t>Audirect</t>
        </is>
      </c>
      <c r="B328" s="26" t="inlineStr">
        <is>
          <t>Beam 4</t>
        </is>
      </c>
      <c r="C328" s="26" t="n">
        <v>1</v>
      </c>
      <c r="D328" s="26" t="inlineStr">
        <is>
          <t>Review éditoriale</t>
        </is>
      </c>
      <c r="E328" s="26" t="inlineStr">
        <is>
          <t>headfonics.com</t>
        </is>
      </c>
      <c r="F328" s="23" t="inlineStr">
        <is>
          <t>https://headfonics.com/audirect-beam-4-review/</t>
        </is>
      </c>
      <c r="G328" s="26" t="inlineStr">
        <is>
          <t>Oui</t>
        </is>
      </c>
      <c r="H328" s="26" t="inlineStr">
        <is>
          <t>Review / retour exploitable</t>
        </is>
      </c>
    </row>
    <row r="329">
      <c r="A329" s="26" t="inlineStr">
        <is>
          <t>Audirect</t>
        </is>
      </c>
      <c r="B329" s="26" t="inlineStr">
        <is>
          <t>Beam 4</t>
        </is>
      </c>
      <c r="C329" s="26" t="n">
        <v>2</v>
      </c>
      <c r="D329" s="26" t="inlineStr">
        <is>
          <t>Review éditoriale</t>
        </is>
      </c>
      <c r="E329" s="26" t="inlineStr">
        <is>
          <t>headphonesty.com</t>
        </is>
      </c>
      <c r="F329" s="23" t="inlineStr">
        <is>
          <t>https://www.headphonesty.com/2023/07/review-audirect-beam-4/</t>
        </is>
      </c>
      <c r="G329" s="26" t="inlineStr">
        <is>
          <t>Oui</t>
        </is>
      </c>
      <c r="H329" s="26" t="inlineStr">
        <is>
          <t>Review / retour exploitable</t>
        </is>
      </c>
    </row>
    <row r="330">
      <c r="A330" s="26" t="inlineStr">
        <is>
          <t>Audirect</t>
        </is>
      </c>
      <c r="B330" s="26" t="inlineStr">
        <is>
          <t>Beam 4</t>
        </is>
      </c>
      <c r="C330" s="26" t="n">
        <v>3</v>
      </c>
      <c r="D330" s="26" t="inlineStr">
        <is>
          <t>Head-Fi forum</t>
        </is>
      </c>
      <c r="E330" s="26" t="inlineStr">
        <is>
          <t>head-fi.org</t>
        </is>
      </c>
      <c r="F330" s="23" t="inlineStr">
        <is>
          <t>https://www.head-fi.org/threads/reviews-impressions-rants-and-more-from-darmanastartes.963101/page-4</t>
        </is>
      </c>
      <c r="G330" s="26" t="inlineStr">
        <is>
          <t>Oui</t>
        </is>
      </c>
      <c r="H330" s="26" t="inlineStr">
        <is>
          <t>Review / retour exploitable</t>
        </is>
      </c>
    </row>
    <row r="331">
      <c r="A331" s="26" t="inlineStr">
        <is>
          <t>ddHiFi</t>
        </is>
      </c>
      <c r="B331" s="26" t="inlineStr">
        <is>
          <t>TC44Pro</t>
        </is>
      </c>
      <c r="C331" s="26" t="n">
        <v>1</v>
      </c>
      <c r="D331" s="26" t="inlineStr">
        <is>
          <t>Review éditoriale</t>
        </is>
      </c>
      <c r="E331" s="26" t="inlineStr">
        <is>
          <t>headfonics.com</t>
        </is>
      </c>
      <c r="F331" s="23" t="inlineStr">
        <is>
          <t>https://headfonics.com/ddhifi-tc44pro-review/</t>
        </is>
      </c>
      <c r="G331" s="26" t="inlineStr">
        <is>
          <t>Oui</t>
        </is>
      </c>
      <c r="H331" s="26" t="inlineStr">
        <is>
          <t>Review / retour exploitable</t>
        </is>
      </c>
    </row>
    <row r="332">
      <c r="A332" s="26" t="inlineStr">
        <is>
          <t>ddHiFi</t>
        </is>
      </c>
      <c r="B332" s="26" t="inlineStr">
        <is>
          <t>TC44Pro</t>
        </is>
      </c>
      <c r="C332" s="26" t="n">
        <v>2</v>
      </c>
      <c r="D332" s="26" t="inlineStr">
        <is>
          <t>Head-Fi reviews</t>
        </is>
      </c>
      <c r="E332" s="26" t="inlineStr">
        <is>
          <t>head-fi.org</t>
        </is>
      </c>
      <c r="F332" s="23" t="inlineStr">
        <is>
          <t>https://www.head-fi.org/showcase/ddhifi-tc44pro.26664/reviews</t>
        </is>
      </c>
      <c r="G332" s="26" t="inlineStr">
        <is>
          <t>Oui</t>
        </is>
      </c>
      <c r="H332" s="26" t="inlineStr">
        <is>
          <t>Review / retour exploitable</t>
        </is>
      </c>
    </row>
    <row r="333">
      <c r="A333" s="26" t="inlineStr">
        <is>
          <t>ddHiFi</t>
        </is>
      </c>
      <c r="B333" s="26" t="inlineStr">
        <is>
          <t>TC44Pro</t>
        </is>
      </c>
      <c r="C333" s="26" t="n">
        <v>3</v>
      </c>
      <c r="D333" s="26" t="inlineStr">
        <is>
          <t>Review éditoriale</t>
        </is>
      </c>
      <c r="E333" s="26" t="inlineStr">
        <is>
          <t>headfonia.com</t>
        </is>
      </c>
      <c r="F333" s="23" t="inlineStr">
        <is>
          <t>https://www.headfonia.com/ddhifi-tc44pro-review/</t>
        </is>
      </c>
      <c r="G333" s="26" t="inlineStr">
        <is>
          <t>Oui</t>
        </is>
      </c>
      <c r="H333" s="26" t="inlineStr">
        <is>
          <t>Review / retour exploitable</t>
        </is>
      </c>
    </row>
    <row r="334">
      <c r="A334" s="26" t="inlineStr">
        <is>
          <t>ddHiFi</t>
        </is>
      </c>
      <c r="B334" s="26" t="inlineStr">
        <is>
          <t>TC44Pro</t>
        </is>
      </c>
      <c r="C334" s="26" t="n">
        <v>4</v>
      </c>
      <c r="D334" s="26" t="inlineStr">
        <is>
          <t>Fiche / republication constructeur</t>
        </is>
      </c>
      <c r="E334" s="26" t="inlineStr">
        <is>
          <t>ddhifi.com</t>
        </is>
      </c>
      <c r="F334" s="23" t="inlineStr">
        <is>
          <t>https://www.ddhifi.com/en/review/6588/</t>
        </is>
      </c>
      <c r="G334" s="95" t="inlineStr">
        <is>
          <t>Non</t>
        </is>
      </c>
      <c r="H334" s="26" t="inlineStr">
        <is>
          <t>Non comptée: fiche produit, constructeur, republication ou simple actualité</t>
        </is>
      </c>
    </row>
    <row r="335">
      <c r="A335" s="26" t="inlineStr">
        <is>
          <t>Moondrop</t>
        </is>
      </c>
      <c r="B335" s="26" t="inlineStr">
        <is>
          <t>Dawn Pro</t>
        </is>
      </c>
      <c r="C335" s="26" t="n">
        <v>1</v>
      </c>
      <c r="D335" s="26" t="inlineStr">
        <is>
          <t>Review éditoriale</t>
        </is>
      </c>
      <c r="E335" s="26" t="inlineStr">
        <is>
          <t>headfonics.com</t>
        </is>
      </c>
      <c r="F335" s="23" t="inlineStr">
        <is>
          <t>https://headfonics.com/moondrop-dawn-pro-review/</t>
        </is>
      </c>
      <c r="G335" s="26" t="inlineStr">
        <is>
          <t>Oui</t>
        </is>
      </c>
      <c r="H335" s="26" t="inlineStr">
        <is>
          <t>Review / retour exploitable</t>
        </is>
      </c>
    </row>
    <row r="336">
      <c r="A336" s="26" t="inlineStr">
        <is>
          <t>Moondrop</t>
        </is>
      </c>
      <c r="B336" s="26" t="inlineStr">
        <is>
          <t>Dawn Pro</t>
        </is>
      </c>
      <c r="C336" s="26" t="n">
        <v>2</v>
      </c>
      <c r="D336" s="26" t="inlineStr">
        <is>
          <t>Head-Fi reviews</t>
        </is>
      </c>
      <c r="E336" s="26" t="inlineStr">
        <is>
          <t>head-fi.org</t>
        </is>
      </c>
      <c r="F336" s="23" t="inlineStr">
        <is>
          <t>https://www.head-fi.org/showcase/moondrop-dawn-pro.26937/reviews</t>
        </is>
      </c>
      <c r="G336" s="26" t="inlineStr">
        <is>
          <t>Oui</t>
        </is>
      </c>
      <c r="H336" s="26" t="inlineStr">
        <is>
          <t>Review / retour exploitable</t>
        </is>
      </c>
    </row>
    <row r="337">
      <c r="A337" s="26" t="inlineStr">
        <is>
          <t>Moondrop</t>
        </is>
      </c>
      <c r="B337" s="26" t="inlineStr">
        <is>
          <t>Dawn Pro</t>
        </is>
      </c>
      <c r="C337" s="26" t="n">
        <v>3</v>
      </c>
      <c r="D337" s="26" t="inlineStr">
        <is>
          <t>Review éditoriale</t>
        </is>
      </c>
      <c r="E337" s="26" t="inlineStr">
        <is>
          <t>androidbrick.com</t>
        </is>
      </c>
      <c r="F337" s="23" t="inlineStr">
        <is>
          <t>https://androidbrick.com/moondrop-dawn-pro-review/</t>
        </is>
      </c>
      <c r="G337" s="26" t="inlineStr">
        <is>
          <t>Oui</t>
        </is>
      </c>
      <c r="H337" s="26" t="inlineStr">
        <is>
          <t>Review / retour exploitable</t>
        </is>
      </c>
    </row>
    <row r="338">
      <c r="A338" s="26" t="inlineStr">
        <is>
          <t>Moondrop</t>
        </is>
      </c>
      <c r="B338" s="26" t="inlineStr">
        <is>
          <t>Dawn Pro</t>
        </is>
      </c>
      <c r="C338" s="26" t="n">
        <v>4</v>
      </c>
      <c r="D338" s="26" t="inlineStr">
        <is>
          <t>Review éditoriale</t>
        </is>
      </c>
      <c r="E338" s="26" t="inlineStr">
        <is>
          <t>sonicmantra.org</t>
        </is>
      </c>
      <c r="F338" s="23" t="inlineStr">
        <is>
          <t>https://sonicmantra.org/product-review/moondrop-dawn-pro-review-arifgraphy/</t>
        </is>
      </c>
      <c r="G338" s="26" t="inlineStr">
        <is>
          <t>Oui</t>
        </is>
      </c>
      <c r="H338" s="26" t="inlineStr">
        <is>
          <t>Review / retour exploitable</t>
        </is>
      </c>
    </row>
    <row r="339">
      <c r="A339" s="26" t="inlineStr">
        <is>
          <t>Moondrop</t>
        </is>
      </c>
      <c r="B339" s="26" t="inlineStr">
        <is>
          <t>MoonRiver 2: Ti</t>
        </is>
      </c>
      <c r="C339" s="26" t="n">
        <v>1</v>
      </c>
      <c r="D339" s="26" t="inlineStr">
        <is>
          <t>Review éditoriale</t>
        </is>
      </c>
      <c r="E339" s="26" t="inlineStr">
        <is>
          <t>headfonics.com</t>
        </is>
      </c>
      <c r="F339" s="23" t="inlineStr">
        <is>
          <t>https://headfonics.com/moondrop-moonriver-2-ti-review/</t>
        </is>
      </c>
      <c r="G339" s="26" t="inlineStr">
        <is>
          <t>Oui</t>
        </is>
      </c>
      <c r="H339" s="26" t="inlineStr">
        <is>
          <t>Review / retour exploitable</t>
        </is>
      </c>
    </row>
    <row r="340">
      <c r="A340" s="26" t="inlineStr">
        <is>
          <t>Moondrop</t>
        </is>
      </c>
      <c r="B340" s="26" t="inlineStr">
        <is>
          <t>MoonRiver 2: Ti</t>
        </is>
      </c>
      <c r="C340" s="26" t="n">
        <v>2</v>
      </c>
      <c r="D340" s="26" t="inlineStr">
        <is>
          <t>Head-Fi reviews</t>
        </is>
      </c>
      <c r="E340" s="26" t="inlineStr">
        <is>
          <t>head-fi.org</t>
        </is>
      </c>
      <c r="F340" s="23" t="inlineStr">
        <is>
          <t>https://www.head-fi.org/showcase/moondrop-moonriver-2-ti.26642/reviews</t>
        </is>
      </c>
      <c r="G340" s="26" t="inlineStr">
        <is>
          <t>Oui</t>
        </is>
      </c>
      <c r="H340" s="26" t="inlineStr">
        <is>
          <t>Review / retour exploitable</t>
        </is>
      </c>
    </row>
    <row r="341">
      <c r="A341" s="26" t="inlineStr">
        <is>
          <t>Moondrop</t>
        </is>
      </c>
      <c r="B341" s="26" t="inlineStr">
        <is>
          <t>MoonRiver 2: Ti</t>
        </is>
      </c>
      <c r="C341" s="26" t="n">
        <v>3</v>
      </c>
      <c r="D341" s="26" t="inlineStr">
        <is>
          <t>Review éditoriale</t>
        </is>
      </c>
      <c r="E341" s="26" t="inlineStr">
        <is>
          <t>primeaudio.org</t>
        </is>
      </c>
      <c r="F341" s="23" t="inlineStr">
        <is>
          <t>https://primeaudio.org/moondrop-moonriver-2-ti-review/</t>
        </is>
      </c>
      <c r="G341" s="26" t="inlineStr">
        <is>
          <t>Oui</t>
        </is>
      </c>
      <c r="H341" s="26" t="inlineStr">
        <is>
          <t>Review / retour exploitable</t>
        </is>
      </c>
    </row>
    <row r="342">
      <c r="A342" s="26" t="inlineStr">
        <is>
          <t>Moondrop</t>
        </is>
      </c>
      <c r="B342" s="26" t="inlineStr">
        <is>
          <t>MoonRiver 2: Ti</t>
        </is>
      </c>
      <c r="C342" s="26" t="n">
        <v>4</v>
      </c>
      <c r="D342" s="26" t="inlineStr">
        <is>
          <t>Review éditoriale</t>
        </is>
      </c>
      <c r="E342" s="26" t="inlineStr">
        <is>
          <t>moonstarreviews.net</t>
        </is>
      </c>
      <c r="F342" s="23" t="inlineStr">
        <is>
          <t>https://moonstarreviews.net/moondrop-moonriver-2-ti-review/</t>
        </is>
      </c>
      <c r="G342" s="26" t="inlineStr">
        <is>
          <t>Oui</t>
        </is>
      </c>
      <c r="H342" s="26" t="inlineStr">
        <is>
          <t>Review / retour exploitable</t>
        </is>
      </c>
    </row>
    <row r="343">
      <c r="A343" s="26" t="inlineStr">
        <is>
          <t>HiBy</t>
        </is>
      </c>
      <c r="B343" s="26" t="inlineStr">
        <is>
          <t>FC6</t>
        </is>
      </c>
      <c r="C343" s="26" t="n">
        <v>1</v>
      </c>
      <c r="D343" s="26" t="inlineStr">
        <is>
          <t>Review éditoriale</t>
        </is>
      </c>
      <c r="E343" s="26" t="inlineStr">
        <is>
          <t>headfonics.com</t>
        </is>
      </c>
      <c r="F343" s="23" t="inlineStr">
        <is>
          <t>https://headfonics.com/hiby-fc6-review/</t>
        </is>
      </c>
      <c r="G343" s="26" t="inlineStr">
        <is>
          <t>Oui</t>
        </is>
      </c>
      <c r="H343" s="26" t="inlineStr">
        <is>
          <t>Review / retour exploitable</t>
        </is>
      </c>
    </row>
    <row r="344">
      <c r="A344" s="26" t="inlineStr">
        <is>
          <t>HiBy</t>
        </is>
      </c>
      <c r="B344" s="26" t="inlineStr">
        <is>
          <t>FC6</t>
        </is>
      </c>
      <c r="C344" s="26" t="n">
        <v>2</v>
      </c>
      <c r="D344" s="26" t="inlineStr">
        <is>
          <t>Head-Fi reviews</t>
        </is>
      </c>
      <c r="E344" s="26" t="inlineStr">
        <is>
          <t>head-fi.org</t>
        </is>
      </c>
      <c r="F344" s="23" t="inlineStr">
        <is>
          <t>https://www.head-fi.org/showcase/hiby-fc6.26906/reviews</t>
        </is>
      </c>
      <c r="G344" s="26" t="inlineStr">
        <is>
          <t>Oui</t>
        </is>
      </c>
      <c r="H344" s="26" t="inlineStr">
        <is>
          <t>Review / retour exploitable</t>
        </is>
      </c>
    </row>
    <row r="345">
      <c r="A345" s="26" t="inlineStr">
        <is>
          <t>HiBy</t>
        </is>
      </c>
      <c r="B345" s="26" t="inlineStr">
        <is>
          <t>FC6</t>
        </is>
      </c>
      <c r="C345" s="26" t="n">
        <v>3</v>
      </c>
      <c r="D345" s="26" t="inlineStr">
        <is>
          <t>Fiche / republication constructeur</t>
        </is>
      </c>
      <c r="E345" s="26" t="inlineStr">
        <is>
          <t>store.hiby.com</t>
        </is>
      </c>
      <c r="F345" s="23" t="inlineStr">
        <is>
          <t>https://store.hiby.com/blogs/hiby-fc6-review/hiby-fc6-review-moonstarreviews</t>
        </is>
      </c>
      <c r="G345" s="95" t="inlineStr">
        <is>
          <t>Non</t>
        </is>
      </c>
      <c r="H345" s="26" t="inlineStr">
        <is>
          <t>Non comptée: fiche produit, constructeur, republication ou simple actualité</t>
        </is>
      </c>
    </row>
    <row r="346">
      <c r="A346" s="26" t="inlineStr">
        <is>
          <t>HiBy</t>
        </is>
      </c>
      <c r="B346" s="26" t="inlineStr">
        <is>
          <t>FC6</t>
        </is>
      </c>
      <c r="C346" s="26" t="n">
        <v>4</v>
      </c>
      <c r="D346" s="26" t="inlineStr">
        <is>
          <t>Head-Fi forum</t>
        </is>
      </c>
      <c r="E346" s="26" t="inlineStr">
        <is>
          <t>head-fi.org</t>
        </is>
      </c>
      <c r="F346" s="23" t="inlineStr">
        <is>
          <t>https://www.head-fi.org/threads/hiby-fc6-r2r-dongle-dac-reborn.969134/</t>
        </is>
      </c>
      <c r="G346" s="26" t="inlineStr">
        <is>
          <t>Oui</t>
        </is>
      </c>
      <c r="H346" s="26" t="inlineStr">
        <is>
          <t>Review / retour exploitable</t>
        </is>
      </c>
    </row>
    <row r="347">
      <c r="A347" s="26" t="inlineStr">
        <is>
          <t>ddHiFi</t>
        </is>
      </c>
      <c r="B347" s="26" t="inlineStr">
        <is>
          <t>TC35C</t>
        </is>
      </c>
      <c r="C347" s="26" t="n">
        <v>1</v>
      </c>
      <c r="D347" s="26" t="inlineStr">
        <is>
          <t>Review éditoriale</t>
        </is>
      </c>
      <c r="E347" s="26" t="inlineStr">
        <is>
          <t>headfonics.com</t>
        </is>
      </c>
      <c r="F347" s="23" t="inlineStr">
        <is>
          <t>https://headfonics.com/ddhifi-tc35c-review/</t>
        </is>
      </c>
      <c r="G347" s="26" t="inlineStr">
        <is>
          <t>Oui</t>
        </is>
      </c>
      <c r="H347" s="26" t="inlineStr">
        <is>
          <t>Review / retour exploitable</t>
        </is>
      </c>
    </row>
    <row r="348">
      <c r="A348" s="26" t="inlineStr">
        <is>
          <t>ddHiFi</t>
        </is>
      </c>
      <c r="B348" s="26" t="inlineStr">
        <is>
          <t>TC35C</t>
        </is>
      </c>
      <c r="C348" s="26" t="n">
        <v>2</v>
      </c>
      <c r="D348" s="26" t="inlineStr">
        <is>
          <t>Fiche / republication constructeur</t>
        </is>
      </c>
      <c r="E348" s="26" t="inlineStr">
        <is>
          <t>ddhifi.com</t>
        </is>
      </c>
      <c r="F348" s="23" t="inlineStr">
        <is>
          <t>https://www.ddhifi.com/en/review/6605/</t>
        </is>
      </c>
      <c r="G348" s="95" t="inlineStr">
        <is>
          <t>Non</t>
        </is>
      </c>
      <c r="H348" s="26" t="inlineStr">
        <is>
          <t>Non comptée: fiche produit, constructeur, republication ou simple actualité</t>
        </is>
      </c>
    </row>
    <row r="349">
      <c r="A349" s="26" t="inlineStr">
        <is>
          <t>ddHiFi</t>
        </is>
      </c>
      <c r="B349" s="26" t="inlineStr">
        <is>
          <t>TC35C</t>
        </is>
      </c>
      <c r="C349" s="26" t="n">
        <v>3</v>
      </c>
      <c r="D349" s="26" t="inlineStr">
        <is>
          <t>Review éditoriale</t>
        </is>
      </c>
      <c r="E349" s="26" t="inlineStr">
        <is>
          <t>audiophile-heaven.com</t>
        </is>
      </c>
      <c r="F349" s="23" t="inlineStr">
        <is>
          <t>https://www.audiophile-heaven.com/2023/05/ddhifi-tc35c-dongle-dac-ultra-minimal-power-source.html</t>
        </is>
      </c>
      <c r="G349" s="26" t="inlineStr">
        <is>
          <t>Oui</t>
        </is>
      </c>
      <c r="H349" s="26" t="inlineStr">
        <is>
          <t>Review / retour exploitable</t>
        </is>
      </c>
    </row>
    <row r="350">
      <c r="A350" s="26" t="inlineStr">
        <is>
          <t>ddHiFi</t>
        </is>
      </c>
      <c r="B350" s="26" t="inlineStr">
        <is>
          <t>TC35C</t>
        </is>
      </c>
      <c r="C350" s="26" t="n">
        <v>4</v>
      </c>
      <c r="D350" s="26" t="inlineStr">
        <is>
          <t>Head-Fi forum</t>
        </is>
      </c>
      <c r="E350" s="26" t="inlineStr">
        <is>
          <t>head-fi.org</t>
        </is>
      </c>
      <c r="F350" s="23" t="inlineStr">
        <is>
          <t>https://www.head-fi.org/threads/usb-c-to-3-5mm-adapters-dac-lets-find-the-best.908839/page-247</t>
        </is>
      </c>
      <c r="G350" s="26" t="inlineStr">
        <is>
          <t>Oui</t>
        </is>
      </c>
      <c r="H350" s="26" t="inlineStr">
        <is>
          <t>Review / retour exploitable</t>
        </is>
      </c>
    </row>
    <row r="351">
      <c r="A351" s="26" t="inlineStr">
        <is>
          <t>FiiO</t>
        </is>
      </c>
      <c r="B351" s="26" t="inlineStr">
        <is>
          <t>KA5</t>
        </is>
      </c>
      <c r="C351" s="26" t="n">
        <v>1</v>
      </c>
      <c r="D351" s="26" t="inlineStr">
        <is>
          <t>Review éditoriale</t>
        </is>
      </c>
      <c r="E351" s="26" t="inlineStr">
        <is>
          <t>headfonics.com</t>
        </is>
      </c>
      <c r="F351" s="23" t="inlineStr">
        <is>
          <t>https://headfonics.com/fiio-ka5-review/</t>
        </is>
      </c>
      <c r="G351" s="26" t="inlineStr">
        <is>
          <t>Oui</t>
        </is>
      </c>
      <c r="H351" s="26" t="inlineStr">
        <is>
          <t>Review / retour exploitable</t>
        </is>
      </c>
    </row>
    <row r="352">
      <c r="A352" s="26" t="inlineStr">
        <is>
          <t>FiiO</t>
        </is>
      </c>
      <c r="B352" s="26" t="inlineStr">
        <is>
          <t>KA5</t>
        </is>
      </c>
      <c r="C352" s="26" t="n">
        <v>2</v>
      </c>
      <c r="D352" s="26" t="inlineStr">
        <is>
          <t>Head-Fi forum</t>
        </is>
      </c>
      <c r="E352" s="26" t="inlineStr">
        <is>
          <t>head-fi.org</t>
        </is>
      </c>
      <c r="F352" s="23" t="inlineStr">
        <is>
          <t>https://www.head-fi.org/threads/fiio-ka5-review-and-ka3-comparison.967506/</t>
        </is>
      </c>
      <c r="G352" s="26" t="inlineStr">
        <is>
          <t>Oui</t>
        </is>
      </c>
      <c r="H352" s="26" t="inlineStr">
        <is>
          <t>Review / retour exploitable</t>
        </is>
      </c>
    </row>
    <row r="353">
      <c r="A353" s="26" t="inlineStr">
        <is>
          <t>FiiO</t>
        </is>
      </c>
      <c r="B353" s="26" t="inlineStr">
        <is>
          <t>KA5</t>
        </is>
      </c>
      <c r="C353" s="26" t="n">
        <v>3</v>
      </c>
      <c r="D353" s="26" t="inlineStr">
        <is>
          <t>Review éditoriale</t>
        </is>
      </c>
      <c r="E353" s="26" t="inlineStr">
        <is>
          <t>headfonia.com</t>
        </is>
      </c>
      <c r="F353" s="23" t="inlineStr">
        <is>
          <t>https://www.headfonia.com/fiio-ka5-review/</t>
        </is>
      </c>
      <c r="G353" s="26" t="inlineStr">
        <is>
          <t>Oui</t>
        </is>
      </c>
      <c r="H353" s="26" t="inlineStr">
        <is>
          <t>Review / retour exploitable</t>
        </is>
      </c>
    </row>
    <row r="354">
      <c r="A354" s="26" t="inlineStr">
        <is>
          <t>FiiO</t>
        </is>
      </c>
      <c r="B354" s="26" t="inlineStr">
        <is>
          <t>KA5</t>
        </is>
      </c>
      <c r="C354" s="26" t="n">
        <v>4</v>
      </c>
      <c r="D354" s="26" t="inlineStr">
        <is>
          <t>Review éditoriale</t>
        </is>
      </c>
      <c r="E354" s="26" t="inlineStr">
        <is>
          <t>androidcentral.com</t>
        </is>
      </c>
      <c r="F354" s="23" t="inlineStr">
        <is>
          <t>https://www.androidcentral.com/accessories/audio/fiio-ka5-review</t>
        </is>
      </c>
      <c r="G354" s="26" t="inlineStr">
        <is>
          <t>Oui</t>
        </is>
      </c>
      <c r="H354" s="26" t="inlineStr">
        <is>
          <t>Review / retour exploitable</t>
        </is>
      </c>
    </row>
    <row r="355">
      <c r="A355" s="26" t="inlineStr">
        <is>
          <t>FiiO</t>
        </is>
      </c>
      <c r="B355" s="26" t="inlineStr">
        <is>
          <t>Q11</t>
        </is>
      </c>
      <c r="C355" s="26" t="n">
        <v>1</v>
      </c>
      <c r="D355" s="26" t="inlineStr">
        <is>
          <t>Review éditoriale</t>
        </is>
      </c>
      <c r="E355" s="26" t="inlineStr">
        <is>
          <t>headfonics.com</t>
        </is>
      </c>
      <c r="F355" s="23" t="inlineStr">
        <is>
          <t>https://headfonics.com/fiio-q11-review/</t>
        </is>
      </c>
      <c r="G355" s="26" t="inlineStr">
        <is>
          <t>Oui</t>
        </is>
      </c>
      <c r="H355" s="26" t="inlineStr">
        <is>
          <t>Review / retour exploitable</t>
        </is>
      </c>
    </row>
    <row r="356">
      <c r="A356" s="26" t="inlineStr">
        <is>
          <t>FiiO</t>
        </is>
      </c>
      <c r="B356" s="26" t="inlineStr">
        <is>
          <t>Q11</t>
        </is>
      </c>
      <c r="C356" s="26" t="n">
        <v>2</v>
      </c>
      <c r="D356" s="26" t="inlineStr">
        <is>
          <t>Head-Fi reviews</t>
        </is>
      </c>
      <c r="E356" s="26" t="inlineStr">
        <is>
          <t>head-fi.org</t>
        </is>
      </c>
      <c r="F356" s="23" t="inlineStr">
        <is>
          <t>https://www.head-fi.org/showcase/fiio-q11.26394/reviews</t>
        </is>
      </c>
      <c r="G356" s="26" t="inlineStr">
        <is>
          <t>Oui</t>
        </is>
      </c>
      <c r="H356" s="26" t="inlineStr">
        <is>
          <t>Review / retour exploitable</t>
        </is>
      </c>
    </row>
    <row r="357">
      <c r="A357" s="26" t="inlineStr">
        <is>
          <t>FiiO</t>
        </is>
      </c>
      <c r="B357" s="26" t="inlineStr">
        <is>
          <t>Q11</t>
        </is>
      </c>
      <c r="C357" s="26" t="n">
        <v>3</v>
      </c>
      <c r="D357" s="26" t="inlineStr">
        <is>
          <t>Review éditoriale</t>
        </is>
      </c>
      <c r="E357" s="26" t="inlineStr">
        <is>
          <t>headfonia.com</t>
        </is>
      </c>
      <c r="F357" s="23" t="inlineStr">
        <is>
          <t>https://www.headfonia.com/fiio-q11-review/</t>
        </is>
      </c>
      <c r="G357" s="26" t="inlineStr">
        <is>
          <t>Oui</t>
        </is>
      </c>
      <c r="H357" s="26" t="inlineStr">
        <is>
          <t>Review / retour exploitable</t>
        </is>
      </c>
    </row>
    <row r="358">
      <c r="A358" s="26" t="inlineStr">
        <is>
          <t>FiiO</t>
        </is>
      </c>
      <c r="B358" s="26" t="inlineStr">
        <is>
          <t>Q11</t>
        </is>
      </c>
      <c r="C358" s="26" t="n">
        <v>4</v>
      </c>
      <c r="D358" s="26" t="inlineStr">
        <is>
          <t>Review éditoriale</t>
        </is>
      </c>
      <c r="E358" s="26" t="inlineStr">
        <is>
          <t>audio46.com</t>
        </is>
      </c>
      <c r="F358" s="23" t="inlineStr">
        <is>
          <t>https://audio46.com/blogs/headphones/fiio-q11-dac-amp-review</t>
        </is>
      </c>
      <c r="G358" s="26" t="inlineStr">
        <is>
          <t>Oui</t>
        </is>
      </c>
      <c r="H358" s="26" t="inlineStr">
        <is>
          <t>Review / retour exploitable</t>
        </is>
      </c>
    </row>
    <row r="359">
      <c r="A359" s="26" t="inlineStr">
        <is>
          <t>iFi audio</t>
        </is>
      </c>
      <c r="B359" s="26" t="inlineStr">
        <is>
          <t>UNO</t>
        </is>
      </c>
      <c r="C359" s="26" t="n">
        <v>1</v>
      </c>
      <c r="D359" s="26" t="inlineStr">
        <is>
          <t>Review éditoriale</t>
        </is>
      </c>
      <c r="E359" s="26" t="inlineStr">
        <is>
          <t>headfonics.com</t>
        </is>
      </c>
      <c r="F359" s="23" t="inlineStr">
        <is>
          <t>https://headfonics.com/ifi-audio-uno-review/</t>
        </is>
      </c>
      <c r="G359" s="26" t="inlineStr">
        <is>
          <t>Oui</t>
        </is>
      </c>
      <c r="H359" s="26" t="inlineStr">
        <is>
          <t>Review / retour exploitable</t>
        </is>
      </c>
    </row>
    <row r="360">
      <c r="A360" s="26" t="inlineStr">
        <is>
          <t>iFi audio</t>
        </is>
      </c>
      <c r="B360" s="26" t="inlineStr">
        <is>
          <t>UNO</t>
        </is>
      </c>
      <c r="C360" s="26" t="n">
        <v>2</v>
      </c>
      <c r="D360" s="26" t="inlineStr">
        <is>
          <t>Head-Fi reviews</t>
        </is>
      </c>
      <c r="E360" s="26" t="inlineStr">
        <is>
          <t>head-fi.org</t>
        </is>
      </c>
      <c r="F360" s="23" t="inlineStr">
        <is>
          <t>https://www.head-fi.org/showcase/ifi-audio-uno.26225/reviews</t>
        </is>
      </c>
      <c r="G360" s="26" t="inlineStr">
        <is>
          <t>Oui</t>
        </is>
      </c>
      <c r="H360" s="26" t="inlineStr">
        <is>
          <t>Review / retour exploitable</t>
        </is>
      </c>
    </row>
    <row r="361">
      <c r="A361" s="26" t="inlineStr">
        <is>
          <t>iFi audio</t>
        </is>
      </c>
      <c r="B361" s="26" t="inlineStr">
        <is>
          <t>UNO</t>
        </is>
      </c>
      <c r="C361" s="26" t="n">
        <v>3</v>
      </c>
      <c r="D361" s="26" t="inlineStr">
        <is>
          <t>Review éditoriale</t>
        </is>
      </c>
      <c r="E361" s="26" t="inlineStr">
        <is>
          <t>headfonia.com</t>
        </is>
      </c>
      <c r="F361" s="23" t="inlineStr">
        <is>
          <t>https://www.headfonia.com/ifi-audio-uno-review/</t>
        </is>
      </c>
      <c r="G361" s="26" t="inlineStr">
        <is>
          <t>Oui</t>
        </is>
      </c>
      <c r="H361" s="26" t="inlineStr">
        <is>
          <t>Review / retour exploitable</t>
        </is>
      </c>
    </row>
    <row r="362">
      <c r="A362" s="26" t="inlineStr">
        <is>
          <t>iFi audio</t>
        </is>
      </c>
      <c r="B362" s="26" t="inlineStr">
        <is>
          <t>UNO</t>
        </is>
      </c>
      <c r="C362" s="26" t="n">
        <v>4</v>
      </c>
      <c r="D362" s="26" t="inlineStr">
        <is>
          <t>Review éditoriale</t>
        </is>
      </c>
      <c r="E362" s="26" t="inlineStr">
        <is>
          <t>techradar.com</t>
        </is>
      </c>
      <c r="F362" s="23" t="inlineStr">
        <is>
          <t>https://www.techradar.com/audio/hi-fi/ifi-uno-review</t>
        </is>
      </c>
      <c r="G362" s="26" t="inlineStr">
        <is>
          <t>Oui</t>
        </is>
      </c>
      <c r="H362" s="26" t="inlineStr">
        <is>
          <t>Review / retour exploitable</t>
        </is>
      </c>
    </row>
    <row r="363">
      <c r="A363" s="26" t="inlineStr">
        <is>
          <t>7Hz</t>
        </is>
      </c>
      <c r="B363" s="26" t="inlineStr">
        <is>
          <t>SEVENHERTZ 71</t>
        </is>
      </c>
      <c r="C363" s="26" t="n">
        <v>1</v>
      </c>
      <c r="D363" s="26" t="inlineStr">
        <is>
          <t>Review éditoriale</t>
        </is>
      </c>
      <c r="E363" s="26" t="inlineStr">
        <is>
          <t>headfonics.com</t>
        </is>
      </c>
      <c r="F363" s="23" t="inlineStr">
        <is>
          <t>https://headfonics.com/7hz-sevenhertz-71-review/</t>
        </is>
      </c>
      <c r="G363" s="26" t="inlineStr">
        <is>
          <t>Oui</t>
        </is>
      </c>
      <c r="H363" s="26" t="inlineStr">
        <is>
          <t>Review / retour exploitable</t>
        </is>
      </c>
    </row>
    <row r="364">
      <c r="A364" s="26" t="inlineStr">
        <is>
          <t>7Hz</t>
        </is>
      </c>
      <c r="B364" s="26" t="inlineStr">
        <is>
          <t>SEVENHERTZ 71</t>
        </is>
      </c>
      <c r="C364" s="26" t="n">
        <v>2</v>
      </c>
      <c r="D364" s="26" t="inlineStr">
        <is>
          <t>Head-Fi reviews</t>
        </is>
      </c>
      <c r="E364" s="26" t="inlineStr">
        <is>
          <t>head-fi.org</t>
        </is>
      </c>
      <c r="F364" s="23" t="inlineStr">
        <is>
          <t>https://www.head-fi.org/showcase/7hz-sevenhertz-71-usb-dac.26126/reviews</t>
        </is>
      </c>
      <c r="G364" s="26" t="inlineStr">
        <is>
          <t>Oui</t>
        </is>
      </c>
      <c r="H364" s="26" t="inlineStr">
        <is>
          <t>Review / retour exploitable</t>
        </is>
      </c>
    </row>
    <row r="365">
      <c r="A365" s="26" t="inlineStr">
        <is>
          <t>7Hz</t>
        </is>
      </c>
      <c r="B365" s="26" t="inlineStr">
        <is>
          <t>SEVENHERTZ 71</t>
        </is>
      </c>
      <c r="C365" s="26" t="n">
        <v>3</v>
      </c>
      <c r="D365" s="26" t="inlineStr">
        <is>
          <t>Review éditoriale</t>
        </is>
      </c>
      <c r="E365" s="26" t="inlineStr">
        <is>
          <t>tnt-audio.com</t>
        </is>
      </c>
      <c r="F365" s="23" t="inlineStr">
        <is>
          <t>https://www.tnt-audio.com/headphones/sevenhertz_71_e.html</t>
        </is>
      </c>
      <c r="G365" s="26" t="inlineStr">
        <is>
          <t>Oui</t>
        </is>
      </c>
      <c r="H365" s="26" t="inlineStr">
        <is>
          <t>Review / retour exploitable</t>
        </is>
      </c>
    </row>
    <row r="366">
      <c r="A366" s="26" t="inlineStr">
        <is>
          <t>Venture Electronics</t>
        </is>
      </c>
      <c r="B366" s="26" t="inlineStr">
        <is>
          <t>Megatron</t>
        </is>
      </c>
      <c r="C366" s="26" t="n">
        <v>1</v>
      </c>
      <c r="D366" s="26" t="inlineStr">
        <is>
          <t>Review éditoriale</t>
        </is>
      </c>
      <c r="E366" s="26" t="inlineStr">
        <is>
          <t>headfonics.com</t>
        </is>
      </c>
      <c r="F366" s="23" t="inlineStr">
        <is>
          <t>https://headfonics.com/venture-electronics-megatron-review/</t>
        </is>
      </c>
      <c r="G366" s="26" t="inlineStr">
        <is>
          <t>Oui</t>
        </is>
      </c>
      <c r="H366" s="26" t="inlineStr">
        <is>
          <t>Review / retour exploitable</t>
        </is>
      </c>
    </row>
    <row r="367">
      <c r="A367" s="26" t="inlineStr">
        <is>
          <t>Venture Electronics</t>
        </is>
      </c>
      <c r="B367" s="26" t="inlineStr">
        <is>
          <t>Megatron</t>
        </is>
      </c>
      <c r="C367" s="26" t="n">
        <v>2</v>
      </c>
      <c r="D367" s="26" t="inlineStr">
        <is>
          <t>Head-Fi reviews</t>
        </is>
      </c>
      <c r="E367" s="26" t="inlineStr">
        <is>
          <t>head-fi.org</t>
        </is>
      </c>
      <c r="F367" s="23" t="inlineStr">
        <is>
          <t>https://www.head-fi.org/showcase/venture-electronics-megatron.26010/reviews</t>
        </is>
      </c>
      <c r="G367" s="26" t="inlineStr">
        <is>
          <t>Oui</t>
        </is>
      </c>
      <c r="H367" s="26" t="inlineStr">
        <is>
          <t>Review / retour exploitable</t>
        </is>
      </c>
    </row>
    <row r="368">
      <c r="A368" s="26" t="inlineStr">
        <is>
          <t>Venture Electronics</t>
        </is>
      </c>
      <c r="B368" s="26" t="inlineStr">
        <is>
          <t>Megatron</t>
        </is>
      </c>
      <c r="C368" s="26" t="n">
        <v>3</v>
      </c>
      <c r="D368" s="26" t="inlineStr">
        <is>
          <t>Review éditoriale</t>
        </is>
      </c>
      <c r="E368" s="26" t="inlineStr">
        <is>
          <t>headphonesty.com</t>
        </is>
      </c>
      <c r="F368" s="23" t="inlineStr">
        <is>
          <t>https://www.headphonesty.com/2022/05/review-venture-electronics-megatron/</t>
        </is>
      </c>
      <c r="G368" s="26" t="inlineStr">
        <is>
          <t>Oui</t>
        </is>
      </c>
      <c r="H368" s="26" t="inlineStr">
        <is>
          <t>Review / retour exploitable</t>
        </is>
      </c>
    </row>
    <row r="369">
      <c r="A369" s="26" t="inlineStr">
        <is>
          <t>Venture Electronics</t>
        </is>
      </c>
      <c r="B369" s="26" t="inlineStr">
        <is>
          <t>Megatron</t>
        </is>
      </c>
      <c r="C369" s="26" t="n">
        <v>4</v>
      </c>
      <c r="D369" s="26" t="inlineStr">
        <is>
          <t>Review éditoriale</t>
        </is>
      </c>
      <c r="E369" s="26" t="inlineStr">
        <is>
          <t>kinemosstech.com</t>
        </is>
      </c>
      <c r="F369" s="23" t="inlineStr">
        <is>
          <t>https://www.kinemosstech.com/venture-electronics-megatron-dac-amp-review/</t>
        </is>
      </c>
      <c r="G369" s="26" t="inlineStr">
        <is>
          <t>Oui</t>
        </is>
      </c>
      <c r="H369" s="26" t="inlineStr">
        <is>
          <t>Review / retour exploitable</t>
        </is>
      </c>
    </row>
    <row r="370">
      <c r="A370" s="26" t="inlineStr">
        <is>
          <t>Shanling</t>
        </is>
      </c>
      <c r="B370" s="26" t="inlineStr">
        <is>
          <t>H7</t>
        </is>
      </c>
      <c r="C370" s="26" t="n">
        <v>1</v>
      </c>
      <c r="D370" s="26" t="inlineStr">
        <is>
          <t>Review éditoriale</t>
        </is>
      </c>
      <c r="E370" s="26" t="inlineStr">
        <is>
          <t>headfonics.com</t>
        </is>
      </c>
      <c r="F370" s="23" t="inlineStr">
        <is>
          <t>https://headfonics.com/shanling-h7-review/</t>
        </is>
      </c>
      <c r="G370" s="26" t="inlineStr">
        <is>
          <t>Oui</t>
        </is>
      </c>
      <c r="H370" s="26" t="inlineStr">
        <is>
          <t>Review / retour exploitable</t>
        </is>
      </c>
    </row>
    <row r="371">
      <c r="A371" s="26" t="inlineStr">
        <is>
          <t>Shanling</t>
        </is>
      </c>
      <c r="B371" s="26" t="inlineStr">
        <is>
          <t>H7</t>
        </is>
      </c>
      <c r="C371" s="26" t="n">
        <v>2</v>
      </c>
      <c r="D371" s="26" t="inlineStr">
        <is>
          <t>Head-Fi reviews</t>
        </is>
      </c>
      <c r="E371" s="26" t="inlineStr">
        <is>
          <t>head-fi.org</t>
        </is>
      </c>
      <c r="F371" s="23" t="inlineStr">
        <is>
          <t>https://www.head-fi.org/showcase/shanling-h7-portable-dac-amp-player-wired-and-wireless-connection.26278/reviews</t>
        </is>
      </c>
      <c r="G371" s="26" t="inlineStr">
        <is>
          <t>Oui</t>
        </is>
      </c>
      <c r="H371" s="26" t="inlineStr">
        <is>
          <t>Review / retour exploitable</t>
        </is>
      </c>
    </row>
    <row r="372">
      <c r="A372" s="26" t="inlineStr">
        <is>
          <t>Shanling</t>
        </is>
      </c>
      <c r="B372" s="26" t="inlineStr">
        <is>
          <t>H7</t>
        </is>
      </c>
      <c r="C372" s="26" t="n">
        <v>3</v>
      </c>
      <c r="D372" s="26" t="inlineStr">
        <is>
          <t>Review éditoriale</t>
        </is>
      </c>
      <c r="E372" s="26" t="inlineStr">
        <is>
          <t>headfonia.com</t>
        </is>
      </c>
      <c r="F372" s="23" t="inlineStr">
        <is>
          <t>https://www.headfonia.com/shanling-h7-review/</t>
        </is>
      </c>
      <c r="G372" s="26" t="inlineStr">
        <is>
          <t>Oui</t>
        </is>
      </c>
      <c r="H372" s="26" t="inlineStr">
        <is>
          <t>Review / retour exploitable</t>
        </is>
      </c>
    </row>
    <row r="373">
      <c r="A373" s="26" t="inlineStr">
        <is>
          <t>iKKO</t>
        </is>
      </c>
      <c r="B373" s="26" t="inlineStr">
        <is>
          <t>Zerda ITM02</t>
        </is>
      </c>
      <c r="C373" s="26" t="n">
        <v>1</v>
      </c>
      <c r="D373" s="26" t="inlineStr">
        <is>
          <t>Review éditoriale</t>
        </is>
      </c>
      <c r="E373" s="26" t="inlineStr">
        <is>
          <t>headfonics.com</t>
        </is>
      </c>
      <c r="F373" s="23" t="inlineStr">
        <is>
          <t>https://headfonics.com/ikko-zerda-itm02-review/</t>
        </is>
      </c>
      <c r="G373" s="26" t="inlineStr">
        <is>
          <t>Oui</t>
        </is>
      </c>
      <c r="H373" s="26" t="inlineStr">
        <is>
          <t>Review / retour exploitable</t>
        </is>
      </c>
    </row>
    <row r="374">
      <c r="A374" s="26" t="inlineStr">
        <is>
          <t>iKKO</t>
        </is>
      </c>
      <c r="B374" s="26" t="inlineStr">
        <is>
          <t>Zerda ITM02</t>
        </is>
      </c>
      <c r="C374" s="26" t="n">
        <v>2</v>
      </c>
      <c r="D374" s="26" t="inlineStr">
        <is>
          <t>Review éditoriale</t>
        </is>
      </c>
      <c r="E374" s="26" t="inlineStr">
        <is>
          <t>majorhifi.com</t>
        </is>
      </c>
      <c r="F374" s="23" t="inlineStr">
        <is>
          <t>https://majorhifi.com/ikko-zerda-itm02-review/</t>
        </is>
      </c>
      <c r="G374" s="26" t="inlineStr">
        <is>
          <t>Oui</t>
        </is>
      </c>
      <c r="H374" s="26" t="inlineStr">
        <is>
          <t>Review / retour exploitable</t>
        </is>
      </c>
    </row>
    <row r="375">
      <c r="A375" s="26" t="inlineStr">
        <is>
          <t>iKKO</t>
        </is>
      </c>
      <c r="B375" s="26" t="inlineStr">
        <is>
          <t>Zerda ITM02</t>
        </is>
      </c>
      <c r="C375" s="26" t="n">
        <v>3</v>
      </c>
      <c r="D375" s="26" t="inlineStr">
        <is>
          <t>Review éditoriale</t>
        </is>
      </c>
      <c r="E375" s="26" t="inlineStr">
        <is>
          <t>audioreviews.org</t>
        </is>
      </c>
      <c r="F375" s="23" t="inlineStr">
        <is>
          <t>https://www.audioreviews.org/ikko-zerda-itm02-review-lj/</t>
        </is>
      </c>
      <c r="G375" s="26" t="inlineStr">
        <is>
          <t>Oui</t>
        </is>
      </c>
      <c r="H375" s="26" t="inlineStr">
        <is>
          <t>Review / retour exploitable</t>
        </is>
      </c>
    </row>
    <row r="376">
      <c r="A376" s="26" t="inlineStr">
        <is>
          <t>iKKO</t>
        </is>
      </c>
      <c r="B376" s="26" t="inlineStr">
        <is>
          <t>Zerda ITM02</t>
        </is>
      </c>
      <c r="C376" s="26" t="n">
        <v>4</v>
      </c>
      <c r="D376" s="26" t="inlineStr">
        <is>
          <t>Review éditoriale</t>
        </is>
      </c>
      <c r="E376" s="26" t="inlineStr">
        <is>
          <t>audiofool.reviews</t>
        </is>
      </c>
      <c r="F376" s="23" t="inlineStr">
        <is>
          <t>https://audiofool.reviews/2022/11/10/ikko-zerda-itm02/</t>
        </is>
      </c>
      <c r="G376" s="26" t="inlineStr">
        <is>
          <t>Oui</t>
        </is>
      </c>
      <c r="H376" s="26" t="inlineStr">
        <is>
          <t>Review / retour exploitable</t>
        </is>
      </c>
    </row>
    <row r="377">
      <c r="A377" s="26" t="inlineStr">
        <is>
          <t>Quloos</t>
        </is>
      </c>
      <c r="B377" s="26" t="inlineStr">
        <is>
          <t>QLS MC01</t>
        </is>
      </c>
      <c r="C377" s="26" t="n">
        <v>1</v>
      </c>
      <c r="D377" s="26" t="inlineStr">
        <is>
          <t>Review éditoriale</t>
        </is>
      </c>
      <c r="E377" s="26" t="inlineStr">
        <is>
          <t>headfonics.com</t>
        </is>
      </c>
      <c r="F377" s="23" t="inlineStr">
        <is>
          <t>https://headfonics.com/quloos-qls-mc01-review/</t>
        </is>
      </c>
      <c r="G377" s="26" t="inlineStr">
        <is>
          <t>Oui</t>
        </is>
      </c>
      <c r="H377" s="26" t="inlineStr">
        <is>
          <t>Review / retour exploitable</t>
        </is>
      </c>
    </row>
    <row r="378">
      <c r="A378" s="26" t="inlineStr">
        <is>
          <t>Quloos</t>
        </is>
      </c>
      <c r="B378" s="26" t="inlineStr">
        <is>
          <t>QLS MC01</t>
        </is>
      </c>
      <c r="C378" s="26" t="n">
        <v>2</v>
      </c>
      <c r="D378" s="26" t="inlineStr">
        <is>
          <t>Head-Fi reviews</t>
        </is>
      </c>
      <c r="E378" s="26" t="inlineStr">
        <is>
          <t>head-fi.org</t>
        </is>
      </c>
      <c r="F378" s="23" t="inlineStr">
        <is>
          <t>https://www.head-fi.org/showcase/quloos-qls-mc01-usb-dac-amp.26194/reviews</t>
        </is>
      </c>
      <c r="G378" s="26" t="inlineStr">
        <is>
          <t>Oui</t>
        </is>
      </c>
      <c r="H378" s="26" t="inlineStr">
        <is>
          <t>Review / retour exploitable</t>
        </is>
      </c>
    </row>
    <row r="379">
      <c r="A379" s="26" t="inlineStr">
        <is>
          <t>Quloos</t>
        </is>
      </c>
      <c r="B379" s="26" t="inlineStr">
        <is>
          <t>QLS MC01</t>
        </is>
      </c>
      <c r="C379" s="26" t="n">
        <v>3</v>
      </c>
      <c r="D379" s="26" t="inlineStr">
        <is>
          <t>Review éditoriale</t>
        </is>
      </c>
      <c r="E379" s="26" t="inlineStr">
        <is>
          <t>moonstarreviews.net</t>
        </is>
      </c>
      <c r="F379" s="23" t="inlineStr">
        <is>
          <t>https://moonstarreviews.net/quloos-qls-mc01-review/</t>
        </is>
      </c>
      <c r="G379" s="26" t="inlineStr">
        <is>
          <t>Oui</t>
        </is>
      </c>
      <c r="H379" s="26" t="inlineStr">
        <is>
          <t>Review / retour exploitable</t>
        </is>
      </c>
    </row>
    <row r="380">
      <c r="A380" s="26" t="inlineStr">
        <is>
          <t>Hidizs</t>
        </is>
      </c>
      <c r="B380" s="26" t="inlineStr">
        <is>
          <t>XO</t>
        </is>
      </c>
      <c r="C380" s="26" t="n">
        <v>1</v>
      </c>
      <c r="D380" s="26" t="inlineStr">
        <is>
          <t>Review éditoriale</t>
        </is>
      </c>
      <c r="E380" s="26" t="inlineStr">
        <is>
          <t>headfonics.com</t>
        </is>
      </c>
      <c r="F380" s="23" t="inlineStr">
        <is>
          <t>https://headfonics.com/hidizs-xo-review/</t>
        </is>
      </c>
      <c r="G380" s="26" t="inlineStr">
        <is>
          <t>Oui</t>
        </is>
      </c>
      <c r="H380" s="26" t="inlineStr">
        <is>
          <t>Review / retour exploitable</t>
        </is>
      </c>
    </row>
    <row r="381">
      <c r="A381" s="26" t="inlineStr">
        <is>
          <t>Hidizs</t>
        </is>
      </c>
      <c r="B381" s="26" t="inlineStr">
        <is>
          <t>XO</t>
        </is>
      </c>
      <c r="C381" s="26" t="n">
        <v>2</v>
      </c>
      <c r="D381" s="26" t="inlineStr">
        <is>
          <t>Head-Fi reviews</t>
        </is>
      </c>
      <c r="E381" s="26" t="inlineStr">
        <is>
          <t>head-fi.org</t>
        </is>
      </c>
      <c r="F381" s="23" t="inlineStr">
        <is>
          <t>https://www.head-fi.org/showcase/hidizs-xo.26116/reviews</t>
        </is>
      </c>
      <c r="G381" s="26" t="inlineStr">
        <is>
          <t>Oui</t>
        </is>
      </c>
      <c r="H381" s="26" t="inlineStr">
        <is>
          <t>Review / retour exploitable</t>
        </is>
      </c>
    </row>
    <row r="382">
      <c r="A382" s="26" t="inlineStr">
        <is>
          <t>Hidizs</t>
        </is>
      </c>
      <c r="B382" s="26" t="inlineStr">
        <is>
          <t>XO</t>
        </is>
      </c>
      <c r="C382" s="26" t="n">
        <v>3</v>
      </c>
      <c r="D382" s="26" t="inlineStr">
        <is>
          <t>Review éditoriale</t>
        </is>
      </c>
      <c r="E382" s="26" t="inlineStr">
        <is>
          <t>headfonia.com</t>
        </is>
      </c>
      <c r="F382" s="23" t="inlineStr">
        <is>
          <t>https://www.headfonia.com/hidizs-xo-review/</t>
        </is>
      </c>
      <c r="G382" s="26" t="inlineStr">
        <is>
          <t>Oui</t>
        </is>
      </c>
      <c r="H382" s="26" t="inlineStr">
        <is>
          <t>Review / retour exploitable</t>
        </is>
      </c>
    </row>
    <row r="383">
      <c r="A383" s="26" t="inlineStr">
        <is>
          <t>Hidizs</t>
        </is>
      </c>
      <c r="B383" s="26" t="inlineStr">
        <is>
          <t>XO</t>
        </is>
      </c>
      <c r="C383" s="26" t="n">
        <v>4</v>
      </c>
      <c r="D383" s="26" t="inlineStr">
        <is>
          <t>Review éditoriale</t>
        </is>
      </c>
      <c r="E383" s="26" t="inlineStr">
        <is>
          <t>headphonesty.com</t>
        </is>
      </c>
      <c r="F383" s="23" t="inlineStr">
        <is>
          <t>https://www.headphonesty.com/2022/12/review-hidizs-xo/</t>
        </is>
      </c>
      <c r="G383" s="26" t="inlineStr">
        <is>
          <t>Oui</t>
        </is>
      </c>
      <c r="H383" s="26" t="inlineStr">
        <is>
          <t>Review / retour exploitable</t>
        </is>
      </c>
    </row>
    <row r="384">
      <c r="A384" s="26" t="inlineStr">
        <is>
          <t>FiiO</t>
        </is>
      </c>
      <c r="B384" s="26" t="inlineStr">
        <is>
          <t>Q7</t>
        </is>
      </c>
      <c r="C384" s="26" t="n">
        <v>1</v>
      </c>
      <c r="D384" s="26" t="inlineStr">
        <is>
          <t>Review éditoriale</t>
        </is>
      </c>
      <c r="E384" s="26" t="inlineStr">
        <is>
          <t>headfonics.com</t>
        </is>
      </c>
      <c r="F384" s="23" t="inlineStr">
        <is>
          <t>https://headfonics.com/fiio-q7-review/</t>
        </is>
      </c>
      <c r="G384" s="26" t="inlineStr">
        <is>
          <t>Oui</t>
        </is>
      </c>
      <c r="H384" s="26" t="inlineStr">
        <is>
          <t>Review / retour exploitable</t>
        </is>
      </c>
    </row>
    <row r="385">
      <c r="A385" s="26" t="inlineStr">
        <is>
          <t>FiiO</t>
        </is>
      </c>
      <c r="B385" s="26" t="inlineStr">
        <is>
          <t>Q7</t>
        </is>
      </c>
      <c r="C385" s="26" t="n">
        <v>2</v>
      </c>
      <c r="D385" s="26" t="inlineStr">
        <is>
          <t>Head-Fi reviews</t>
        </is>
      </c>
      <c r="E385" s="26" t="inlineStr">
        <is>
          <t>head-fi.org</t>
        </is>
      </c>
      <c r="F385" s="23" t="inlineStr">
        <is>
          <t>https://www.head-fi.org/showcase/fiio-q7.26258/reviews</t>
        </is>
      </c>
      <c r="G385" s="26" t="inlineStr">
        <is>
          <t>Oui</t>
        </is>
      </c>
      <c r="H385" s="26" t="inlineStr">
        <is>
          <t>Review / retour exploitable</t>
        </is>
      </c>
    </row>
    <row r="386">
      <c r="A386" s="26" t="inlineStr">
        <is>
          <t>FiiO</t>
        </is>
      </c>
      <c r="B386" s="26" t="inlineStr">
        <is>
          <t>Q7</t>
        </is>
      </c>
      <c r="C386" s="26" t="n">
        <v>3</v>
      </c>
      <c r="D386" s="26" t="inlineStr">
        <is>
          <t>Review éditoriale</t>
        </is>
      </c>
      <c r="E386" s="26" t="inlineStr">
        <is>
          <t>headfonia.com</t>
        </is>
      </c>
      <c r="F386" s="23" t="inlineStr">
        <is>
          <t>https://www.headfonia.com/fiio-q7-review/</t>
        </is>
      </c>
      <c r="G386" s="26" t="inlineStr">
        <is>
          <t>Oui</t>
        </is>
      </c>
      <c r="H386" s="26" t="inlineStr">
        <is>
          <t>Review / retour exploitable</t>
        </is>
      </c>
    </row>
    <row r="387">
      <c r="A387" s="26" t="inlineStr">
        <is>
          <t>FiiO</t>
        </is>
      </c>
      <c r="B387" s="26" t="inlineStr">
        <is>
          <t>Q7</t>
        </is>
      </c>
      <c r="C387" s="26" t="n">
        <v>4</v>
      </c>
      <c r="D387" s="26" t="inlineStr">
        <is>
          <t>Review éditoriale</t>
        </is>
      </c>
      <c r="E387" s="26" t="inlineStr">
        <is>
          <t>androidcentral.com</t>
        </is>
      </c>
      <c r="F387" s="23" t="inlineStr">
        <is>
          <t>https://www.androidcentral.com/accessories/audio/fiio-q7-review</t>
        </is>
      </c>
      <c r="G387" s="26" t="inlineStr">
        <is>
          <t>Oui</t>
        </is>
      </c>
      <c r="H387" s="26" t="inlineStr">
        <is>
          <t>Review / retour exploitable</t>
        </is>
      </c>
    </row>
    <row r="388">
      <c r="A388" s="26" t="inlineStr">
        <is>
          <t>EarMen</t>
        </is>
      </c>
      <c r="B388" s="26" t="inlineStr">
        <is>
          <t>Angel</t>
        </is>
      </c>
      <c r="C388" s="26" t="n">
        <v>1</v>
      </c>
      <c r="D388" s="26" t="inlineStr">
        <is>
          <t>Review éditoriale</t>
        </is>
      </c>
      <c r="E388" s="26" t="inlineStr">
        <is>
          <t>headfonics.com</t>
        </is>
      </c>
      <c r="F388" s="23" t="inlineStr">
        <is>
          <t>https://headfonics.com/earmen-angel-review/</t>
        </is>
      </c>
      <c r="G388" s="26" t="inlineStr">
        <is>
          <t>Oui</t>
        </is>
      </c>
      <c r="H388" s="26" t="inlineStr">
        <is>
          <t>Review / retour exploitable</t>
        </is>
      </c>
    </row>
    <row r="389">
      <c r="A389" s="26" t="inlineStr">
        <is>
          <t>EarMen</t>
        </is>
      </c>
      <c r="B389" s="26" t="inlineStr">
        <is>
          <t>Angel</t>
        </is>
      </c>
      <c r="C389" s="26" t="n">
        <v>2</v>
      </c>
      <c r="D389" s="26" t="inlineStr">
        <is>
          <t>Head-Fi reviews</t>
        </is>
      </c>
      <c r="E389" s="26" t="inlineStr">
        <is>
          <t>head-fi.org</t>
        </is>
      </c>
      <c r="F389" s="23" t="inlineStr">
        <is>
          <t>https://www.head-fi.org/showcase/earmen-angel.25952/reviews</t>
        </is>
      </c>
      <c r="G389" s="26" t="inlineStr">
        <is>
          <t>Oui</t>
        </is>
      </c>
      <c r="H389" s="26" t="inlineStr">
        <is>
          <t>Review / retour exploitable</t>
        </is>
      </c>
    </row>
    <row r="390">
      <c r="A390" s="26" t="inlineStr">
        <is>
          <t>EarMen</t>
        </is>
      </c>
      <c r="B390" s="26" t="inlineStr">
        <is>
          <t>Angel</t>
        </is>
      </c>
      <c r="C390" s="26" t="n">
        <v>3</v>
      </c>
      <c r="D390" s="26" t="inlineStr">
        <is>
          <t>Review éditoriale</t>
        </is>
      </c>
      <c r="E390" s="26" t="inlineStr">
        <is>
          <t>headfonia.com</t>
        </is>
      </c>
      <c r="F390" s="23" t="inlineStr">
        <is>
          <t>https://www.headfonia.com/earmen-angel-review/</t>
        </is>
      </c>
      <c r="G390" s="26" t="inlineStr">
        <is>
          <t>Oui</t>
        </is>
      </c>
      <c r="H390" s="26" t="inlineStr">
        <is>
          <t>Review / retour exploitable</t>
        </is>
      </c>
    </row>
    <row r="391">
      <c r="A391" s="26" t="inlineStr">
        <is>
          <t>EarMen</t>
        </is>
      </c>
      <c r="B391" s="26" t="inlineStr">
        <is>
          <t>Angel</t>
        </is>
      </c>
      <c r="C391" s="26" t="n">
        <v>4</v>
      </c>
      <c r="D391" s="26" t="inlineStr">
        <is>
          <t>Review éditoriale</t>
        </is>
      </c>
      <c r="E391" s="26" t="inlineStr">
        <is>
          <t>ecoustics.com</t>
        </is>
      </c>
      <c r="F391" s="23" t="inlineStr">
        <is>
          <t>https://www.ecoustics.com/reviews/earmen-angel/</t>
        </is>
      </c>
      <c r="G391" s="26" t="inlineStr">
        <is>
          <t>Oui</t>
        </is>
      </c>
      <c r="H391" s="26" t="inlineStr">
        <is>
          <t>Review / retour exploitable</t>
        </is>
      </c>
    </row>
    <row r="392">
      <c r="A392" s="26" t="inlineStr">
        <is>
          <t>Moondrop</t>
        </is>
      </c>
      <c r="B392" s="26" t="inlineStr">
        <is>
          <t>Dawn</t>
        </is>
      </c>
      <c r="C392" s="26" t="n">
        <v>1</v>
      </c>
      <c r="D392" s="26" t="inlineStr">
        <is>
          <t>Review éditoriale</t>
        </is>
      </c>
      <c r="E392" s="26" t="inlineStr">
        <is>
          <t>headfonics.com</t>
        </is>
      </c>
      <c r="F392" s="23" t="inlineStr">
        <is>
          <t>https://headfonics.com/moondrop-dawn-review/</t>
        </is>
      </c>
      <c r="G392" s="26" t="inlineStr">
        <is>
          <t>Oui</t>
        </is>
      </c>
      <c r="H392" s="26" t="inlineStr">
        <is>
          <t>Review / retour exploitable</t>
        </is>
      </c>
    </row>
    <row r="393">
      <c r="A393" s="26" t="inlineStr">
        <is>
          <t>Moondrop</t>
        </is>
      </c>
      <c r="B393" s="26" t="inlineStr">
        <is>
          <t>Dawn</t>
        </is>
      </c>
      <c r="C393" s="26" t="n">
        <v>2</v>
      </c>
      <c r="D393" s="26" t="inlineStr">
        <is>
          <t>Review éditoriale</t>
        </is>
      </c>
      <c r="E393" s="26" t="inlineStr">
        <is>
          <t>headphonesty.com</t>
        </is>
      </c>
      <c r="F393" s="23" t="inlineStr">
        <is>
          <t>https://www.headphonesty.com/2022/11/review-moondrop-dawn-4-4/</t>
        </is>
      </c>
      <c r="G393" s="26" t="inlineStr">
        <is>
          <t>Oui</t>
        </is>
      </c>
      <c r="H393" s="26" t="inlineStr">
        <is>
          <t>Review / retour exploitable</t>
        </is>
      </c>
    </row>
    <row r="394">
      <c r="A394" s="26" t="inlineStr">
        <is>
          <t>Moondrop</t>
        </is>
      </c>
      <c r="B394" s="26" t="inlineStr">
        <is>
          <t>Dawn</t>
        </is>
      </c>
      <c r="C394" s="26" t="n">
        <v>3</v>
      </c>
      <c r="D394" s="26" t="inlineStr">
        <is>
          <t>Review éditoriale</t>
        </is>
      </c>
      <c r="E394" s="26" t="inlineStr">
        <is>
          <t>headfonia.com</t>
        </is>
      </c>
      <c r="F394" s="23" t="inlineStr">
        <is>
          <t>https://www.headfonia.com/moondrop-dawn-review/</t>
        </is>
      </c>
      <c r="G394" s="26" t="inlineStr">
        <is>
          <t>Oui</t>
        </is>
      </c>
      <c r="H394" s="26" t="inlineStr">
        <is>
          <t>Review / retour exploitable</t>
        </is>
      </c>
    </row>
    <row r="395">
      <c r="A395" s="26" t="inlineStr">
        <is>
          <t>Moondrop</t>
        </is>
      </c>
      <c r="B395" s="26" t="inlineStr">
        <is>
          <t>Dawn</t>
        </is>
      </c>
      <c r="C395" s="26" t="n">
        <v>4</v>
      </c>
      <c r="D395" s="26" t="inlineStr">
        <is>
          <t>Review éditoriale</t>
        </is>
      </c>
      <c r="E395" s="26" t="inlineStr">
        <is>
          <t>primeaudio.org</t>
        </is>
      </c>
      <c r="F395" s="23" t="inlineStr">
        <is>
          <t>https://primeaudio.org/moondrop-dawn-review/</t>
        </is>
      </c>
      <c r="G395" s="26" t="inlineStr">
        <is>
          <t>Oui</t>
        </is>
      </c>
      <c r="H395" s="26" t="inlineStr">
        <is>
          <t>Review / retour exploitable</t>
        </is>
      </c>
    </row>
    <row r="396">
      <c r="A396" s="26" t="inlineStr">
        <is>
          <t>FiiO</t>
        </is>
      </c>
      <c r="B396" s="26" t="inlineStr">
        <is>
          <t>KA2</t>
        </is>
      </c>
      <c r="C396" s="26" t="n">
        <v>1</v>
      </c>
      <c r="D396" s="26" t="inlineStr">
        <is>
          <t>Review éditoriale</t>
        </is>
      </c>
      <c r="E396" s="26" t="inlineStr">
        <is>
          <t>headfonics.com</t>
        </is>
      </c>
      <c r="F396" s="23" t="inlineStr">
        <is>
          <t>https://headfonics.com/fiio-ka2-review/</t>
        </is>
      </c>
      <c r="G396" s="26" t="inlineStr">
        <is>
          <t>Oui</t>
        </is>
      </c>
      <c r="H396" s="26" t="inlineStr">
        <is>
          <t>Review / retour exploitable</t>
        </is>
      </c>
    </row>
    <row r="397">
      <c r="A397" s="26" t="inlineStr">
        <is>
          <t>FiiO</t>
        </is>
      </c>
      <c r="B397" s="26" t="inlineStr">
        <is>
          <t>KA2</t>
        </is>
      </c>
      <c r="C397" s="26" t="n">
        <v>2</v>
      </c>
      <c r="D397" s="26" t="inlineStr">
        <is>
          <t>Head-Fi reviews</t>
        </is>
      </c>
      <c r="E397" s="26" t="inlineStr">
        <is>
          <t>head-fi.org</t>
        </is>
      </c>
      <c r="F397" s="23" t="inlineStr">
        <is>
          <t>https://www.head-fi.org/showcase/fiio-jade-audio-ka2.25992/reviews</t>
        </is>
      </c>
      <c r="G397" s="26" t="inlineStr">
        <is>
          <t>Oui</t>
        </is>
      </c>
      <c r="H397" s="26" t="inlineStr">
        <is>
          <t>Review / retour exploitable</t>
        </is>
      </c>
    </row>
    <row r="398">
      <c r="A398" s="26" t="inlineStr">
        <is>
          <t>FiiO</t>
        </is>
      </c>
      <c r="B398" s="26" t="inlineStr">
        <is>
          <t>KA2</t>
        </is>
      </c>
      <c r="C398" s="26" t="n">
        <v>3</v>
      </c>
      <c r="D398" s="26" t="inlineStr">
        <is>
          <t>Review éditoriale</t>
        </is>
      </c>
      <c r="E398" s="26" t="inlineStr">
        <is>
          <t>headfonia.com</t>
        </is>
      </c>
      <c r="F398" s="23" t="inlineStr">
        <is>
          <t>https://www.headfonia.com/fiio-ka2-review/</t>
        </is>
      </c>
      <c r="G398" s="26" t="inlineStr">
        <is>
          <t>Oui</t>
        </is>
      </c>
      <c r="H398" s="26" t="inlineStr">
        <is>
          <t>Review / retour exploitable</t>
        </is>
      </c>
    </row>
    <row r="399">
      <c r="A399" s="26" t="inlineStr">
        <is>
          <t>FiiO</t>
        </is>
      </c>
      <c r="B399" s="26" t="inlineStr">
        <is>
          <t>KA2</t>
        </is>
      </c>
      <c r="C399" s="26" t="n">
        <v>4</v>
      </c>
      <c r="D399" s="26" t="inlineStr">
        <is>
          <t>Review éditoriale</t>
        </is>
      </c>
      <c r="E399" s="26" t="inlineStr">
        <is>
          <t>primeaudio.org</t>
        </is>
      </c>
      <c r="F399" s="23" t="inlineStr">
        <is>
          <t>https://primeaudio.org/fiio-jadeaudio-ka2-review/</t>
        </is>
      </c>
      <c r="G399" s="26" t="inlineStr">
        <is>
          <t>Oui</t>
        </is>
      </c>
      <c r="H399" s="26" t="inlineStr">
        <is>
          <t>Review / retour exploitable</t>
        </is>
      </c>
    </row>
    <row r="400">
      <c r="A400" s="26" t="inlineStr">
        <is>
          <t>ddHiFi</t>
        </is>
      </c>
      <c r="B400" s="26" t="inlineStr">
        <is>
          <t>TC44A Lightning DAC</t>
        </is>
      </c>
      <c r="C400" s="26" t="n">
        <v>1</v>
      </c>
      <c r="D400" s="26" t="inlineStr">
        <is>
          <t>Review éditoriale</t>
        </is>
      </c>
      <c r="E400" s="26" t="inlineStr">
        <is>
          <t>headfonics.com</t>
        </is>
      </c>
      <c r="F400" s="23" t="inlineStr">
        <is>
          <t>https://headfonics.com/ddhifi-tc44a-lightning-dac-review/</t>
        </is>
      </c>
      <c r="G400" s="26" t="inlineStr">
        <is>
          <t>Oui</t>
        </is>
      </c>
      <c r="H400" s="26" t="inlineStr">
        <is>
          <t>Review / retour exploitable</t>
        </is>
      </c>
    </row>
    <row r="401">
      <c r="A401" s="26" t="inlineStr">
        <is>
          <t>ddHiFi</t>
        </is>
      </c>
      <c r="B401" s="26" t="inlineStr">
        <is>
          <t>TC44A Lightning DAC</t>
        </is>
      </c>
      <c r="C401" s="26" t="n">
        <v>2</v>
      </c>
      <c r="D401" s="26" t="inlineStr">
        <is>
          <t>Head-Fi reviews</t>
        </is>
      </c>
      <c r="E401" s="26" t="inlineStr">
        <is>
          <t>head-fi.org</t>
        </is>
      </c>
      <c r="F401" s="23" t="inlineStr">
        <is>
          <t>https://www.head-fi.org/showcase/ddhifi-tc44a.26388/reviews</t>
        </is>
      </c>
      <c r="G401" s="26" t="inlineStr">
        <is>
          <t>Oui</t>
        </is>
      </c>
      <c r="H401" s="26" t="inlineStr">
        <is>
          <t>Review / retour exploitable</t>
        </is>
      </c>
    </row>
    <row r="402">
      <c r="A402" s="26" t="inlineStr">
        <is>
          <t>ddHiFi</t>
        </is>
      </c>
      <c r="B402" s="26" t="inlineStr">
        <is>
          <t>TC44A Lightning DAC</t>
        </is>
      </c>
      <c r="C402" s="26" t="n">
        <v>3</v>
      </c>
      <c r="D402" s="26" t="inlineStr">
        <is>
          <t>Review éditoriale</t>
        </is>
      </c>
      <c r="E402" s="26" t="inlineStr">
        <is>
          <t>headfonia.com</t>
        </is>
      </c>
      <c r="F402" s="23" t="inlineStr">
        <is>
          <t>https://www.headfonia.com/ddhifi-tc44a-tc35c-review/</t>
        </is>
      </c>
      <c r="G402" s="26" t="inlineStr">
        <is>
          <t>Oui</t>
        </is>
      </c>
      <c r="H402" s="26" t="inlineStr">
        <is>
          <t>Review / retour exploitable</t>
        </is>
      </c>
    </row>
    <row r="403">
      <c r="A403" s="26" t="inlineStr">
        <is>
          <t>ddHiFi</t>
        </is>
      </c>
      <c r="B403" s="26" t="inlineStr">
        <is>
          <t>TC44A Lightning DAC</t>
        </is>
      </c>
      <c r="C403" s="26" t="n">
        <v>4</v>
      </c>
      <c r="D403" s="26" t="inlineStr">
        <is>
          <t>Head-Fi forum</t>
        </is>
      </c>
      <c r="E403" s="26" t="inlineStr">
        <is>
          <t>head-fi.org</t>
        </is>
      </c>
      <c r="F403" s="23" t="inlineStr">
        <is>
          <t>https://www.head-fi.org/threads/usb-c-to-3-5mm-adapters-dac-lets-find-the-best.908839/page-270</t>
        </is>
      </c>
      <c r="G403" s="26" t="inlineStr">
        <is>
          <t>Oui</t>
        </is>
      </c>
      <c r="H403" s="26" t="inlineStr">
        <is>
          <t>Review / retour exploitable</t>
        </is>
      </c>
    </row>
    <row r="404">
      <c r="A404" s="26" t="inlineStr">
        <is>
          <t>xDuoo</t>
        </is>
      </c>
      <c r="B404" s="26" t="inlineStr">
        <is>
          <t>Link2 Bal</t>
        </is>
      </c>
      <c r="C404" s="26" t="n">
        <v>1</v>
      </c>
      <c r="D404" s="26" t="inlineStr">
        <is>
          <t>Review éditoriale</t>
        </is>
      </c>
      <c r="E404" s="26" t="inlineStr">
        <is>
          <t>headfonics.com</t>
        </is>
      </c>
      <c r="F404" s="23" t="inlineStr">
        <is>
          <t>https://headfonics.com/xduoo-link2-bal-review/</t>
        </is>
      </c>
      <c r="G404" s="26" t="inlineStr">
        <is>
          <t>Oui</t>
        </is>
      </c>
      <c r="H404" s="26" t="inlineStr">
        <is>
          <t>Review / retour exploitable</t>
        </is>
      </c>
    </row>
    <row r="405">
      <c r="A405" s="26" t="inlineStr">
        <is>
          <t>xDuoo</t>
        </is>
      </c>
      <c r="B405" s="26" t="inlineStr">
        <is>
          <t>Link2 Bal</t>
        </is>
      </c>
      <c r="C405" s="26" t="n">
        <v>2</v>
      </c>
      <c r="D405" s="26" t="inlineStr">
        <is>
          <t>Head-Fi reviews</t>
        </is>
      </c>
      <c r="E405" s="26" t="inlineStr">
        <is>
          <t>head-fi.org</t>
        </is>
      </c>
      <c r="F405" s="23" t="inlineStr">
        <is>
          <t>https://www.head-fi.org/showcase/xduoo-link2-bal.25705/reviews</t>
        </is>
      </c>
      <c r="G405" s="26" t="inlineStr">
        <is>
          <t>Oui</t>
        </is>
      </c>
      <c r="H405" s="26" t="inlineStr">
        <is>
          <t>Review / retour exploitable</t>
        </is>
      </c>
    </row>
    <row r="406">
      <c r="A406" s="26" t="inlineStr">
        <is>
          <t>xDuoo</t>
        </is>
      </c>
      <c r="B406" s="26" t="inlineStr">
        <is>
          <t>Link2 Bal</t>
        </is>
      </c>
      <c r="C406" s="26" t="n">
        <v>3</v>
      </c>
      <c r="D406" s="26" t="inlineStr">
        <is>
          <t>Review éditoriale</t>
        </is>
      </c>
      <c r="E406" s="26" t="inlineStr">
        <is>
          <t>nobordersaudiophile.wordpress.com</t>
        </is>
      </c>
      <c r="F406" s="23" t="inlineStr">
        <is>
          <t>https://nobordersaudiophile.wordpress.com/2022/04/04/xduoo-link2-bal-the-musical-beauty-and-the-amping-beast/</t>
        </is>
      </c>
      <c r="G406" s="26" t="inlineStr">
        <is>
          <t>Oui</t>
        </is>
      </c>
      <c r="H406" s="26" t="inlineStr">
        <is>
          <t>Review / retour exploitable</t>
        </is>
      </c>
    </row>
    <row r="407">
      <c r="A407" s="26" t="inlineStr">
        <is>
          <t>xDuoo</t>
        </is>
      </c>
      <c r="B407" s="26" t="inlineStr">
        <is>
          <t>Link2 Bal</t>
        </is>
      </c>
      <c r="C407" s="26" t="n">
        <v>4</v>
      </c>
      <c r="D407" s="26" t="inlineStr">
        <is>
          <t>Review éditoriale</t>
        </is>
      </c>
      <c r="E407" s="26" t="inlineStr">
        <is>
          <t>porta.fi</t>
        </is>
      </c>
      <c r="F407" s="23" t="inlineStr">
        <is>
          <t>https://porta.fi/xduoo-link2-bal-portable-dac-review-power-of-balance/</t>
        </is>
      </c>
      <c r="G407" s="26" t="inlineStr">
        <is>
          <t>Oui</t>
        </is>
      </c>
      <c r="H407" s="26" t="inlineStr">
        <is>
          <t>Review / retour exploitable</t>
        </is>
      </c>
    </row>
    <row r="408">
      <c r="A408" s="26" t="inlineStr">
        <is>
          <t>Shanling</t>
        </is>
      </c>
      <c r="B408" s="26" t="inlineStr">
        <is>
          <t>UA3</t>
        </is>
      </c>
      <c r="C408" s="26" t="n">
        <v>1</v>
      </c>
      <c r="D408" s="26" t="inlineStr">
        <is>
          <t>Review éditoriale</t>
        </is>
      </c>
      <c r="E408" s="26" t="inlineStr">
        <is>
          <t>headfonics.com</t>
        </is>
      </c>
      <c r="F408" s="23" t="inlineStr">
        <is>
          <t>https://headfonics.com/shanling-ua3-review/</t>
        </is>
      </c>
      <c r="G408" s="26" t="inlineStr">
        <is>
          <t>Oui</t>
        </is>
      </c>
      <c r="H408" s="26" t="inlineStr">
        <is>
          <t>Review / retour exploitable</t>
        </is>
      </c>
    </row>
    <row r="409">
      <c r="A409" s="26" t="inlineStr">
        <is>
          <t>Shanling</t>
        </is>
      </c>
      <c r="B409" s="26" t="inlineStr">
        <is>
          <t>UA3</t>
        </is>
      </c>
      <c r="C409" s="26" t="n">
        <v>2</v>
      </c>
      <c r="D409" s="26" t="inlineStr">
        <is>
          <t>Head-Fi reviews</t>
        </is>
      </c>
      <c r="E409" s="26" t="inlineStr">
        <is>
          <t>head-fi.org</t>
        </is>
      </c>
      <c r="F409" s="23" t="inlineStr">
        <is>
          <t>https://www.head-fi.org/showcase/shanling-ua3-portable-dac-amp.25836/reviews</t>
        </is>
      </c>
      <c r="G409" s="26" t="inlineStr">
        <is>
          <t>Oui</t>
        </is>
      </c>
      <c r="H409" s="26" t="inlineStr">
        <is>
          <t>Review / retour exploitable</t>
        </is>
      </c>
    </row>
    <row r="410">
      <c r="A410" s="26" t="inlineStr">
        <is>
          <t>Shanling</t>
        </is>
      </c>
      <c r="B410" s="26" t="inlineStr">
        <is>
          <t>UA3</t>
        </is>
      </c>
      <c r="C410" s="26" t="n">
        <v>3</v>
      </c>
      <c r="D410" s="26" t="inlineStr">
        <is>
          <t>Review éditoriale</t>
        </is>
      </c>
      <c r="E410" s="26" t="inlineStr">
        <is>
          <t>ichos-reviews.com</t>
        </is>
      </c>
      <c r="F410" s="23" t="inlineStr">
        <is>
          <t>https://ichos-reviews.com/shanling-ua3/</t>
        </is>
      </c>
      <c r="G410" s="26" t="inlineStr">
        <is>
          <t>Oui</t>
        </is>
      </c>
      <c r="H410" s="26" t="inlineStr">
        <is>
          <t>Review / retour exploitable</t>
        </is>
      </c>
    </row>
    <row r="411">
      <c r="A411" s="26" t="inlineStr">
        <is>
          <t>Shanling</t>
        </is>
      </c>
      <c r="B411" s="26" t="inlineStr">
        <is>
          <t>UA3</t>
        </is>
      </c>
      <c r="C411" s="26" t="n">
        <v>4</v>
      </c>
      <c r="D411" s="26" t="inlineStr">
        <is>
          <t>Review éditoriale</t>
        </is>
      </c>
      <c r="E411" s="26" t="inlineStr">
        <is>
          <t>theheadphonelist.com</t>
        </is>
      </c>
      <c r="F411" s="23" t="inlineStr">
        <is>
          <t>https://theheadphonelist.com/shanling-ua3-review-the-best-budget-dongle/</t>
        </is>
      </c>
      <c r="G411" s="26" t="inlineStr">
        <is>
          <t>Oui</t>
        </is>
      </c>
      <c r="H411" s="26" t="inlineStr">
        <is>
          <t>Review / retour exploitable</t>
        </is>
      </c>
    </row>
    <row r="412">
      <c r="A412" s="26" t="inlineStr">
        <is>
          <t>HiBy</t>
        </is>
      </c>
      <c r="B412" s="26" t="inlineStr">
        <is>
          <t>FC4</t>
        </is>
      </c>
      <c r="C412" s="26" t="n">
        <v>1</v>
      </c>
      <c r="D412" s="26" t="inlineStr">
        <is>
          <t>Review éditoriale</t>
        </is>
      </c>
      <c r="E412" s="26" t="inlineStr">
        <is>
          <t>headfonics.com</t>
        </is>
      </c>
      <c r="F412" s="23" t="inlineStr">
        <is>
          <t>https://headfonics.com/hiby-fc4-review/</t>
        </is>
      </c>
      <c r="G412" s="26" t="inlineStr">
        <is>
          <t>Oui</t>
        </is>
      </c>
      <c r="H412" s="26" t="inlineStr">
        <is>
          <t>Review / retour exploitable</t>
        </is>
      </c>
    </row>
    <row r="413">
      <c r="A413" s="26" t="inlineStr">
        <is>
          <t>HiBy</t>
        </is>
      </c>
      <c r="B413" s="26" t="inlineStr">
        <is>
          <t>FC4</t>
        </is>
      </c>
      <c r="C413" s="26" t="n">
        <v>2</v>
      </c>
      <c r="D413" s="26" t="inlineStr">
        <is>
          <t>Head-Fi reviews</t>
        </is>
      </c>
      <c r="E413" s="26" t="inlineStr">
        <is>
          <t>head-fi.org</t>
        </is>
      </c>
      <c r="F413" s="23" t="inlineStr">
        <is>
          <t>https://www.head-fi.org/showcase/hiby-fc4.27105/reviews</t>
        </is>
      </c>
      <c r="G413" s="26" t="inlineStr">
        <is>
          <t>Oui</t>
        </is>
      </c>
      <c r="H413" s="26" t="inlineStr">
        <is>
          <t>Review / retour exploitable</t>
        </is>
      </c>
    </row>
    <row r="414">
      <c r="A414" s="26" t="inlineStr">
        <is>
          <t>HiBy</t>
        </is>
      </c>
      <c r="B414" s="26" t="inlineStr">
        <is>
          <t>FC4</t>
        </is>
      </c>
      <c r="C414" s="26" t="n">
        <v>3</v>
      </c>
      <c r="D414" s="26" t="inlineStr">
        <is>
          <t>Review éditoriale</t>
        </is>
      </c>
      <c r="E414" s="26" t="inlineStr">
        <is>
          <t>headphonesty.com</t>
        </is>
      </c>
      <c r="F414" s="23" t="inlineStr">
        <is>
          <t>https://www.headphonesty.com/2023/08/review-hiby-fc4/</t>
        </is>
      </c>
      <c r="G414" s="26" t="inlineStr">
        <is>
          <t>Oui</t>
        </is>
      </c>
      <c r="H414" s="26" t="inlineStr">
        <is>
          <t>Review / retour exploitable</t>
        </is>
      </c>
    </row>
    <row r="415">
      <c r="A415" s="26" t="inlineStr">
        <is>
          <t>HiBy</t>
        </is>
      </c>
      <c r="B415" s="26" t="inlineStr">
        <is>
          <t>FC4</t>
        </is>
      </c>
      <c r="C415" s="26" t="n">
        <v>4</v>
      </c>
      <c r="D415" s="26" t="inlineStr">
        <is>
          <t>Review éditoriale</t>
        </is>
      </c>
      <c r="E415" s="26" t="inlineStr">
        <is>
          <t>headfonia.com</t>
        </is>
      </c>
      <c r="F415" s="23" t="inlineStr">
        <is>
          <t>https://www.headfonia.com/hiby-fc4-review/</t>
        </is>
      </c>
      <c r="G415" s="26" t="inlineStr">
        <is>
          <t>Oui</t>
        </is>
      </c>
      <c r="H415" s="26" t="inlineStr">
        <is>
          <t>Review / retour exploitable</t>
        </is>
      </c>
    </row>
    <row r="416">
      <c r="A416" s="26" t="inlineStr">
        <is>
          <t>Questyle</t>
        </is>
      </c>
      <c r="B416" s="26" t="inlineStr">
        <is>
          <t>M15</t>
        </is>
      </c>
      <c r="C416" s="26" t="n">
        <v>1</v>
      </c>
      <c r="D416" s="26" t="inlineStr">
        <is>
          <t>Review éditoriale</t>
        </is>
      </c>
      <c r="E416" s="26" t="inlineStr">
        <is>
          <t>headfonics.com</t>
        </is>
      </c>
      <c r="F416" s="23" t="inlineStr">
        <is>
          <t>https://headfonics.com/questyle-m15-review/</t>
        </is>
      </c>
      <c r="G416" s="26" t="inlineStr">
        <is>
          <t>Oui</t>
        </is>
      </c>
      <c r="H416" s="26" t="inlineStr">
        <is>
          <t>Review / retour exploitable</t>
        </is>
      </c>
    </row>
    <row r="417">
      <c r="A417" s="26" t="inlineStr">
        <is>
          <t>Questyle</t>
        </is>
      </c>
      <c r="B417" s="26" t="inlineStr">
        <is>
          <t>M15</t>
        </is>
      </c>
      <c r="C417" s="26" t="n">
        <v>2</v>
      </c>
      <c r="D417" s="26" t="inlineStr">
        <is>
          <t>Head-Fi reviews</t>
        </is>
      </c>
      <c r="E417" s="26" t="inlineStr">
        <is>
          <t>head-fi.org</t>
        </is>
      </c>
      <c r="F417" s="23" t="inlineStr">
        <is>
          <t>https://www.head-fi.org/showcase/questyle-m15-%C2%B7-mobile-lossless-headphone-amp-with-dac.25804/reviews</t>
        </is>
      </c>
      <c r="G417" s="26" t="inlineStr">
        <is>
          <t>Oui</t>
        </is>
      </c>
      <c r="H417" s="26" t="inlineStr">
        <is>
          <t>Review / retour exploitable</t>
        </is>
      </c>
    </row>
    <row r="418">
      <c r="A418" s="26" t="inlineStr">
        <is>
          <t>Questyle</t>
        </is>
      </c>
      <c r="B418" s="26" t="inlineStr">
        <is>
          <t>M15</t>
        </is>
      </c>
      <c r="C418" s="26" t="n">
        <v>3</v>
      </c>
      <c r="D418" s="26" t="inlineStr">
        <is>
          <t>Review éditoriale</t>
        </is>
      </c>
      <c r="E418" s="26" t="inlineStr">
        <is>
          <t>headphonesty.com</t>
        </is>
      </c>
      <c r="F418" s="23" t="inlineStr">
        <is>
          <t>https://www.headphonesty.com/2022/05/review-questyle-m15/</t>
        </is>
      </c>
      <c r="G418" s="26" t="inlineStr">
        <is>
          <t>Oui</t>
        </is>
      </c>
      <c r="H418" s="26" t="inlineStr">
        <is>
          <t>Review / retour exploitable</t>
        </is>
      </c>
    </row>
    <row r="419">
      <c r="A419" s="26" t="inlineStr">
        <is>
          <t>Questyle</t>
        </is>
      </c>
      <c r="B419" s="26" t="inlineStr">
        <is>
          <t>M15</t>
        </is>
      </c>
      <c r="C419" s="26" t="n">
        <v>4</v>
      </c>
      <c r="D419" s="26" t="inlineStr">
        <is>
          <t>Review éditoriale</t>
        </is>
      </c>
      <c r="E419" s="26" t="inlineStr">
        <is>
          <t>headfonia.com</t>
        </is>
      </c>
      <c r="F419" s="23" t="inlineStr">
        <is>
          <t>https://www.headfonia.com/questyle-m15-review/</t>
        </is>
      </c>
      <c r="G419" s="26" t="inlineStr">
        <is>
          <t>Oui</t>
        </is>
      </c>
      <c r="H419" s="26" t="inlineStr">
        <is>
          <t>Review / retour exploitable</t>
        </is>
      </c>
    </row>
    <row r="420">
      <c r="A420" s="26" t="inlineStr">
        <is>
          <t>iBasso</t>
        </is>
      </c>
      <c r="B420" s="26" t="inlineStr">
        <is>
          <t>DC06</t>
        </is>
      </c>
      <c r="C420" s="26" t="n">
        <v>1</v>
      </c>
      <c r="D420" s="26" t="inlineStr">
        <is>
          <t>Review éditoriale</t>
        </is>
      </c>
      <c r="E420" s="26" t="inlineStr">
        <is>
          <t>headfonics.com</t>
        </is>
      </c>
      <c r="F420" s="23" t="inlineStr">
        <is>
          <t>https://headfonics.com/ibasso-dc06-review/</t>
        </is>
      </c>
      <c r="G420" s="26" t="inlineStr">
        <is>
          <t>Oui</t>
        </is>
      </c>
      <c r="H420" s="26" t="inlineStr">
        <is>
          <t>Review / retour exploitable</t>
        </is>
      </c>
    </row>
    <row r="421">
      <c r="A421" s="26" t="inlineStr">
        <is>
          <t>iBasso</t>
        </is>
      </c>
      <c r="B421" s="26" t="inlineStr">
        <is>
          <t>DC06</t>
        </is>
      </c>
      <c r="C421" s="26" t="n">
        <v>2</v>
      </c>
      <c r="D421" s="26" t="inlineStr">
        <is>
          <t>Head-Fi reviews</t>
        </is>
      </c>
      <c r="E421" s="26" t="inlineStr">
        <is>
          <t>head-fi.org</t>
        </is>
      </c>
      <c r="F421" s="23" t="inlineStr">
        <is>
          <t>https://www.head-fi.org/showcase/ibasso-dc06.25997/reviews</t>
        </is>
      </c>
      <c r="G421" s="26" t="inlineStr">
        <is>
          <t>Oui</t>
        </is>
      </c>
      <c r="H421" s="26" t="inlineStr">
        <is>
          <t>Review / retour exploitable</t>
        </is>
      </c>
    </row>
    <row r="422">
      <c r="A422" s="26" t="inlineStr">
        <is>
          <t>iBasso</t>
        </is>
      </c>
      <c r="B422" s="26" t="inlineStr">
        <is>
          <t>DC06</t>
        </is>
      </c>
      <c r="C422" s="26" t="n">
        <v>3</v>
      </c>
      <c r="D422" s="26" t="inlineStr">
        <is>
          <t>Review éditoriale</t>
        </is>
      </c>
      <c r="E422" s="26" t="inlineStr">
        <is>
          <t>headfonia.com</t>
        </is>
      </c>
      <c r="F422" s="23" t="inlineStr">
        <is>
          <t>https://www.headfonia.com/ibasso-dc06-review/</t>
        </is>
      </c>
      <c r="G422" s="26" t="inlineStr">
        <is>
          <t>Oui</t>
        </is>
      </c>
      <c r="H422" s="26" t="inlineStr">
        <is>
          <t>Review / retour exploitable</t>
        </is>
      </c>
    </row>
    <row r="423">
      <c r="A423" s="26" t="inlineStr">
        <is>
          <t>iBasso</t>
        </is>
      </c>
      <c r="B423" s="26" t="inlineStr">
        <is>
          <t>DC06</t>
        </is>
      </c>
      <c r="C423" s="26" t="n">
        <v>4</v>
      </c>
      <c r="D423" s="26" t="inlineStr">
        <is>
          <t>Review éditoriale</t>
        </is>
      </c>
      <c r="E423" s="26" t="inlineStr">
        <is>
          <t>ichos-reviews.com</t>
        </is>
      </c>
      <c r="F423" s="23" t="inlineStr">
        <is>
          <t>https://ichos-reviews.com/ibasso-dc06/</t>
        </is>
      </c>
      <c r="G423" s="26" t="inlineStr">
        <is>
          <t>Oui</t>
        </is>
      </c>
      <c r="H423" s="26" t="inlineStr">
        <is>
          <t>Review / retour exploitable</t>
        </is>
      </c>
    </row>
    <row r="424">
      <c r="A424" s="26" t="inlineStr">
        <is>
          <t>Topping</t>
        </is>
      </c>
      <c r="B424" s="26" t="inlineStr">
        <is>
          <t>NX7</t>
        </is>
      </c>
      <c r="C424" s="26" t="n">
        <v>1</v>
      </c>
      <c r="D424" s="26" t="inlineStr">
        <is>
          <t>Review éditoriale</t>
        </is>
      </c>
      <c r="E424" s="26" t="inlineStr">
        <is>
          <t>headfonics.com</t>
        </is>
      </c>
      <c r="F424" s="23" t="inlineStr">
        <is>
          <t>https://headfonics.com/topping-nx7-review/</t>
        </is>
      </c>
      <c r="G424" s="26" t="inlineStr">
        <is>
          <t>Oui</t>
        </is>
      </c>
      <c r="H424" s="26" t="inlineStr">
        <is>
          <t>Review / retour exploitable</t>
        </is>
      </c>
    </row>
    <row r="425">
      <c r="A425" s="26" t="inlineStr">
        <is>
          <t>Topping</t>
        </is>
      </c>
      <c r="B425" s="26" t="inlineStr">
        <is>
          <t>NX7</t>
        </is>
      </c>
      <c r="C425" s="26" t="n">
        <v>2</v>
      </c>
      <c r="D425" s="26" t="inlineStr">
        <is>
          <t>Review éditoriale</t>
        </is>
      </c>
      <c r="E425" s="26" t="inlineStr">
        <is>
          <t>headfonia.com</t>
        </is>
      </c>
      <c r="F425" s="23" t="inlineStr">
        <is>
          <t>https://www.headfonia.com/topping-nx7-review/</t>
        </is>
      </c>
      <c r="G425" s="26" t="inlineStr">
        <is>
          <t>Oui</t>
        </is>
      </c>
      <c r="H425" s="26" t="inlineStr">
        <is>
          <t>Review / retour exploitable</t>
        </is>
      </c>
    </row>
    <row r="426">
      <c r="A426" s="26" t="inlineStr">
        <is>
          <t>Topping</t>
        </is>
      </c>
      <c r="B426" s="26" t="inlineStr">
        <is>
          <t>NX7</t>
        </is>
      </c>
      <c r="C426" s="26" t="n">
        <v>3</v>
      </c>
      <c r="D426" s="26" t="inlineStr">
        <is>
          <t>Review éditoriale</t>
        </is>
      </c>
      <c r="E426" s="26" t="inlineStr">
        <is>
          <t>primeaudio.org</t>
        </is>
      </c>
      <c r="F426" s="23" t="inlineStr">
        <is>
          <t>https://primeaudio.org/topping-nx7-review/</t>
        </is>
      </c>
      <c r="G426" s="26" t="inlineStr">
        <is>
          <t>Oui</t>
        </is>
      </c>
      <c r="H426" s="26" t="inlineStr">
        <is>
          <t>Review / retour exploitable</t>
        </is>
      </c>
    </row>
    <row r="427">
      <c r="A427" s="26" t="inlineStr">
        <is>
          <t>Topping</t>
        </is>
      </c>
      <c r="B427" s="26" t="inlineStr">
        <is>
          <t>NX7</t>
        </is>
      </c>
      <c r="C427" s="26" t="n">
        <v>4</v>
      </c>
      <c r="D427" s="26" t="inlineStr">
        <is>
          <t>Head-Fi forum</t>
        </is>
      </c>
      <c r="E427" s="26" t="inlineStr">
        <is>
          <t>head-fi.org</t>
        </is>
      </c>
      <c r="F427" s="23" t="inlineStr">
        <is>
          <t>https://www.head-fi.org/threads/topping-nx7-portable-headphone-amplifier.964915/</t>
        </is>
      </c>
      <c r="G427" s="26" t="inlineStr">
        <is>
          <t>Oui</t>
        </is>
      </c>
      <c r="H427" s="26" t="inlineStr">
        <is>
          <t>Review / retour exploitable</t>
        </is>
      </c>
    </row>
    <row r="428">
      <c r="A428" s="26" t="inlineStr">
        <is>
          <t>Moondrop</t>
        </is>
      </c>
      <c r="B428" s="26" t="inlineStr">
        <is>
          <t>MoonRiver 2</t>
        </is>
      </c>
      <c r="C428" s="26" t="n">
        <v>1</v>
      </c>
      <c r="D428" s="26" t="inlineStr">
        <is>
          <t>Review éditoriale</t>
        </is>
      </c>
      <c r="E428" s="26" t="inlineStr">
        <is>
          <t>headfonics.com</t>
        </is>
      </c>
      <c r="F428" s="23" t="inlineStr">
        <is>
          <t>https://headfonics.com/moondrop-moonriver-2-review/</t>
        </is>
      </c>
      <c r="G428" s="26" t="inlineStr">
        <is>
          <t>Oui</t>
        </is>
      </c>
      <c r="H428" s="26" t="inlineStr">
        <is>
          <t>Review / retour exploitable</t>
        </is>
      </c>
    </row>
    <row r="429">
      <c r="A429" s="26" t="inlineStr">
        <is>
          <t>Moondrop</t>
        </is>
      </c>
      <c r="B429" s="26" t="inlineStr">
        <is>
          <t>MoonRiver 2</t>
        </is>
      </c>
      <c r="C429" s="26" t="n">
        <v>2</v>
      </c>
      <c r="D429" s="26" t="inlineStr">
        <is>
          <t>Review éditoriale</t>
        </is>
      </c>
      <c r="E429" s="26" t="inlineStr">
        <is>
          <t>headfonia.com</t>
        </is>
      </c>
      <c r="F429" s="23" t="inlineStr">
        <is>
          <t>https://www.headfonia.com/moondrop-moonriver-2-review/</t>
        </is>
      </c>
      <c r="G429" s="26" t="inlineStr">
        <is>
          <t>Oui</t>
        </is>
      </c>
      <c r="H429" s="26" t="inlineStr">
        <is>
          <t>Review / retour exploitable</t>
        </is>
      </c>
    </row>
    <row r="430">
      <c r="A430" s="26" t="inlineStr">
        <is>
          <t>Moondrop</t>
        </is>
      </c>
      <c r="B430" s="26" t="inlineStr">
        <is>
          <t>MoonRiver 2</t>
        </is>
      </c>
      <c r="C430" s="26" t="n">
        <v>3</v>
      </c>
      <c r="D430" s="26" t="inlineStr">
        <is>
          <t>Communauté Reddit</t>
        </is>
      </c>
      <c r="E430" s="26" t="inlineStr">
        <is>
          <t>reddit.com</t>
        </is>
      </c>
      <c r="F430" s="23" t="inlineStr">
        <is>
          <t>https://www.reddit.com/r/headphones/comments/tygbyx</t>
        </is>
      </c>
      <c r="G430" s="26" t="inlineStr">
        <is>
          <t>Oui</t>
        </is>
      </c>
      <c r="H430" s="26" t="inlineStr">
        <is>
          <t>Review / retour exploitable</t>
        </is>
      </c>
    </row>
    <row r="431">
      <c r="A431" s="26" t="inlineStr">
        <is>
          <t>Colorfly</t>
        </is>
      </c>
      <c r="B431" s="26" t="inlineStr">
        <is>
          <t>CDA M1</t>
        </is>
      </c>
      <c r="C431" s="26" t="n">
        <v>1</v>
      </c>
      <c r="D431" s="26" t="inlineStr">
        <is>
          <t>Review éditoriale</t>
        </is>
      </c>
      <c r="E431" s="26" t="inlineStr">
        <is>
          <t>headfonics.com</t>
        </is>
      </c>
      <c r="F431" s="23" t="inlineStr">
        <is>
          <t>https://headfonics.com/colorfly-cda-m1-review/</t>
        </is>
      </c>
      <c r="G431" s="26" t="inlineStr">
        <is>
          <t>Oui</t>
        </is>
      </c>
      <c r="H431" s="26" t="inlineStr">
        <is>
          <t>Review / retour exploitable</t>
        </is>
      </c>
    </row>
    <row r="432">
      <c r="A432" s="26" t="inlineStr">
        <is>
          <t>Colorfly</t>
        </is>
      </c>
      <c r="B432" s="26" t="inlineStr">
        <is>
          <t>CDA M1</t>
        </is>
      </c>
      <c r="C432" s="26" t="n">
        <v>2</v>
      </c>
      <c r="D432" s="26" t="inlineStr">
        <is>
          <t>Head-Fi reviews</t>
        </is>
      </c>
      <c r="E432" s="26" t="inlineStr">
        <is>
          <t>head-fi.org</t>
        </is>
      </c>
      <c r="F432" s="23" t="inlineStr">
        <is>
          <t>https://www.head-fi.org/showcase/colorfly-cda-m1.25621/reviews</t>
        </is>
      </c>
      <c r="G432" s="26" t="inlineStr">
        <is>
          <t>Oui</t>
        </is>
      </c>
      <c r="H432" s="26" t="inlineStr">
        <is>
          <t>Review / retour exploitable</t>
        </is>
      </c>
    </row>
    <row r="433">
      <c r="A433" s="26" t="inlineStr">
        <is>
          <t>Colorfly</t>
        </is>
      </c>
      <c r="B433" s="26" t="inlineStr">
        <is>
          <t>CDA M1</t>
        </is>
      </c>
      <c r="C433" s="26" t="n">
        <v>3</v>
      </c>
      <c r="D433" s="26" t="inlineStr">
        <is>
          <t>Review éditoriale</t>
        </is>
      </c>
      <c r="E433" s="26" t="inlineStr">
        <is>
          <t>headphonesty.com</t>
        </is>
      </c>
      <c r="F433" s="23" t="inlineStr">
        <is>
          <t>https://www.headphonesty.com/2022/04/review-colorfly-cda-m1/</t>
        </is>
      </c>
      <c r="G433" s="26" t="inlineStr">
        <is>
          <t>Oui</t>
        </is>
      </c>
      <c r="H433" s="26" t="inlineStr">
        <is>
          <t>Review / retour exploitable</t>
        </is>
      </c>
    </row>
    <row r="434">
      <c r="A434" s="26" t="inlineStr">
        <is>
          <t>FiiO</t>
        </is>
      </c>
      <c r="B434" s="26" t="inlineStr">
        <is>
          <t>KA1</t>
        </is>
      </c>
      <c r="C434" s="26" t="n">
        <v>1</v>
      </c>
      <c r="D434" s="26" t="inlineStr">
        <is>
          <t>Review éditoriale</t>
        </is>
      </c>
      <c r="E434" s="26" t="inlineStr">
        <is>
          <t>headfonics.com</t>
        </is>
      </c>
      <c r="F434" s="23" t="inlineStr">
        <is>
          <t>https://headfonics.com/fiio-ka1-review/</t>
        </is>
      </c>
      <c r="G434" s="26" t="inlineStr">
        <is>
          <t>Oui</t>
        </is>
      </c>
      <c r="H434" s="26" t="inlineStr">
        <is>
          <t>Review / retour exploitable</t>
        </is>
      </c>
    </row>
    <row r="435">
      <c r="A435" s="26" t="inlineStr">
        <is>
          <t>FiiO</t>
        </is>
      </c>
      <c r="B435" s="26" t="inlineStr">
        <is>
          <t>KA1</t>
        </is>
      </c>
      <c r="C435" s="26" t="n">
        <v>2</v>
      </c>
      <c r="D435" s="26" t="inlineStr">
        <is>
          <t>Head-Fi reviews</t>
        </is>
      </c>
      <c r="E435" s="26" t="inlineStr">
        <is>
          <t>head-fi.org</t>
        </is>
      </c>
      <c r="F435" s="23" t="inlineStr">
        <is>
          <t>https://www.head-fi.org/showcase/fiio-x-jade-audio-ka1-dac-amp.25817/reviews</t>
        </is>
      </c>
      <c r="G435" s="26" t="inlineStr">
        <is>
          <t>Oui</t>
        </is>
      </c>
      <c r="H435" s="26" t="inlineStr">
        <is>
          <t>Review / retour exploitable</t>
        </is>
      </c>
    </row>
    <row r="436">
      <c r="A436" s="26" t="inlineStr">
        <is>
          <t>FiiO</t>
        </is>
      </c>
      <c r="B436" s="26" t="inlineStr">
        <is>
          <t>KA1</t>
        </is>
      </c>
      <c r="C436" s="26" t="n">
        <v>3</v>
      </c>
      <c r="D436" s="26" t="inlineStr">
        <is>
          <t>Review éditoriale</t>
        </is>
      </c>
      <c r="E436" s="26" t="inlineStr">
        <is>
          <t>headfonia.com</t>
        </is>
      </c>
      <c r="F436" s="23" t="inlineStr">
        <is>
          <t>https://www.headfonia.com/fiio-ka1-review/</t>
        </is>
      </c>
      <c r="G436" s="26" t="inlineStr">
        <is>
          <t>Oui</t>
        </is>
      </c>
      <c r="H436" s="26" t="inlineStr">
        <is>
          <t>Review / retour exploitable</t>
        </is>
      </c>
    </row>
    <row r="437">
      <c r="A437" s="26" t="inlineStr">
        <is>
          <t>FiiO</t>
        </is>
      </c>
      <c r="B437" s="26" t="inlineStr">
        <is>
          <t>KA1</t>
        </is>
      </c>
      <c r="C437" s="26" t="n">
        <v>4</v>
      </c>
      <c r="D437" s="26" t="inlineStr">
        <is>
          <t>Review éditoriale</t>
        </is>
      </c>
      <c r="E437" s="26" t="inlineStr">
        <is>
          <t>primeaudio.org</t>
        </is>
      </c>
      <c r="F437" s="23" t="inlineStr">
        <is>
          <t>https://primeaudio.org/fiio-jadeaudio-ka1-review-mqa-on-a-budget/</t>
        </is>
      </c>
      <c r="G437" s="26" t="inlineStr">
        <is>
          <t>Oui</t>
        </is>
      </c>
      <c r="H437" s="26" t="inlineStr">
        <is>
          <t>Review / retour exploitable. Corrigé le 07/08/2026 : Remplace techhive.com/article/920718 (HTTP 410 Gone au 07/08/2026).</t>
        </is>
      </c>
    </row>
    <row r="438">
      <c r="A438" s="26" t="inlineStr">
        <is>
          <t>iFi audio</t>
        </is>
      </c>
      <c r="B438" s="26" t="inlineStr">
        <is>
          <t>GO bar</t>
        </is>
      </c>
      <c r="C438" s="26" t="n">
        <v>1</v>
      </c>
      <c r="D438" s="26" t="inlineStr">
        <is>
          <t>Review éditoriale</t>
        </is>
      </c>
      <c r="E438" s="26" t="inlineStr">
        <is>
          <t>headfonics.com</t>
        </is>
      </c>
      <c r="F438" s="23" t="inlineStr">
        <is>
          <t>https://headfonics.com/ifi-audio-go-bar-review/</t>
        </is>
      </c>
      <c r="G438" s="26" t="inlineStr">
        <is>
          <t>Oui</t>
        </is>
      </c>
      <c r="H438" s="26" t="inlineStr">
        <is>
          <t>Review / retour exploitable</t>
        </is>
      </c>
    </row>
    <row r="439">
      <c r="A439" s="26" t="inlineStr">
        <is>
          <t>iFi audio</t>
        </is>
      </c>
      <c r="B439" s="26" t="inlineStr">
        <is>
          <t>GO bar</t>
        </is>
      </c>
      <c r="C439" s="26" t="n">
        <v>2</v>
      </c>
      <c r="D439" s="26" t="inlineStr">
        <is>
          <t>Head-Fi reviews</t>
        </is>
      </c>
      <c r="E439" s="26" t="inlineStr">
        <is>
          <t>head-fi.org</t>
        </is>
      </c>
      <c r="F439" s="23" t="inlineStr">
        <is>
          <t>https://www.head-fi.org/showcase/ifi-audio-go-bar.25909/reviews</t>
        </is>
      </c>
      <c r="G439" s="26" t="inlineStr">
        <is>
          <t>Oui</t>
        </is>
      </c>
      <c r="H439" s="26" t="inlineStr">
        <is>
          <t>Review / retour exploitable</t>
        </is>
      </c>
    </row>
    <row r="440">
      <c r="A440" s="26" t="inlineStr">
        <is>
          <t>iFi audio</t>
        </is>
      </c>
      <c r="B440" s="26" t="inlineStr">
        <is>
          <t>GO bar</t>
        </is>
      </c>
      <c r="C440" s="26" t="n">
        <v>3</v>
      </c>
      <c r="D440" s="26" t="inlineStr">
        <is>
          <t>Review éditoriale</t>
        </is>
      </c>
      <c r="E440" s="26" t="inlineStr">
        <is>
          <t>audiodiscourse.com</t>
        </is>
      </c>
      <c r="F440" s="23" t="inlineStr">
        <is>
          <t>https://www.audiodiscourse.com/2023/04/ifi-go-bar-full-review.html</t>
        </is>
      </c>
      <c r="G440" s="26" t="inlineStr">
        <is>
          <t>Oui</t>
        </is>
      </c>
      <c r="H440" s="26" t="inlineStr">
        <is>
          <t>Review / retour exploitable</t>
        </is>
      </c>
    </row>
    <row r="441">
      <c r="A441" s="26" t="inlineStr">
        <is>
          <t>iFi audio</t>
        </is>
      </c>
      <c r="B441" s="26" t="inlineStr">
        <is>
          <t>GO bar</t>
        </is>
      </c>
      <c r="C441" s="26" t="n">
        <v>4</v>
      </c>
      <c r="D441" s="26" t="inlineStr">
        <is>
          <t>Review éditoriale</t>
        </is>
      </c>
      <c r="E441" s="26" t="inlineStr">
        <is>
          <t>stereonet.com</t>
        </is>
      </c>
      <c r="F441" s="23" t="inlineStr">
        <is>
          <t>https://stereonet.com/reviews/ifi-audio-go-bar-review</t>
        </is>
      </c>
      <c r="G441" s="26" t="inlineStr">
        <is>
          <t>Oui</t>
        </is>
      </c>
      <c r="H441" s="26" t="inlineStr">
        <is>
          <t>Review / retour exploitable</t>
        </is>
      </c>
    </row>
    <row r="442">
      <c r="A442" s="26" t="inlineStr">
        <is>
          <t>Audirect</t>
        </is>
      </c>
      <c r="B442" s="26" t="inlineStr">
        <is>
          <t>Beam 3 Plus</t>
        </is>
      </c>
      <c r="C442" s="26" t="n">
        <v>1</v>
      </c>
      <c r="D442" s="26" t="inlineStr">
        <is>
          <t>Review éditoriale</t>
        </is>
      </c>
      <c r="E442" s="26" t="inlineStr">
        <is>
          <t>headfonics.com</t>
        </is>
      </c>
      <c r="F442" s="23" t="inlineStr">
        <is>
          <t>https://headfonics.com/hilidac-audirect-beam-3-plus-review/</t>
        </is>
      </c>
      <c r="G442" s="26" t="inlineStr">
        <is>
          <t>Oui</t>
        </is>
      </c>
      <c r="H442" s="26" t="inlineStr">
        <is>
          <t>Review / retour exploitable</t>
        </is>
      </c>
    </row>
    <row r="443">
      <c r="A443" s="26" t="inlineStr">
        <is>
          <t>Audirect</t>
        </is>
      </c>
      <c r="B443" s="26" t="inlineStr">
        <is>
          <t>Beam 3 Plus</t>
        </is>
      </c>
      <c r="C443" s="26" t="n">
        <v>2</v>
      </c>
      <c r="D443" s="26" t="inlineStr">
        <is>
          <t>Head-Fi reviews</t>
        </is>
      </c>
      <c r="E443" s="26" t="inlineStr">
        <is>
          <t>head-fi.org</t>
        </is>
      </c>
      <c r="F443" s="23" t="inlineStr">
        <is>
          <t>https://www.head-fi.org/showcase/audirect-beam-3-plus.25289/reviews</t>
        </is>
      </c>
      <c r="G443" s="26" t="inlineStr">
        <is>
          <t>Oui</t>
        </is>
      </c>
      <c r="H443" s="26" t="inlineStr">
        <is>
          <t>Review / retour exploitable</t>
        </is>
      </c>
    </row>
    <row r="444">
      <c r="A444" s="26" t="inlineStr">
        <is>
          <t>Audirect</t>
        </is>
      </c>
      <c r="B444" s="26" t="inlineStr">
        <is>
          <t>Beam 3 Plus</t>
        </is>
      </c>
      <c r="C444" s="26" t="n">
        <v>3</v>
      </c>
      <c r="D444" s="26" t="inlineStr">
        <is>
          <t>Review éditoriale</t>
        </is>
      </c>
      <c r="E444" s="26" t="inlineStr">
        <is>
          <t>headfonia.com</t>
        </is>
      </c>
      <c r="F444" s="23" t="inlineStr">
        <is>
          <t>https://www.headfonia.com/audirect-beam-3-plus-review/</t>
        </is>
      </c>
      <c r="G444" s="26" t="inlineStr">
        <is>
          <t>Oui</t>
        </is>
      </c>
      <c r="H444" s="26" t="inlineStr">
        <is>
          <t>Review / retour exploitable</t>
        </is>
      </c>
    </row>
    <row r="445">
      <c r="A445" s="26" t="inlineStr">
        <is>
          <t>Audirect</t>
        </is>
      </c>
      <c r="B445" s="26" t="inlineStr">
        <is>
          <t>Beam 3 Plus</t>
        </is>
      </c>
      <c r="C445" s="26" t="n">
        <v>4</v>
      </c>
      <c r="D445" s="26" t="inlineStr">
        <is>
          <t>Review éditoriale</t>
        </is>
      </c>
      <c r="E445" s="26" t="inlineStr">
        <is>
          <t>primeaudio.org</t>
        </is>
      </c>
      <c r="F445" s="23" t="inlineStr">
        <is>
          <t>https://primeaudio.org/audirect-beam-3-plus-review/</t>
        </is>
      </c>
      <c r="G445" s="26" t="inlineStr">
        <is>
          <t>Oui</t>
        </is>
      </c>
      <c r="H445" s="26" t="inlineStr">
        <is>
          <t>Review / retour exploitable</t>
        </is>
      </c>
    </row>
    <row r="446">
      <c r="A446" s="26" t="inlineStr">
        <is>
          <t>ddHiFi</t>
        </is>
      </c>
      <c r="B446" s="26" t="inlineStr">
        <is>
          <t>TC44C</t>
        </is>
      </c>
      <c r="C446" s="26" t="n">
        <v>1</v>
      </c>
      <c r="D446" s="26" t="inlineStr">
        <is>
          <t>Review éditoriale</t>
        </is>
      </c>
      <c r="E446" s="26" t="inlineStr">
        <is>
          <t>headfonics.com</t>
        </is>
      </c>
      <c r="F446" s="23" t="inlineStr">
        <is>
          <t>https://headfonics.com/ddhifi-tc44c-dac-review/</t>
        </is>
      </c>
      <c r="G446" s="26" t="inlineStr">
        <is>
          <t>Oui</t>
        </is>
      </c>
      <c r="H446" s="26" t="inlineStr">
        <is>
          <t>Review / retour exploitable</t>
        </is>
      </c>
    </row>
    <row r="447">
      <c r="A447" s="26" t="inlineStr">
        <is>
          <t>ddHiFi</t>
        </is>
      </c>
      <c r="B447" s="26" t="inlineStr">
        <is>
          <t>TC44C</t>
        </is>
      </c>
      <c r="C447" s="26" t="n">
        <v>2</v>
      </c>
      <c r="D447" s="26" t="inlineStr">
        <is>
          <t>Head-Fi reviews</t>
        </is>
      </c>
      <c r="E447" s="26" t="inlineStr">
        <is>
          <t>head-fi.org</t>
        </is>
      </c>
      <c r="F447" s="23" t="inlineStr">
        <is>
          <t>https://www.head-fi.org/showcase/ddhifi-tc44c.26092/</t>
        </is>
      </c>
      <c r="G447" s="26" t="inlineStr">
        <is>
          <t>Oui</t>
        </is>
      </c>
      <c r="H447" s="26" t="inlineStr">
        <is>
          <t>Review / retour exploitable</t>
        </is>
      </c>
    </row>
    <row r="448">
      <c r="A448" s="26" t="inlineStr">
        <is>
          <t>ddHiFi</t>
        </is>
      </c>
      <c r="B448" s="26" t="inlineStr">
        <is>
          <t>TC44C</t>
        </is>
      </c>
      <c r="C448" s="26" t="n">
        <v>3</v>
      </c>
      <c r="D448" s="26" t="inlineStr">
        <is>
          <t>Review éditoriale</t>
        </is>
      </c>
      <c r="E448" s="26" t="inlineStr">
        <is>
          <t>headfonia.com</t>
        </is>
      </c>
      <c r="F448" s="23" t="inlineStr">
        <is>
          <t>https://www.headfonia.com/ddhifi-tc44c-review/</t>
        </is>
      </c>
      <c r="G448" s="26" t="inlineStr">
        <is>
          <t>Oui</t>
        </is>
      </c>
      <c r="H448" s="26" t="inlineStr">
        <is>
          <t>Review / retour exploitable</t>
        </is>
      </c>
    </row>
    <row r="449">
      <c r="A449" s="26" t="inlineStr">
        <is>
          <t>ddHiFi</t>
        </is>
      </c>
      <c r="B449" s="26" t="inlineStr">
        <is>
          <t>TC44C</t>
        </is>
      </c>
      <c r="C449" s="26" t="n">
        <v>4</v>
      </c>
      <c r="D449" s="26" t="inlineStr">
        <is>
          <t>Review éditoriale</t>
        </is>
      </c>
      <c r="E449" s="26" t="inlineStr">
        <is>
          <t>androidbrick.com</t>
        </is>
      </c>
      <c r="F449" s="23" t="inlineStr">
        <is>
          <t>https://androidbrick.com/ddhifi-tc44c-review/</t>
        </is>
      </c>
      <c r="G449" s="26" t="inlineStr">
        <is>
          <t>Oui</t>
        </is>
      </c>
      <c r="H449" s="26" t="inlineStr">
        <is>
          <t>Review / retour exploitable</t>
        </is>
      </c>
    </row>
    <row r="450">
      <c r="A450" s="26" t="inlineStr">
        <is>
          <t>Shanling</t>
        </is>
      </c>
      <c r="B450" s="26" t="inlineStr">
        <is>
          <t>UA5</t>
        </is>
      </c>
      <c r="C450" s="26" t="n">
        <v>1</v>
      </c>
      <c r="D450" s="26" t="inlineStr">
        <is>
          <t>Review éditoriale</t>
        </is>
      </c>
      <c r="E450" s="26" t="inlineStr">
        <is>
          <t>headfonics.com</t>
        </is>
      </c>
      <c r="F450" s="23" t="inlineStr">
        <is>
          <t>https://headfonics.com/shanling-ua5-review/2/</t>
        </is>
      </c>
      <c r="G450" s="26" t="inlineStr">
        <is>
          <t>Oui</t>
        </is>
      </c>
      <c r="H450" s="26" t="inlineStr">
        <is>
          <t>Review / retour exploitable</t>
        </is>
      </c>
    </row>
    <row r="451">
      <c r="A451" s="26" t="inlineStr">
        <is>
          <t>Shanling</t>
        </is>
      </c>
      <c r="B451" s="26" t="inlineStr">
        <is>
          <t>UA5</t>
        </is>
      </c>
      <c r="C451" s="26" t="n">
        <v>2</v>
      </c>
      <c r="D451" s="26" t="inlineStr">
        <is>
          <t>Head-Fi reviews</t>
        </is>
      </c>
      <c r="E451" s="26" t="inlineStr">
        <is>
          <t>head-fi.org</t>
        </is>
      </c>
      <c r="F451" s="23" t="inlineStr">
        <is>
          <t>https://www.head-fi.org/showcase/shanling-ua5.25767/reviews</t>
        </is>
      </c>
      <c r="G451" s="26" t="inlineStr">
        <is>
          <t>Oui</t>
        </is>
      </c>
      <c r="H451" s="26" t="inlineStr">
        <is>
          <t>Review / retour exploitable</t>
        </is>
      </c>
    </row>
    <row r="452">
      <c r="A452" s="26" t="inlineStr">
        <is>
          <t>Shanling</t>
        </is>
      </c>
      <c r="B452" s="26" t="inlineStr">
        <is>
          <t>UA5</t>
        </is>
      </c>
      <c r="C452" s="26" t="n">
        <v>3</v>
      </c>
      <c r="D452" s="26" t="inlineStr">
        <is>
          <t>Review éditoriale</t>
        </is>
      </c>
      <c r="E452" s="26" t="inlineStr">
        <is>
          <t>headphonesty.com</t>
        </is>
      </c>
      <c r="F452" s="23" t="inlineStr">
        <is>
          <t>https://www.headphonesty.com/2022/08/review-shanling-ua5/</t>
        </is>
      </c>
      <c r="G452" s="26" t="inlineStr">
        <is>
          <t>Oui</t>
        </is>
      </c>
      <c r="H452" s="26" t="inlineStr">
        <is>
          <t>Review / retour exploitable</t>
        </is>
      </c>
    </row>
    <row r="453">
      <c r="A453" s="26" t="inlineStr">
        <is>
          <t>Shanling</t>
        </is>
      </c>
      <c r="B453" s="26" t="inlineStr">
        <is>
          <t>UA5</t>
        </is>
      </c>
      <c r="C453" s="26" t="n">
        <v>4</v>
      </c>
      <c r="D453" s="26" t="inlineStr">
        <is>
          <t>Review éditoriale</t>
        </is>
      </c>
      <c r="E453" s="26" t="inlineStr">
        <is>
          <t>headfonia.com</t>
        </is>
      </c>
      <c r="F453" s="23" t="inlineStr">
        <is>
          <t>https://www.headfonia.com/shanling-ua5-review/</t>
        </is>
      </c>
      <c r="G453" s="26" t="inlineStr">
        <is>
          <t>Oui</t>
        </is>
      </c>
      <c r="H453" s="26" t="inlineStr">
        <is>
          <t>Review / retour exploitable</t>
        </is>
      </c>
    </row>
    <row r="454">
      <c r="A454" s="26" t="inlineStr">
        <is>
          <t>TempoTec</t>
        </is>
      </c>
      <c r="B454" s="26" t="inlineStr">
        <is>
          <t>Sonata E35</t>
        </is>
      </c>
      <c r="C454" s="26" t="n">
        <v>1</v>
      </c>
      <c r="D454" s="26" t="inlineStr">
        <is>
          <t>Review éditoriale</t>
        </is>
      </c>
      <c r="E454" s="26" t="inlineStr">
        <is>
          <t>headfonics.com</t>
        </is>
      </c>
      <c r="F454" s="23" t="inlineStr">
        <is>
          <t>https://headfonics.com/tempotec-sonata-e35-review/</t>
        </is>
      </c>
      <c r="G454" s="26" t="inlineStr">
        <is>
          <t>Oui</t>
        </is>
      </c>
      <c r="H454" s="26" t="inlineStr">
        <is>
          <t>Review / retour exploitable</t>
        </is>
      </c>
    </row>
    <row r="455">
      <c r="A455" s="26" t="inlineStr">
        <is>
          <t>TempoTec</t>
        </is>
      </c>
      <c r="B455" s="26" t="inlineStr">
        <is>
          <t>Sonata E35</t>
        </is>
      </c>
      <c r="C455" s="26" t="n">
        <v>2</v>
      </c>
      <c r="D455" s="26" t="inlineStr">
        <is>
          <t>Head-Fi reviews</t>
        </is>
      </c>
      <c r="E455" s="26" t="inlineStr">
        <is>
          <t>head-fi.org</t>
        </is>
      </c>
      <c r="F455" s="23" t="inlineStr">
        <is>
          <t>https://www.head-fi.org/showcase/tempotec-sonata-e35.25153/reviews</t>
        </is>
      </c>
      <c r="G455" s="26" t="inlineStr">
        <is>
          <t>Oui</t>
        </is>
      </c>
      <c r="H455" s="26" t="inlineStr">
        <is>
          <t>Review / retour exploitable</t>
        </is>
      </c>
    </row>
    <row r="456">
      <c r="A456" s="26" t="inlineStr">
        <is>
          <t>TempoTec</t>
        </is>
      </c>
      <c r="B456" s="26" t="inlineStr">
        <is>
          <t>Sonata E35</t>
        </is>
      </c>
      <c r="C456" s="26" t="n">
        <v>3</v>
      </c>
      <c r="D456" s="26" t="inlineStr">
        <is>
          <t>Review éditoriale</t>
        </is>
      </c>
      <c r="E456" s="26" t="inlineStr">
        <is>
          <t>headphonesty.com</t>
        </is>
      </c>
      <c r="F456" s="23" t="inlineStr">
        <is>
          <t>https://www.headphonesty.com/2021/10/review-tempotec-sonata-e35/</t>
        </is>
      </c>
      <c r="G456" s="26" t="inlineStr">
        <is>
          <t>Oui</t>
        </is>
      </c>
      <c r="H456" s="26" t="inlineStr">
        <is>
          <t>Review / retour exploitable</t>
        </is>
      </c>
    </row>
    <row r="457">
      <c r="A457" s="26" t="inlineStr">
        <is>
          <t>Astell&amp;Kern</t>
        </is>
      </c>
      <c r="B457" s="26" t="inlineStr">
        <is>
          <t>USB-C Dual DAC Cable PEE51</t>
        </is>
      </c>
      <c r="C457" s="26" t="n">
        <v>1</v>
      </c>
      <c r="D457" s="26" t="inlineStr">
        <is>
          <t>Review éditoriale</t>
        </is>
      </c>
      <c r="E457" s="26" t="inlineStr">
        <is>
          <t>headfonics.com</t>
        </is>
      </c>
      <c r="F457" s="23" t="inlineStr">
        <is>
          <t>https://headfonics.com/astellkern-usb-c-dual-dac-cable-pee51-review/</t>
        </is>
      </c>
      <c r="G457" s="26" t="inlineStr">
        <is>
          <t>Oui</t>
        </is>
      </c>
      <c r="H457" s="26" t="inlineStr">
        <is>
          <t>Review / retour exploitable</t>
        </is>
      </c>
    </row>
    <row r="458">
      <c r="A458" s="26" t="inlineStr">
        <is>
          <t>Astell&amp;Kern</t>
        </is>
      </c>
      <c r="B458" s="26" t="inlineStr">
        <is>
          <t>USB-C Dual DAC Cable PEE51</t>
        </is>
      </c>
      <c r="C458" s="26" t="n">
        <v>2</v>
      </c>
      <c r="D458" s="26" t="inlineStr">
        <is>
          <t>Review éditoriale</t>
        </is>
      </c>
      <c r="E458" s="26" t="inlineStr">
        <is>
          <t>audioreviews.org</t>
        </is>
      </c>
      <c r="F458" s="23" t="inlineStr">
        <is>
          <t>https://www.audioreviews.org/astell-kern-pee51/</t>
        </is>
      </c>
      <c r="G458" s="26" t="inlineStr">
        <is>
          <t>Oui</t>
        </is>
      </c>
      <c r="H458" s="26" t="inlineStr">
        <is>
          <t>Review / retour exploitable</t>
        </is>
      </c>
    </row>
    <row r="459">
      <c r="A459" s="26" t="inlineStr">
        <is>
          <t>Astell&amp;Kern</t>
        </is>
      </c>
      <c r="B459" s="26" t="inlineStr">
        <is>
          <t>USB-C Dual DAC Cable PEE51</t>
        </is>
      </c>
      <c r="C459" s="26" t="n">
        <v>3</v>
      </c>
      <c r="D459" s="26" t="inlineStr">
        <is>
          <t>Review éditoriale</t>
        </is>
      </c>
      <c r="E459" s="26" t="inlineStr">
        <is>
          <t>majorhifi.com</t>
        </is>
      </c>
      <c r="F459" s="23" t="inlineStr">
        <is>
          <t>https://majorhifi.com/astell-kern-pee51-review/</t>
        </is>
      </c>
      <c r="G459" s="26" t="inlineStr">
        <is>
          <t>Oui</t>
        </is>
      </c>
      <c r="H459" s="26" t="inlineStr">
        <is>
          <t>Review / retour exploitable</t>
        </is>
      </c>
    </row>
    <row r="460">
      <c r="A460" s="26" t="inlineStr">
        <is>
          <t>Astell&amp;Kern</t>
        </is>
      </c>
      <c r="B460" s="26" t="inlineStr">
        <is>
          <t>USB-C Dual DAC Cable PEE51</t>
        </is>
      </c>
      <c r="C460" s="26" t="n">
        <v>4</v>
      </c>
      <c r="D460" s="26" t="inlineStr">
        <is>
          <t>Review éditoriale</t>
        </is>
      </c>
      <c r="E460" s="26" t="inlineStr">
        <is>
          <t>musicphotolife.com</t>
        </is>
      </c>
      <c r="F460" s="23" t="inlineStr">
        <is>
          <t>https://musicphotolife.com/2021/03/astellkern-usbc-dual-dac-cable-pee51-review/</t>
        </is>
      </c>
      <c r="G460" s="26" t="inlineStr">
        <is>
          <t>Oui</t>
        </is>
      </c>
      <c r="H460" s="26" t="inlineStr">
        <is>
          <t>Review / retour exploitable</t>
        </is>
      </c>
    </row>
    <row r="461">
      <c r="A461" s="26" t="inlineStr">
        <is>
          <t>Audirect</t>
        </is>
      </c>
      <c r="B461" s="26" t="inlineStr">
        <is>
          <t>Beam 3 PRO</t>
        </is>
      </c>
      <c r="C461" s="26" t="n">
        <v>1</v>
      </c>
      <c r="D461" s="26" t="inlineStr">
        <is>
          <t>Review éditoriale</t>
        </is>
      </c>
      <c r="E461" s="26" t="inlineStr">
        <is>
          <t>headfonics.com</t>
        </is>
      </c>
      <c r="F461" s="23" t="inlineStr">
        <is>
          <t>https://headfonics.com/hilidac-audirect-beam-3-pro-review/</t>
        </is>
      </c>
      <c r="G461" s="26" t="inlineStr">
        <is>
          <t>Oui</t>
        </is>
      </c>
      <c r="H461" s="26" t="inlineStr">
        <is>
          <t>Review / retour exploitable</t>
        </is>
      </c>
    </row>
    <row r="462">
      <c r="A462" s="26" t="inlineStr">
        <is>
          <t>Audirect</t>
        </is>
      </c>
      <c r="B462" s="26" t="inlineStr">
        <is>
          <t>Beam 3 PRO</t>
        </is>
      </c>
      <c r="C462" s="26" t="n">
        <v>2</v>
      </c>
      <c r="D462" s="26" t="inlineStr">
        <is>
          <t>Head-Fi reviews</t>
        </is>
      </c>
      <c r="E462" s="26" t="inlineStr">
        <is>
          <t>head-fi.org</t>
        </is>
      </c>
      <c r="F462" s="23" t="inlineStr">
        <is>
          <t>https://www.head-fi.org/showcase/audirect-beam-3-pro.25643/</t>
        </is>
      </c>
      <c r="G462" s="26" t="inlineStr">
        <is>
          <t>Oui</t>
        </is>
      </c>
      <c r="H462" s="26" t="inlineStr">
        <is>
          <t>Review / retour exploitable</t>
        </is>
      </c>
    </row>
    <row r="463">
      <c r="A463" s="26" t="inlineStr">
        <is>
          <t>Audirect</t>
        </is>
      </c>
      <c r="B463" s="26" t="inlineStr">
        <is>
          <t>Beam 3 PRO</t>
        </is>
      </c>
      <c r="C463" s="26" t="n">
        <v>3</v>
      </c>
      <c r="D463" s="26" t="inlineStr">
        <is>
          <t>Communauté Reddit</t>
        </is>
      </c>
      <c r="E463" s="26" t="inlineStr">
        <is>
          <t>reddit.com</t>
        </is>
      </c>
      <c r="F463" s="23" t="inlineStr">
        <is>
          <t>https://www.reddit.com/r/headphones/comments/rz3sdn</t>
        </is>
      </c>
      <c r="G463" s="26" t="inlineStr">
        <is>
          <t>Oui</t>
        </is>
      </c>
      <c r="H463" s="26" t="inlineStr">
        <is>
          <t>Review / retour exploitable</t>
        </is>
      </c>
    </row>
    <row r="464">
      <c r="A464" s="26" t="inlineStr">
        <is>
          <t>Audirect</t>
        </is>
      </c>
      <c r="B464" s="26" t="inlineStr">
        <is>
          <t>Beam 3 PRO</t>
        </is>
      </c>
      <c r="C464" s="26" t="n">
        <v>4</v>
      </c>
      <c r="D464" s="26" t="inlineStr">
        <is>
          <t>Forum / communauté</t>
        </is>
      </c>
      <c r="E464" s="26" t="inlineStr">
        <is>
          <t>forum.hifiguides.com</t>
        </is>
      </c>
      <c r="F464" s="23" t="inlineStr">
        <is>
          <t>https://forum.hifiguides.com/t/audirect-beam-3-pro/31919</t>
        </is>
      </c>
      <c r="G464" s="26" t="inlineStr">
        <is>
          <t>Oui</t>
        </is>
      </c>
      <c r="H464" s="26" t="inlineStr">
        <is>
          <t>Review / retour exploitable</t>
        </is>
      </c>
    </row>
    <row r="465">
      <c r="A465" s="26" t="inlineStr">
        <is>
          <t>EarMen</t>
        </is>
      </c>
      <c r="B465" s="26" t="inlineStr">
        <is>
          <t>Colibri</t>
        </is>
      </c>
      <c r="C465" s="26" t="n">
        <v>1</v>
      </c>
      <c r="D465" s="26" t="inlineStr">
        <is>
          <t>Review éditoriale</t>
        </is>
      </c>
      <c r="E465" s="26" t="inlineStr">
        <is>
          <t>headfonics.com</t>
        </is>
      </c>
      <c r="F465" s="23" t="inlineStr">
        <is>
          <t>https://headfonics.com/earmen-colibri-review/</t>
        </is>
      </c>
      <c r="G465" s="26" t="inlineStr">
        <is>
          <t>Oui</t>
        </is>
      </c>
      <c r="H465" s="26" t="inlineStr">
        <is>
          <t>Review / retour exploitable</t>
        </is>
      </c>
    </row>
    <row r="466">
      <c r="A466" s="26" t="inlineStr">
        <is>
          <t>EarMen</t>
        </is>
      </c>
      <c r="B466" s="26" t="inlineStr">
        <is>
          <t>Colibri</t>
        </is>
      </c>
      <c r="C466" s="26" t="n">
        <v>2</v>
      </c>
      <c r="D466" s="26" t="inlineStr">
        <is>
          <t>Review éditoriale</t>
        </is>
      </c>
      <c r="E466" s="26" t="inlineStr">
        <is>
          <t>headfonia.com</t>
        </is>
      </c>
      <c r="F466" s="23" t="inlineStr">
        <is>
          <t>https://www.headfonia.com/earmen-colibri-review/</t>
        </is>
      </c>
      <c r="G466" s="26" t="inlineStr">
        <is>
          <t>Oui</t>
        </is>
      </c>
      <c r="H466" s="26" t="inlineStr">
        <is>
          <t>Review / retour exploitable</t>
        </is>
      </c>
    </row>
    <row r="467">
      <c r="A467" s="26" t="inlineStr">
        <is>
          <t>EarMen</t>
        </is>
      </c>
      <c r="B467" s="26" t="inlineStr">
        <is>
          <t>Colibri</t>
        </is>
      </c>
      <c r="C467" s="26" t="n">
        <v>3</v>
      </c>
      <c r="D467" s="26" t="inlineStr">
        <is>
          <t>Review éditoriale</t>
        </is>
      </c>
      <c r="E467" s="26" t="inlineStr">
        <is>
          <t>primeaudio.org</t>
        </is>
      </c>
      <c r="F467" s="23" t="inlineStr">
        <is>
          <t>https://primeaudio.org/earmen-colibri-review/</t>
        </is>
      </c>
      <c r="G467" s="26" t="inlineStr">
        <is>
          <t>Oui</t>
        </is>
      </c>
      <c r="H467" s="26" t="inlineStr">
        <is>
          <t>Review / retour exploitable</t>
        </is>
      </c>
    </row>
    <row r="468">
      <c r="A468" s="26" t="inlineStr">
        <is>
          <t>EarMen</t>
        </is>
      </c>
      <c r="B468" s="26" t="inlineStr">
        <is>
          <t>Colibri</t>
        </is>
      </c>
      <c r="C468" s="26" t="n">
        <v>4</v>
      </c>
      <c r="D468" s="26" t="inlineStr">
        <is>
          <t>Review éditoriale</t>
        </is>
      </c>
      <c r="E468" s="26" t="inlineStr">
        <is>
          <t>ichos-reviews.com</t>
        </is>
      </c>
      <c r="F468" s="23" t="inlineStr">
        <is>
          <t>https://ichos-reviews.com/earmen-colibri-review/</t>
        </is>
      </c>
      <c r="G468" s="26" t="inlineStr">
        <is>
          <t>Oui</t>
        </is>
      </c>
      <c r="H468" s="26" t="inlineStr">
        <is>
          <t>Review / retour exploitable</t>
        </is>
      </c>
    </row>
    <row r="469">
      <c r="A469" s="26" t="inlineStr">
        <is>
          <t>Swan Song Audio</t>
        </is>
      </c>
      <c r="B469" s="26" t="inlineStr">
        <is>
          <t>Mini Black</t>
        </is>
      </c>
      <c r="C469" s="26" t="n">
        <v>1</v>
      </c>
      <c r="D469" s="26" t="inlineStr">
        <is>
          <t>Review éditoriale</t>
        </is>
      </c>
      <c r="E469" s="26" t="inlineStr">
        <is>
          <t>headfonics.com</t>
        </is>
      </c>
      <c r="F469" s="23" t="inlineStr">
        <is>
          <t>https://headfonics.com/swan-song-audio-mini-black-review/</t>
        </is>
      </c>
      <c r="G469" s="26" t="inlineStr">
        <is>
          <t>Oui</t>
        </is>
      </c>
      <c r="H469" s="26" t="inlineStr">
        <is>
          <t>Review / retour exploitable</t>
        </is>
      </c>
    </row>
    <row r="470">
      <c r="A470" s="26" t="inlineStr">
        <is>
          <t>Swan Song Audio</t>
        </is>
      </c>
      <c r="B470" s="26" t="inlineStr">
        <is>
          <t>Mini Black</t>
        </is>
      </c>
      <c r="C470" s="26" t="n">
        <v>2</v>
      </c>
      <c r="D470" s="26" t="inlineStr">
        <is>
          <t>Présentation / actualité</t>
        </is>
      </c>
      <c r="E470" s="26" t="inlineStr">
        <is>
          <t>alpha-audio.net</t>
        </is>
      </c>
      <c r="F470" s="23" t="inlineStr">
        <is>
          <t>https://www.alpha-audio.net/personal-audio/2021/07/swan-song-audio-mini-black-headphone-amplifier/</t>
        </is>
      </c>
      <c r="G470" s="95" t="inlineStr">
        <is>
          <t>Non</t>
        </is>
      </c>
      <c r="H470" s="26" t="inlineStr">
        <is>
          <t>Non comptée: fiche produit, constructeur, republication ou simple actualité</t>
        </is>
      </c>
    </row>
    <row r="471">
      <c r="A471" s="26" t="inlineStr">
        <is>
          <t>iFi audio</t>
        </is>
      </c>
      <c r="B471" s="26" t="inlineStr">
        <is>
          <t>xDSD Gryphon</t>
        </is>
      </c>
      <c r="C471" s="26" t="n">
        <v>1</v>
      </c>
      <c r="D471" s="26" t="inlineStr">
        <is>
          <t>Review éditoriale</t>
        </is>
      </c>
      <c r="E471" s="26" t="inlineStr">
        <is>
          <t>headfonics.com</t>
        </is>
      </c>
      <c r="F471" s="23" t="inlineStr">
        <is>
          <t>https://headfonics.com/ifi-audio-xdsd-gryphon-review/</t>
        </is>
      </c>
      <c r="G471" s="26" t="inlineStr">
        <is>
          <t>Oui</t>
        </is>
      </c>
      <c r="H471" s="26" t="inlineStr">
        <is>
          <t>Review / retour exploitable</t>
        </is>
      </c>
    </row>
    <row r="472">
      <c r="A472" s="26" t="inlineStr">
        <is>
          <t>iFi audio</t>
        </is>
      </c>
      <c r="B472" s="26" t="inlineStr">
        <is>
          <t>xDSD Gryphon</t>
        </is>
      </c>
      <c r="C472" s="26" t="n">
        <v>2</v>
      </c>
      <c r="D472" s="26" t="inlineStr">
        <is>
          <t>Head-Fi reviews</t>
        </is>
      </c>
      <c r="E472" s="26" t="inlineStr">
        <is>
          <t>head-fi.org</t>
        </is>
      </c>
      <c r="F472" s="23" t="inlineStr">
        <is>
          <t>https://www.head-fi.org/showcase/ifi-audio-xdsd-gryphon.25530/reviews</t>
        </is>
      </c>
      <c r="G472" s="26" t="inlineStr">
        <is>
          <t>Oui</t>
        </is>
      </c>
      <c r="H472" s="26" t="inlineStr">
        <is>
          <t>Review / retour exploitable</t>
        </is>
      </c>
    </row>
    <row r="473">
      <c r="A473" s="26" t="inlineStr">
        <is>
          <t>iFi audio</t>
        </is>
      </c>
      <c r="B473" s="26" t="inlineStr">
        <is>
          <t>xDSD Gryphon</t>
        </is>
      </c>
      <c r="C473" s="26" t="n">
        <v>3</v>
      </c>
      <c r="D473" s="26" t="inlineStr">
        <is>
          <t>Review éditoriale</t>
        </is>
      </c>
      <c r="E473" s="26" t="inlineStr">
        <is>
          <t>headphonesty.com</t>
        </is>
      </c>
      <c r="F473" s="23" t="inlineStr">
        <is>
          <t>https://www.headphonesty.com/2022/03/review-ifi-xdsd-gryphon/</t>
        </is>
      </c>
      <c r="G473" s="26" t="inlineStr">
        <is>
          <t>Oui</t>
        </is>
      </c>
      <c r="H473" s="26" t="inlineStr">
        <is>
          <t>Review / retour exploitable</t>
        </is>
      </c>
    </row>
    <row r="474">
      <c r="A474" s="26" t="inlineStr">
        <is>
          <t>iFi audio</t>
        </is>
      </c>
      <c r="B474" s="26" t="inlineStr">
        <is>
          <t>xDSD Gryphon</t>
        </is>
      </c>
      <c r="C474" s="26" t="n">
        <v>4</v>
      </c>
      <c r="D474" s="26" t="inlineStr">
        <is>
          <t>Review éditoriale</t>
        </is>
      </c>
      <c r="E474" s="26" t="inlineStr">
        <is>
          <t>techradar.com</t>
        </is>
      </c>
      <c r="F474" s="23" t="inlineStr">
        <is>
          <t>https://www.techradar.com/audio/hi-fi/ifi-xdsd-gryphon-review</t>
        </is>
      </c>
      <c r="G474" s="26" t="inlineStr">
        <is>
          <t>Oui</t>
        </is>
      </c>
      <c r="H474" s="26" t="inlineStr">
        <is>
          <t>Review / retour exploitable</t>
        </is>
      </c>
    </row>
    <row r="475">
      <c r="A475" s="26" t="inlineStr">
        <is>
          <t>Khadas</t>
        </is>
      </c>
      <c r="B475" s="26" t="inlineStr">
        <is>
          <t>Tea</t>
        </is>
      </c>
      <c r="C475" s="26" t="n">
        <v>1</v>
      </c>
      <c r="D475" s="26" t="inlineStr">
        <is>
          <t>Review éditoriale</t>
        </is>
      </c>
      <c r="E475" s="26" t="inlineStr">
        <is>
          <t>headfonics.com</t>
        </is>
      </c>
      <c r="F475" s="23" t="inlineStr">
        <is>
          <t>https://headfonics.com/khadas-tea-review/</t>
        </is>
      </c>
      <c r="G475" s="26" t="inlineStr">
        <is>
          <t>Oui</t>
        </is>
      </c>
      <c r="H475" s="26" t="inlineStr">
        <is>
          <t>Review / retour exploitable</t>
        </is>
      </c>
    </row>
    <row r="476">
      <c r="A476" s="26" t="inlineStr">
        <is>
          <t>Khadas</t>
        </is>
      </c>
      <c r="B476" s="26" t="inlineStr">
        <is>
          <t>Tea</t>
        </is>
      </c>
      <c r="C476" s="26" t="n">
        <v>2</v>
      </c>
      <c r="D476" s="26" t="inlineStr">
        <is>
          <t>Review éditoriale</t>
        </is>
      </c>
      <c r="E476" s="26" t="inlineStr">
        <is>
          <t>headfonia.com</t>
        </is>
      </c>
      <c r="F476" s="23" t="inlineStr">
        <is>
          <t>https://www.headfonia.com/khadas-tea-review/</t>
        </is>
      </c>
      <c r="G476" s="26" t="inlineStr">
        <is>
          <t>Oui</t>
        </is>
      </c>
      <c r="H476" s="26" t="inlineStr">
        <is>
          <t>Review / retour exploitable</t>
        </is>
      </c>
    </row>
    <row r="477">
      <c r="A477" s="26" t="inlineStr">
        <is>
          <t>Khadas</t>
        </is>
      </c>
      <c r="B477" s="26" t="inlineStr">
        <is>
          <t>Tea</t>
        </is>
      </c>
      <c r="C477" s="26" t="n">
        <v>3</v>
      </c>
      <c r="D477" s="26" t="inlineStr">
        <is>
          <t>Review éditoriale</t>
        </is>
      </c>
      <c r="E477" s="26" t="inlineStr">
        <is>
          <t>avforums.com</t>
        </is>
      </c>
      <c r="F477" s="23" t="inlineStr">
        <is>
          <t>https://www.avforums.com/reviews/khadas-tea-portable-dac-review.20369/</t>
        </is>
      </c>
      <c r="G477" s="26" t="inlineStr">
        <is>
          <t>Oui</t>
        </is>
      </c>
      <c r="H477" s="26" t="inlineStr">
        <is>
          <t>Review / retour exploitable</t>
        </is>
      </c>
    </row>
    <row r="478">
      <c r="A478" s="26" t="inlineStr">
        <is>
          <t>Khadas</t>
        </is>
      </c>
      <c r="B478" s="26" t="inlineStr">
        <is>
          <t>Tea</t>
        </is>
      </c>
      <c r="C478" s="26" t="n">
        <v>4</v>
      </c>
      <c r="D478" s="26" t="inlineStr">
        <is>
          <t>Review éditoriale</t>
        </is>
      </c>
      <c r="E478" s="26" t="inlineStr">
        <is>
          <t>iiwireviews.com</t>
        </is>
      </c>
      <c r="F478" s="23" t="inlineStr">
        <is>
          <t>https://iiwireviews.com/khadas-tea-review-dac-so-thin-you-wont-know-its-there/</t>
        </is>
      </c>
      <c r="G478" s="26" t="inlineStr">
        <is>
          <t>Oui</t>
        </is>
      </c>
      <c r="H478" s="26" t="inlineStr">
        <is>
          <t>Review / retour exploitable</t>
        </is>
      </c>
    </row>
    <row r="479">
      <c r="A479" s="26" t="inlineStr">
        <is>
          <t>HiBy</t>
        </is>
      </c>
      <c r="B479" s="26" t="inlineStr">
        <is>
          <t>FC5</t>
        </is>
      </c>
      <c r="C479" s="26" t="n">
        <v>1</v>
      </c>
      <c r="D479" s="26" t="inlineStr">
        <is>
          <t>Review éditoriale</t>
        </is>
      </c>
      <c r="E479" s="26" t="inlineStr">
        <is>
          <t>headfonics.com</t>
        </is>
      </c>
      <c r="F479" s="23" t="inlineStr">
        <is>
          <t>https://headfonics.com/hiby-fc5-review/</t>
        </is>
      </c>
      <c r="G479" s="26" t="inlineStr">
        <is>
          <t>Oui</t>
        </is>
      </c>
      <c r="H479" s="26" t="inlineStr">
        <is>
          <t>Review / retour exploitable</t>
        </is>
      </c>
    </row>
    <row r="480">
      <c r="A480" s="26" t="inlineStr">
        <is>
          <t>HiBy</t>
        </is>
      </c>
      <c r="B480" s="26" t="inlineStr">
        <is>
          <t>FC5</t>
        </is>
      </c>
      <c r="C480" s="26" t="n">
        <v>2</v>
      </c>
      <c r="D480" s="26" t="inlineStr">
        <is>
          <t>Head-Fi reviews</t>
        </is>
      </c>
      <c r="E480" s="26" t="inlineStr">
        <is>
          <t>head-fi.org</t>
        </is>
      </c>
      <c r="F480" s="23" t="inlineStr">
        <is>
          <t>https://www.head-fi.org/showcase/hiby-fc5.25556/reviews</t>
        </is>
      </c>
      <c r="G480" s="26" t="inlineStr">
        <is>
          <t>Oui</t>
        </is>
      </c>
      <c r="H480" s="26" t="inlineStr">
        <is>
          <t>Review / retour exploitable</t>
        </is>
      </c>
    </row>
    <row r="481">
      <c r="A481" s="26" t="inlineStr">
        <is>
          <t>HiBy</t>
        </is>
      </c>
      <c r="B481" s="26" t="inlineStr">
        <is>
          <t>FC5</t>
        </is>
      </c>
      <c r="C481" s="26" t="n">
        <v>3</v>
      </c>
      <c r="D481" s="26" t="inlineStr">
        <is>
          <t>Head-Fi forum</t>
        </is>
      </c>
      <c r="E481" s="26" t="inlineStr">
        <is>
          <t>head-fi.org</t>
        </is>
      </c>
      <c r="F481" s="23" t="inlineStr">
        <is>
          <t>https://www.head-fi.org/threads/usb-c-to-3-5mm-adapters-dac-lets-find-the-best.908839/page-459</t>
        </is>
      </c>
      <c r="G481" s="26" t="inlineStr">
        <is>
          <t>Oui</t>
        </is>
      </c>
      <c r="H481" s="26" t="inlineStr">
        <is>
          <t>Review / retour exploitable</t>
        </is>
      </c>
    </row>
    <row r="482">
      <c r="A482" s="26" t="inlineStr">
        <is>
          <t>Chord</t>
        </is>
      </c>
      <c r="B482" s="26" t="inlineStr">
        <is>
          <t>Mojo 2</t>
        </is>
      </c>
      <c r="C482" s="26" t="n">
        <v>1</v>
      </c>
      <c r="D482" s="26" t="inlineStr">
        <is>
          <t>Review éditoriale</t>
        </is>
      </c>
      <c r="E482" s="26" t="inlineStr">
        <is>
          <t>headfonics.com</t>
        </is>
      </c>
      <c r="F482" s="23" t="inlineStr">
        <is>
          <t>https://headfonics.com/chord-electronics-mojo-2-review/</t>
        </is>
      </c>
      <c r="G482" s="26" t="inlineStr">
        <is>
          <t>Oui</t>
        </is>
      </c>
      <c r="H482" s="26" t="inlineStr">
        <is>
          <t>Review / retour exploitable</t>
        </is>
      </c>
    </row>
    <row r="483">
      <c r="A483" s="26" t="inlineStr">
        <is>
          <t>Chord</t>
        </is>
      </c>
      <c r="B483" s="26" t="inlineStr">
        <is>
          <t>Mojo 2</t>
        </is>
      </c>
      <c r="C483" s="26" t="n">
        <v>2</v>
      </c>
      <c r="D483" s="26" t="inlineStr">
        <is>
          <t>Review éditoriale</t>
        </is>
      </c>
      <c r="E483" s="26" t="inlineStr">
        <is>
          <t>whathifi.com</t>
        </is>
      </c>
      <c r="F483" s="23" t="inlineStr">
        <is>
          <t>https://www.whathifi.com/reviews/chord-mojo-2</t>
        </is>
      </c>
      <c r="G483" s="26" t="inlineStr">
        <is>
          <t>Oui</t>
        </is>
      </c>
      <c r="H483" s="26" t="inlineStr">
        <is>
          <t>Review / retour exploitable</t>
        </is>
      </c>
    </row>
    <row r="484">
      <c r="A484" s="26" t="inlineStr">
        <is>
          <t>Chord</t>
        </is>
      </c>
      <c r="B484" s="26" t="inlineStr">
        <is>
          <t>Mojo 2</t>
        </is>
      </c>
      <c r="C484" s="26" t="n">
        <v>3</v>
      </c>
      <c r="D484" s="26" t="inlineStr">
        <is>
          <t>Review éditoriale</t>
        </is>
      </c>
      <c r="E484" s="26" t="inlineStr">
        <is>
          <t>headphones.com</t>
        </is>
      </c>
      <c r="F484" s="23" t="inlineStr">
        <is>
          <t>https://headphones.com/blogs/reviews/chord-mojo-2-review-measurements</t>
        </is>
      </c>
      <c r="G484" s="26" t="inlineStr">
        <is>
          <t>Oui</t>
        </is>
      </c>
      <c r="H484" s="26" t="inlineStr">
        <is>
          <t>Review / retour exploitable</t>
        </is>
      </c>
    </row>
    <row r="485">
      <c r="A485" s="26" t="inlineStr">
        <is>
          <t>Chord</t>
        </is>
      </c>
      <c r="B485" s="26" t="inlineStr">
        <is>
          <t>Mojo 2</t>
        </is>
      </c>
      <c r="C485" s="26" t="n">
        <v>4</v>
      </c>
      <c r="D485" s="26" t="inlineStr">
        <is>
          <t>Review éditoriale</t>
        </is>
      </c>
      <c r="E485" s="26" t="inlineStr">
        <is>
          <t>headphonesty.com</t>
        </is>
      </c>
      <c r="F485" s="23" t="inlineStr">
        <is>
          <t>https://www.headphonesty.com/2023/08/review-chord-mojo-2/</t>
        </is>
      </c>
      <c r="G485" s="26" t="inlineStr">
        <is>
          <t>Oui</t>
        </is>
      </c>
      <c r="H485" s="26" t="inlineStr">
        <is>
          <t>Review / retour exploitable</t>
        </is>
      </c>
    </row>
    <row r="486">
      <c r="A486" s="26" t="inlineStr">
        <is>
          <t>Cayin</t>
        </is>
      </c>
      <c r="B486" s="26" t="inlineStr">
        <is>
          <t>RU6</t>
        </is>
      </c>
      <c r="C486" s="26" t="n">
        <v>1</v>
      </c>
      <c r="D486" s="26" t="inlineStr">
        <is>
          <t>Review éditoriale</t>
        </is>
      </c>
      <c r="E486" s="26" t="inlineStr">
        <is>
          <t>headfonics.com</t>
        </is>
      </c>
      <c r="F486" s="23" t="inlineStr">
        <is>
          <t>https://headfonics.com/cayin-ru6-review/</t>
        </is>
      </c>
      <c r="G486" s="26" t="inlineStr">
        <is>
          <t>Oui</t>
        </is>
      </c>
      <c r="H486" s="26" t="inlineStr">
        <is>
          <t>Review / retour exploitable</t>
        </is>
      </c>
    </row>
    <row r="487">
      <c r="A487" s="26" t="inlineStr">
        <is>
          <t>Cayin</t>
        </is>
      </c>
      <c r="B487" s="26" t="inlineStr">
        <is>
          <t>RU6</t>
        </is>
      </c>
      <c r="C487" s="26" t="n">
        <v>2</v>
      </c>
      <c r="D487" s="26" t="inlineStr">
        <is>
          <t>Head-Fi reviews</t>
        </is>
      </c>
      <c r="E487" s="26" t="inlineStr">
        <is>
          <t>head-fi.org</t>
        </is>
      </c>
      <c r="F487" s="23" t="inlineStr">
        <is>
          <t>https://www.head-fi.org/showcase/cayin-ru6-discrete-r-2r-usb-c-dac-amp.25607/reviews</t>
        </is>
      </c>
      <c r="G487" s="26" t="inlineStr">
        <is>
          <t>Oui</t>
        </is>
      </c>
      <c r="H487" s="26" t="inlineStr">
        <is>
          <t>Review / retour exploitable</t>
        </is>
      </c>
    </row>
    <row r="488">
      <c r="A488" s="26" t="inlineStr">
        <is>
          <t>Cayin</t>
        </is>
      </c>
      <c r="B488" s="26" t="inlineStr">
        <is>
          <t>RU6</t>
        </is>
      </c>
      <c r="C488" s="26" t="n">
        <v>3</v>
      </c>
      <c r="D488" s="26" t="inlineStr">
        <is>
          <t>Review éditoriale</t>
        </is>
      </c>
      <c r="E488" s="26" t="inlineStr">
        <is>
          <t>headfonia.com</t>
        </is>
      </c>
      <c r="F488" s="23" t="inlineStr">
        <is>
          <t>https://www.headfonia.com/cayin-ru6-review/</t>
        </is>
      </c>
      <c r="G488" s="26" t="inlineStr">
        <is>
          <t>Oui</t>
        </is>
      </c>
      <c r="H488" s="26" t="inlineStr">
        <is>
          <t>Review / retour exploitable</t>
        </is>
      </c>
    </row>
    <row r="489">
      <c r="A489" s="26" t="inlineStr">
        <is>
          <t>Cayin</t>
        </is>
      </c>
      <c r="B489" s="26" t="inlineStr">
        <is>
          <t>RU6</t>
        </is>
      </c>
      <c r="C489" s="26" t="n">
        <v>4</v>
      </c>
      <c r="D489" s="26" t="inlineStr">
        <is>
          <t>Review éditoriale</t>
        </is>
      </c>
      <c r="E489" s="26" t="inlineStr">
        <is>
          <t>primeaudio.org</t>
        </is>
      </c>
      <c r="F489" s="23" t="inlineStr">
        <is>
          <t>https://primeaudio.org/cayin-ru6-review-trailblazing-in-retro/</t>
        </is>
      </c>
      <c r="G489" s="26" t="inlineStr">
        <is>
          <t>Oui</t>
        </is>
      </c>
      <c r="H489" s="26" t="inlineStr">
        <is>
          <t>Review / retour exploitable</t>
        </is>
      </c>
    </row>
    <row r="490">
      <c r="A490" s="26" t="inlineStr">
        <is>
          <t>iBasso</t>
        </is>
      </c>
      <c r="B490" s="26" t="inlineStr">
        <is>
          <t>DC05</t>
        </is>
      </c>
      <c r="C490" s="26" t="n">
        <v>1</v>
      </c>
      <c r="D490" s="26" t="inlineStr">
        <is>
          <t>Review éditoriale</t>
        </is>
      </c>
      <c r="E490" s="26" t="inlineStr">
        <is>
          <t>headfonics.com</t>
        </is>
      </c>
      <c r="F490" s="23" t="inlineStr">
        <is>
          <t>https://headfonics.com/ibasso-dc05-review/</t>
        </is>
      </c>
      <c r="G490" s="26" t="inlineStr">
        <is>
          <t>Oui</t>
        </is>
      </c>
      <c r="H490" s="26" t="inlineStr">
        <is>
          <t>Review / retour exploitable</t>
        </is>
      </c>
    </row>
    <row r="491">
      <c r="A491" s="26" t="inlineStr">
        <is>
          <t>iBasso</t>
        </is>
      </c>
      <c r="B491" s="26" t="inlineStr">
        <is>
          <t>DC05</t>
        </is>
      </c>
      <c r="C491" s="26" t="n">
        <v>2</v>
      </c>
      <c r="D491" s="26" t="inlineStr">
        <is>
          <t>Head-Fi reviews</t>
        </is>
      </c>
      <c r="E491" s="26" t="inlineStr">
        <is>
          <t>head-fi.org</t>
        </is>
      </c>
      <c r="F491" s="23" t="inlineStr">
        <is>
          <t>https://www.head-fi.org/showcase/ibasso-dc05.25582/reviews</t>
        </is>
      </c>
      <c r="G491" s="26" t="inlineStr">
        <is>
          <t>Oui</t>
        </is>
      </c>
      <c r="H491" s="26" t="inlineStr">
        <is>
          <t>Review / retour exploitable</t>
        </is>
      </c>
    </row>
    <row r="492">
      <c r="A492" s="26" t="inlineStr">
        <is>
          <t>iBasso</t>
        </is>
      </c>
      <c r="B492" s="26" t="inlineStr">
        <is>
          <t>DC05</t>
        </is>
      </c>
      <c r="C492" s="26" t="n">
        <v>3</v>
      </c>
      <c r="D492" s="26" t="inlineStr">
        <is>
          <t>Review éditoriale</t>
        </is>
      </c>
      <c r="E492" s="26" t="inlineStr">
        <is>
          <t>headfonia.com</t>
        </is>
      </c>
      <c r="F492" s="23" t="inlineStr">
        <is>
          <t>https://www.headfonia.com/ibasso-dc05-review/</t>
        </is>
      </c>
      <c r="G492" s="26" t="inlineStr">
        <is>
          <t>Oui</t>
        </is>
      </c>
      <c r="H492" s="26" t="inlineStr">
        <is>
          <t>Review / retour exploitable</t>
        </is>
      </c>
    </row>
    <row r="493">
      <c r="A493" s="26" t="inlineStr">
        <is>
          <t>FiiO</t>
        </is>
      </c>
      <c r="B493" s="26" t="inlineStr">
        <is>
          <t>KA3</t>
        </is>
      </c>
      <c r="C493" s="26" t="n">
        <v>1</v>
      </c>
      <c r="D493" s="26" t="inlineStr">
        <is>
          <t>Review éditoriale</t>
        </is>
      </c>
      <c r="E493" s="26" t="inlineStr">
        <is>
          <t>headfonics.com</t>
        </is>
      </c>
      <c r="F493" s="23" t="inlineStr">
        <is>
          <t>https://headfonics.com/fiio-ka3-review/</t>
        </is>
      </c>
      <c r="G493" s="26" t="inlineStr">
        <is>
          <t>Oui</t>
        </is>
      </c>
      <c r="H493" s="26" t="inlineStr">
        <is>
          <t>Review / retour exploitable</t>
        </is>
      </c>
    </row>
    <row r="494">
      <c r="A494" s="26" t="inlineStr">
        <is>
          <t>FiiO</t>
        </is>
      </c>
      <c r="B494" s="26" t="inlineStr">
        <is>
          <t>KA3</t>
        </is>
      </c>
      <c r="C494" s="26" t="n">
        <v>2</v>
      </c>
      <c r="D494" s="26" t="inlineStr">
        <is>
          <t>Review éditoriale</t>
        </is>
      </c>
      <c r="E494" s="26" t="inlineStr">
        <is>
          <t>primeaudio.org</t>
        </is>
      </c>
      <c r="F494" s="23" t="inlineStr">
        <is>
          <t>https://primeaudio.org/fiio-ka3-usb-dac-review/</t>
        </is>
      </c>
      <c r="G494" s="26" t="inlineStr">
        <is>
          <t>Oui</t>
        </is>
      </c>
      <c r="H494" s="26" t="inlineStr">
        <is>
          <t>Review / retour exploitable</t>
        </is>
      </c>
    </row>
    <row r="495">
      <c r="A495" s="26" t="inlineStr">
        <is>
          <t>FiiO</t>
        </is>
      </c>
      <c r="B495" s="26" t="inlineStr">
        <is>
          <t>KA3</t>
        </is>
      </c>
      <c r="C495" s="26" t="n">
        <v>3</v>
      </c>
      <c r="D495" s="26" t="inlineStr">
        <is>
          <t>Review éditoriale</t>
        </is>
      </c>
      <c r="E495" s="26" t="inlineStr">
        <is>
          <t>headfonia.com</t>
        </is>
      </c>
      <c r="F495" s="23" t="inlineStr">
        <is>
          <t>https://www.headfonia.com/fiio-ka3-review/</t>
        </is>
      </c>
      <c r="G495" s="26" t="inlineStr">
        <is>
          <t>Oui</t>
        </is>
      </c>
      <c r="H495" s="26" t="inlineStr">
        <is>
          <t>Review / retour exploitable</t>
        </is>
      </c>
    </row>
    <row r="496">
      <c r="A496" s="26" t="inlineStr">
        <is>
          <t>iFi audio</t>
        </is>
      </c>
      <c r="B496" s="26" t="inlineStr">
        <is>
          <t>hip-dac2</t>
        </is>
      </c>
      <c r="C496" s="26" t="n">
        <v>1</v>
      </c>
      <c r="D496" s="26" t="inlineStr">
        <is>
          <t>Review éditoriale</t>
        </is>
      </c>
      <c r="E496" s="26" t="inlineStr">
        <is>
          <t>headfonics.com</t>
        </is>
      </c>
      <c r="F496" s="23" t="inlineStr">
        <is>
          <t>https://headfonics.com/ifi-audio-hip-dac2-review/2/</t>
        </is>
      </c>
      <c r="G496" s="26" t="inlineStr">
        <is>
          <t>Oui</t>
        </is>
      </c>
      <c r="H496" s="26" t="inlineStr">
        <is>
          <t>Review / retour exploitable</t>
        </is>
      </c>
    </row>
    <row r="497">
      <c r="A497" s="26" t="inlineStr">
        <is>
          <t>iFi audio</t>
        </is>
      </c>
      <c r="B497" s="26" t="inlineStr">
        <is>
          <t>hip-dac2</t>
        </is>
      </c>
      <c r="C497" s="26" t="n">
        <v>2</v>
      </c>
      <c r="D497" s="26" t="inlineStr">
        <is>
          <t>Head-Fi reviews</t>
        </is>
      </c>
      <c r="E497" s="26" t="inlineStr">
        <is>
          <t>head-fi.org</t>
        </is>
      </c>
      <c r="F497" s="23" t="inlineStr">
        <is>
          <t>https://www.head-fi.org/showcase/ifi-audio-hip-dac2-portable-usb-dac-amp-combo.25516/reviews</t>
        </is>
      </c>
      <c r="G497" s="26" t="inlineStr">
        <is>
          <t>Oui</t>
        </is>
      </c>
      <c r="H497" s="26" t="inlineStr">
        <is>
          <t>Review / retour exploitable</t>
        </is>
      </c>
    </row>
    <row r="498">
      <c r="A498" s="26" t="inlineStr">
        <is>
          <t>iFi audio</t>
        </is>
      </c>
      <c r="B498" s="26" t="inlineStr">
        <is>
          <t>hip-dac2</t>
        </is>
      </c>
      <c r="C498" s="26" t="n">
        <v>3</v>
      </c>
      <c r="D498" s="26" t="inlineStr">
        <is>
          <t>Review éditoriale</t>
        </is>
      </c>
      <c r="E498" s="26" t="inlineStr">
        <is>
          <t>headphonesty.com</t>
        </is>
      </c>
      <c r="F498" s="23" t="inlineStr">
        <is>
          <t>https://www.headphonesty.com/2022/01/review-ifi-hip-dac2/</t>
        </is>
      </c>
      <c r="G498" s="26" t="inlineStr">
        <is>
          <t>Oui</t>
        </is>
      </c>
      <c r="H498" s="26" t="inlineStr">
        <is>
          <t>Review / retour exploitable</t>
        </is>
      </c>
    </row>
    <row r="499">
      <c r="A499" s="26" t="inlineStr">
        <is>
          <t>iFi audio</t>
        </is>
      </c>
      <c r="B499" s="26" t="inlineStr">
        <is>
          <t>hip-dac2</t>
        </is>
      </c>
      <c r="C499" s="26" t="n">
        <v>4</v>
      </c>
      <c r="D499" s="26" t="inlineStr">
        <is>
          <t>Review éditoriale</t>
        </is>
      </c>
      <c r="E499" s="26" t="inlineStr">
        <is>
          <t>ecoustics.com</t>
        </is>
      </c>
      <c r="F499" s="23" t="inlineStr">
        <is>
          <t>https://www.ecoustics.com/reviews/hip-dac2/</t>
        </is>
      </c>
      <c r="G499" s="26" t="inlineStr">
        <is>
          <t>Oui</t>
        </is>
      </c>
      <c r="H499" s="26" t="inlineStr">
        <is>
          <t>Review / retour exploitable</t>
        </is>
      </c>
    </row>
    <row r="500">
      <c r="A500" s="26" t="inlineStr">
        <is>
          <t>Hidizs</t>
        </is>
      </c>
      <c r="B500" s="26" t="inlineStr">
        <is>
          <t>S9 Pro Copper</t>
        </is>
      </c>
      <c r="C500" s="26" t="n">
        <v>1</v>
      </c>
      <c r="D500" s="26" t="inlineStr">
        <is>
          <t>Review éditoriale</t>
        </is>
      </c>
      <c r="E500" s="26" t="inlineStr">
        <is>
          <t>headfonics.com</t>
        </is>
      </c>
      <c r="F500" s="23" t="inlineStr">
        <is>
          <t>https://headfonics.com/hidizs-s9-pro-copper-limited-edition-review/</t>
        </is>
      </c>
      <c r="G500" s="26" t="inlineStr">
        <is>
          <t>Oui</t>
        </is>
      </c>
      <c r="H500" s="26" t="inlineStr">
        <is>
          <t>Review / retour exploitable</t>
        </is>
      </c>
    </row>
    <row r="501">
      <c r="A501" s="26" t="inlineStr">
        <is>
          <t>Hidizs</t>
        </is>
      </c>
      <c r="B501" s="26" t="inlineStr">
        <is>
          <t>S9 Pro Copper</t>
        </is>
      </c>
      <c r="C501" s="26" t="n">
        <v>2</v>
      </c>
      <c r="D501" s="26" t="inlineStr">
        <is>
          <t>Head-Fi reviews</t>
        </is>
      </c>
      <c r="E501" s="26" t="inlineStr">
        <is>
          <t>head-fi.org</t>
        </is>
      </c>
      <c r="F501" s="23" t="inlineStr">
        <is>
          <t>https://www.head-fi.org/showcase/hidizs-s9-pro-red-copper-limited-edition-balanced-and-single-ended-mini-hifi-dac-amp.25479/reviews</t>
        </is>
      </c>
      <c r="G501" s="26" t="inlineStr">
        <is>
          <t>Oui</t>
        </is>
      </c>
      <c r="H501" s="26" t="inlineStr">
        <is>
          <t>Review / retour exploitable. Corrigé le 07/08/2026 : Remplace une page « reviews de l'auteur ywheng89 » (pas une source sur ce produit).</t>
        </is>
      </c>
    </row>
    <row r="502">
      <c r="A502" s="26" t="inlineStr">
        <is>
          <t>Hidizs</t>
        </is>
      </c>
      <c r="B502" s="26" t="inlineStr">
        <is>
          <t>S9 Pro Copper</t>
        </is>
      </c>
      <c r="C502" s="26" t="n">
        <v>3</v>
      </c>
      <c r="D502" s="26" t="inlineStr">
        <is>
          <t>Fiche / republication constructeur</t>
        </is>
      </c>
      <c r="E502" s="26" t="inlineStr">
        <is>
          <t>hidizs.net</t>
        </is>
      </c>
      <c r="F502" s="23" t="inlineStr">
        <is>
          <t>https://www.hidizs.net/blogs/s9-pro-reviews/hidisz-s9-pro-red-copper-limited-edition-balanced-and-single-ended-mini-hifi-dac-amp-heavy-metal</t>
        </is>
      </c>
      <c r="G502" s="95" t="inlineStr">
        <is>
          <t>Non</t>
        </is>
      </c>
      <c r="H502" s="26" t="inlineStr">
        <is>
          <t>Non comptée: fiche produit, constructeur, republication ou simple actualité</t>
        </is>
      </c>
    </row>
    <row r="503">
      <c r="A503" s="26" t="inlineStr">
        <is>
          <t>Hidizs</t>
        </is>
      </c>
      <c r="B503" s="26" t="inlineStr">
        <is>
          <t>S9 Pro Copper</t>
        </is>
      </c>
      <c r="C503" s="26" t="n">
        <v>4</v>
      </c>
      <c r="D503" s="26" t="inlineStr">
        <is>
          <t>Review éditoriale</t>
        </is>
      </c>
      <c r="E503" s="26" t="inlineStr">
        <is>
          <t>headfonia.com</t>
        </is>
      </c>
      <c r="F503" s="23" t="inlineStr">
        <is>
          <t>https://www.headfonia.com/hidizs-s9-pro-review/</t>
        </is>
      </c>
      <c r="G503" s="26" t="inlineStr">
        <is>
          <t>Oui</t>
        </is>
      </c>
      <c r="H503" s="26" t="inlineStr">
        <is>
          <t>Proxy sonore pertinent : review du S9 Pro standard ; la Copper est décrite comme identique en électronique et en son.</t>
        </is>
      </c>
    </row>
    <row r="504">
      <c r="A504" s="26" t="inlineStr">
        <is>
          <t>Periodic Audio</t>
        </is>
      </c>
      <c r="B504" s="26" t="inlineStr">
        <is>
          <t>Rhodium DAC</t>
        </is>
      </c>
      <c r="C504" s="26" t="n">
        <v>1</v>
      </c>
      <c r="D504" s="26" t="inlineStr">
        <is>
          <t>Review éditoriale</t>
        </is>
      </c>
      <c r="E504" s="26" t="inlineStr">
        <is>
          <t>headfonics.com</t>
        </is>
      </c>
      <c r="F504" s="23" t="inlineStr">
        <is>
          <t>https://headfonics.com/periodic-audio-rhodium-dac-review/</t>
        </is>
      </c>
      <c r="G504" s="26" t="inlineStr">
        <is>
          <t>Oui</t>
        </is>
      </c>
      <c r="H504" s="26" t="inlineStr">
        <is>
          <t>Review / retour exploitable</t>
        </is>
      </c>
    </row>
    <row r="505">
      <c r="A505" s="26" t="inlineStr">
        <is>
          <t>Periodic Audio</t>
        </is>
      </c>
      <c r="B505" s="26" t="inlineStr">
        <is>
          <t>Rhodium DAC</t>
        </is>
      </c>
      <c r="C505" s="26" t="n">
        <v>2</v>
      </c>
      <c r="D505" s="26" t="inlineStr">
        <is>
          <t>Head-Fi reviews</t>
        </is>
      </c>
      <c r="E505" s="26" t="inlineStr">
        <is>
          <t>head-fi.org</t>
        </is>
      </c>
      <c r="F505" s="23" t="inlineStr">
        <is>
          <t>https://www.head-fi.org/showcase/periodic-audio-rh.24947/reviews</t>
        </is>
      </c>
      <c r="G505" s="26" t="inlineStr">
        <is>
          <t>Oui</t>
        </is>
      </c>
      <c r="H505" s="26" t="inlineStr">
        <is>
          <t>Review / retour exploitable</t>
        </is>
      </c>
    </row>
    <row r="506">
      <c r="A506" s="26" t="inlineStr">
        <is>
          <t>Periodic Audio</t>
        </is>
      </c>
      <c r="B506" s="26" t="inlineStr">
        <is>
          <t>Rhodium DAC</t>
        </is>
      </c>
      <c r="C506" s="26" t="n">
        <v>3</v>
      </c>
      <c r="D506" s="26" t="inlineStr">
        <is>
          <t>Review éditoriale</t>
        </is>
      </c>
      <c r="E506" s="26" t="inlineStr">
        <is>
          <t>audiobacon.com</t>
        </is>
      </c>
      <c r="F506" s="23" t="inlineStr">
        <is>
          <t>https://audiobacon.com/periodic-audio-rhodium-dac-review/</t>
        </is>
      </c>
      <c r="G506" s="26" t="inlineStr">
        <is>
          <t>Oui</t>
        </is>
      </c>
      <c r="H506" s="26" t="inlineStr">
        <is>
          <t>Review / retour exploitable</t>
        </is>
      </c>
    </row>
    <row r="507">
      <c r="A507" s="26" t="inlineStr">
        <is>
          <t>Periodic Audio</t>
        </is>
      </c>
      <c r="B507" s="26" t="inlineStr">
        <is>
          <t>Rhodium DAC</t>
        </is>
      </c>
      <c r="C507" s="26" t="n">
        <v>4</v>
      </c>
      <c r="D507" s="26" t="inlineStr">
        <is>
          <t>Review éditoriale</t>
        </is>
      </c>
      <c r="E507" s="26" t="inlineStr">
        <is>
          <t>ichos-reviews.com</t>
        </is>
      </c>
      <c r="F507" s="23" t="inlineStr">
        <is>
          <t>https://ichos-reviews.com/periodic-audio-rhodium/</t>
        </is>
      </c>
      <c r="G507" s="26" t="inlineStr">
        <is>
          <t>Oui</t>
        </is>
      </c>
      <c r="H507" s="26" t="inlineStr">
        <is>
          <t>Review / retour exploitable</t>
        </is>
      </c>
    </row>
    <row r="508">
      <c r="A508" s="26" t="inlineStr">
        <is>
          <t>Hidizs</t>
        </is>
      </c>
      <c r="B508" s="26" t="inlineStr">
        <is>
          <t>DH80s</t>
        </is>
      </c>
      <c r="C508" s="26" t="n">
        <v>1</v>
      </c>
      <c r="D508" s="26" t="inlineStr">
        <is>
          <t>Review éditoriale</t>
        </is>
      </c>
      <c r="E508" s="26" t="inlineStr">
        <is>
          <t>headfonics.com</t>
        </is>
      </c>
      <c r="F508" s="23" t="inlineStr">
        <is>
          <t>https://headfonics.com/hidizs-dh80s-review/</t>
        </is>
      </c>
      <c r="G508" s="26" t="inlineStr">
        <is>
          <t>Oui</t>
        </is>
      </c>
      <c r="H508" s="26" t="inlineStr">
        <is>
          <t>Review / retour exploitable</t>
        </is>
      </c>
    </row>
    <row r="509">
      <c r="A509" s="26" t="inlineStr">
        <is>
          <t>Hidizs</t>
        </is>
      </c>
      <c r="B509" s="26" t="inlineStr">
        <is>
          <t>DH80s</t>
        </is>
      </c>
      <c r="C509" s="26" t="n">
        <v>2</v>
      </c>
      <c r="D509" s="26" t="inlineStr">
        <is>
          <t>Head-Fi reviews</t>
        </is>
      </c>
      <c r="E509" s="26" t="inlineStr">
        <is>
          <t>head-fi.org</t>
        </is>
      </c>
      <c r="F509" s="23" t="inlineStr">
        <is>
          <t>https://www.head-fi.org/showcase/hidizs-dh80s.25255/reviews</t>
        </is>
      </c>
      <c r="G509" s="26" t="inlineStr">
        <is>
          <t>Oui</t>
        </is>
      </c>
      <c r="H509" s="26" t="inlineStr">
        <is>
          <t>Review / retour exploitable</t>
        </is>
      </c>
    </row>
    <row r="510">
      <c r="A510" s="26" t="inlineStr">
        <is>
          <t>Hidizs</t>
        </is>
      </c>
      <c r="B510" s="26" t="inlineStr">
        <is>
          <t>DH80s</t>
        </is>
      </c>
      <c r="C510" s="26" t="n">
        <v>3</v>
      </c>
      <c r="D510" s="26" t="inlineStr">
        <is>
          <t>Review éditoriale</t>
        </is>
      </c>
      <c r="E510" s="26" t="inlineStr">
        <is>
          <t>soundphilereview.com</t>
        </is>
      </c>
      <c r="F510" s="23" t="inlineStr">
        <is>
          <t>https://www.soundphilereview.com/reviews/hidizs-dh80s-review-42069/</t>
        </is>
      </c>
      <c r="G510" s="26" t="inlineStr">
        <is>
          <t>Oui</t>
        </is>
      </c>
      <c r="H510" s="26" t="inlineStr">
        <is>
          <t>Review / retour exploitable</t>
        </is>
      </c>
    </row>
    <row r="511">
      <c r="A511" s="26" t="inlineStr">
        <is>
          <t>Hidizs</t>
        </is>
      </c>
      <c r="B511" s="26" t="inlineStr">
        <is>
          <t>DH80s</t>
        </is>
      </c>
      <c r="C511" s="26" t="n">
        <v>4</v>
      </c>
      <c r="D511" s="26" t="inlineStr">
        <is>
          <t>Review éditoriale</t>
        </is>
      </c>
      <c r="E511" s="26" t="inlineStr">
        <is>
          <t>ecoustics.com</t>
        </is>
      </c>
      <c r="F511" s="23" t="inlineStr">
        <is>
          <t>https://www.ecoustics.com/reviews/hidizs-dh80s/</t>
        </is>
      </c>
      <c r="G511" s="26" t="inlineStr">
        <is>
          <t>Oui</t>
        </is>
      </c>
      <c r="H511" s="26" t="inlineStr">
        <is>
          <t>Review / retour exploitable</t>
        </is>
      </c>
    </row>
    <row r="512">
      <c r="A512" s="26" t="inlineStr">
        <is>
          <t>Questyle</t>
        </is>
      </c>
      <c r="B512" s="26" t="inlineStr">
        <is>
          <t>M12</t>
        </is>
      </c>
      <c r="C512" s="26" t="n">
        <v>1</v>
      </c>
      <c r="D512" s="26" t="inlineStr">
        <is>
          <t>Review éditoriale</t>
        </is>
      </c>
      <c r="E512" s="26" t="inlineStr">
        <is>
          <t>headfonics.com</t>
        </is>
      </c>
      <c r="F512" s="23" t="inlineStr">
        <is>
          <t>https://headfonics.com/questyle-m12-review/</t>
        </is>
      </c>
      <c r="G512" s="26" t="inlineStr">
        <is>
          <t>Oui</t>
        </is>
      </c>
      <c r="H512" s="26" t="inlineStr">
        <is>
          <t>Review / retour exploitable</t>
        </is>
      </c>
    </row>
    <row r="513">
      <c r="A513" s="26" t="inlineStr">
        <is>
          <t>Questyle</t>
        </is>
      </c>
      <c r="B513" s="26" t="inlineStr">
        <is>
          <t>M12</t>
        </is>
      </c>
      <c r="C513" s="26" t="n">
        <v>2</v>
      </c>
      <c r="D513" s="26" t="inlineStr">
        <is>
          <t>Head-Fi reviews</t>
        </is>
      </c>
      <c r="E513" s="26" t="inlineStr">
        <is>
          <t>head-fi.org</t>
        </is>
      </c>
      <c r="F513" s="23" t="inlineStr">
        <is>
          <t>https://www.head-fi.org/showcase/questyle-m12.25266/reviews</t>
        </is>
      </c>
      <c r="G513" s="26" t="inlineStr">
        <is>
          <t>Oui</t>
        </is>
      </c>
      <c r="H513" s="26" t="inlineStr">
        <is>
          <t>Review / retour exploitable</t>
        </is>
      </c>
    </row>
    <row r="514">
      <c r="A514" s="26" t="inlineStr">
        <is>
          <t>Questyle</t>
        </is>
      </c>
      <c r="B514" s="26" t="inlineStr">
        <is>
          <t>M12</t>
        </is>
      </c>
      <c r="C514" s="26" t="n">
        <v>3</v>
      </c>
      <c r="D514" s="26" t="inlineStr">
        <is>
          <t>Review éditoriale</t>
        </is>
      </c>
      <c r="E514" s="26" t="inlineStr">
        <is>
          <t>stereophile.com</t>
        </is>
      </c>
      <c r="F514" s="23" t="inlineStr">
        <is>
          <t>https://stereophile.com/content/questyle-audio-m12-portable-usb-da-headphone-amplifier</t>
        </is>
      </c>
      <c r="G514" s="26" t="inlineStr">
        <is>
          <t>Oui</t>
        </is>
      </c>
      <c r="H514" s="26" t="inlineStr">
        <is>
          <t>Review / retour exploitable</t>
        </is>
      </c>
    </row>
    <row r="515">
      <c r="A515" s="26" t="inlineStr">
        <is>
          <t>Questyle</t>
        </is>
      </c>
      <c r="B515" s="26" t="inlineStr">
        <is>
          <t>M12</t>
        </is>
      </c>
      <c r="C515" s="26" t="n">
        <v>4</v>
      </c>
      <c r="D515" s="26" t="inlineStr">
        <is>
          <t>Review éditoriale</t>
        </is>
      </c>
      <c r="E515" s="26" t="inlineStr">
        <is>
          <t>headphone.guru</t>
        </is>
      </c>
      <c r="F515" s="23" t="inlineStr">
        <is>
          <t>https://headphone.guru/questyle-m12-inline-usb-amp-dac-review/</t>
        </is>
      </c>
      <c r="G515" s="26" t="inlineStr">
        <is>
          <t>Oui</t>
        </is>
      </c>
      <c r="H515" s="26" t="inlineStr">
        <is>
          <t>Review / retour exploitable</t>
        </is>
      </c>
    </row>
    <row r="516">
      <c r="A516" s="26" t="inlineStr">
        <is>
          <t>FiiO</t>
        </is>
      </c>
      <c r="B516" s="26" t="inlineStr">
        <is>
          <t>E10K TC</t>
        </is>
      </c>
      <c r="C516" s="26" t="n">
        <v>1</v>
      </c>
      <c r="D516" s="26" t="inlineStr">
        <is>
          <t>Review éditoriale</t>
        </is>
      </c>
      <c r="E516" s="26" t="inlineStr">
        <is>
          <t>headfonics.com</t>
        </is>
      </c>
      <c r="F516" s="23" t="inlineStr">
        <is>
          <t>https://headfonics.com/fiio-e10k-tc-review/</t>
        </is>
      </c>
      <c r="G516" s="26" t="inlineStr">
        <is>
          <t>Oui</t>
        </is>
      </c>
      <c r="H516" s="26" t="inlineStr">
        <is>
          <t>Review / retour exploitable</t>
        </is>
      </c>
    </row>
    <row r="517">
      <c r="A517" s="26" t="inlineStr">
        <is>
          <t>FiiO</t>
        </is>
      </c>
      <c r="B517" s="26" t="inlineStr">
        <is>
          <t>E10K TC</t>
        </is>
      </c>
      <c r="C517" s="26" t="n">
        <v>2</v>
      </c>
      <c r="D517" s="26" t="inlineStr">
        <is>
          <t>Head-Fi reviews</t>
        </is>
      </c>
      <c r="E517" s="26" t="inlineStr">
        <is>
          <t>head-fi.org</t>
        </is>
      </c>
      <c r="F517" s="23" t="inlineStr">
        <is>
          <t>https://www.head-fi.org/showcase/fiio-e10k-type-c.25425/reviews</t>
        </is>
      </c>
      <c r="G517" s="26" t="inlineStr">
        <is>
          <t>Oui</t>
        </is>
      </c>
      <c r="H517" s="26" t="inlineStr">
        <is>
          <t>Review / retour exploitable</t>
        </is>
      </c>
    </row>
    <row r="518">
      <c r="A518" s="26" t="inlineStr">
        <is>
          <t>FiiO</t>
        </is>
      </c>
      <c r="B518" s="26" t="inlineStr">
        <is>
          <t>E10K TC</t>
        </is>
      </c>
      <c r="C518" s="26" t="n">
        <v>3</v>
      </c>
      <c r="D518" s="26" t="inlineStr">
        <is>
          <t>Review éditoriale</t>
        </is>
      </c>
      <c r="E518" s="26" t="inlineStr">
        <is>
          <t>outeraudio.com</t>
        </is>
      </c>
      <c r="F518" s="23" t="inlineStr">
        <is>
          <t>https://www.outeraudio.com/fiio-e10k/</t>
        </is>
      </c>
      <c r="G518" s="26" t="inlineStr">
        <is>
          <t>Oui</t>
        </is>
      </c>
      <c r="H518" s="26" t="inlineStr">
        <is>
          <t>Review / retour exploitable</t>
        </is>
      </c>
    </row>
    <row r="519">
      <c r="A519" s="26" t="inlineStr">
        <is>
          <t>FiiO</t>
        </is>
      </c>
      <c r="B519" s="26" t="inlineStr">
        <is>
          <t>E10K TC</t>
        </is>
      </c>
      <c r="C519" s="26" t="n">
        <v>4</v>
      </c>
      <c r="D519" s="26" t="inlineStr">
        <is>
          <t>Head-Fi forum</t>
        </is>
      </c>
      <c r="E519" s="26" t="inlineStr">
        <is>
          <t>head-fi.org</t>
        </is>
      </c>
      <c r="F519" s="23" t="inlineStr">
        <is>
          <t>https://www.head-fi.org/threads/ten-years-for-one-masterpiece-fiio-e10k-tc-review.959254/</t>
        </is>
      </c>
      <c r="G519" s="26" t="inlineStr">
        <is>
          <t>Oui</t>
        </is>
      </c>
      <c r="H519" s="26" t="inlineStr">
        <is>
          <t>Review / retour exploitable</t>
        </is>
      </c>
    </row>
    <row r="520">
      <c r="A520" s="26" t="inlineStr">
        <is>
          <t>Shanling</t>
        </is>
      </c>
      <c r="B520" s="26" t="inlineStr">
        <is>
          <t>UA2</t>
        </is>
      </c>
      <c r="C520" s="26" t="n">
        <v>1</v>
      </c>
      <c r="D520" s="26" t="inlineStr">
        <is>
          <t>Review éditoriale</t>
        </is>
      </c>
      <c r="E520" s="26" t="inlineStr">
        <is>
          <t>headfonics.com</t>
        </is>
      </c>
      <c r="F520" s="23" t="inlineStr">
        <is>
          <t>https://headfonics.com/shanling-ua2-review/</t>
        </is>
      </c>
      <c r="G520" s="26" t="inlineStr">
        <is>
          <t>Oui</t>
        </is>
      </c>
      <c r="H520" s="26" t="inlineStr">
        <is>
          <t>Review / retour exploitable</t>
        </is>
      </c>
    </row>
    <row r="521">
      <c r="A521" s="26" t="inlineStr">
        <is>
          <t>Shanling</t>
        </is>
      </c>
      <c r="B521" s="26" t="inlineStr">
        <is>
          <t>UA2</t>
        </is>
      </c>
      <c r="C521" s="26" t="n">
        <v>2</v>
      </c>
      <c r="D521" s="26" t="inlineStr">
        <is>
          <t>Head-Fi reviews</t>
        </is>
      </c>
      <c r="E521" s="26" t="inlineStr">
        <is>
          <t>head-fi.org</t>
        </is>
      </c>
      <c r="F521" s="23" t="inlineStr">
        <is>
          <t>https://www.head-fi.org/showcase/shanling-ua2-portable-usb-dac-amp.25182/reviews</t>
        </is>
      </c>
      <c r="G521" s="26" t="inlineStr">
        <is>
          <t>Oui</t>
        </is>
      </c>
      <c r="H521" s="26" t="inlineStr">
        <is>
          <t>Review / retour exploitable</t>
        </is>
      </c>
    </row>
    <row r="522">
      <c r="A522" s="26" t="inlineStr">
        <is>
          <t>Shanling</t>
        </is>
      </c>
      <c r="B522" s="26" t="inlineStr">
        <is>
          <t>UA2</t>
        </is>
      </c>
      <c r="C522" s="26" t="n">
        <v>3</v>
      </c>
      <c r="D522" s="26" t="inlineStr">
        <is>
          <t>Review éditoriale</t>
        </is>
      </c>
      <c r="E522" s="26" t="inlineStr">
        <is>
          <t>audioreviews.org</t>
        </is>
      </c>
      <c r="F522" s="23" t="inlineStr">
        <is>
          <t>https://www.audioreviews.org/shanling-ua2-review-jk/</t>
        </is>
      </c>
      <c r="G522" s="26" t="inlineStr">
        <is>
          <t>Oui</t>
        </is>
      </c>
      <c r="H522" s="26" t="inlineStr">
        <is>
          <t>Review / retour exploitable</t>
        </is>
      </c>
    </row>
    <row r="523">
      <c r="A523" s="26" t="inlineStr">
        <is>
          <t>Shanling</t>
        </is>
      </c>
      <c r="B523" s="26" t="inlineStr">
        <is>
          <t>UA2</t>
        </is>
      </c>
      <c r="C523" s="26" t="n">
        <v>4</v>
      </c>
      <c r="D523" s="26" t="inlineStr">
        <is>
          <t>Review éditoriale</t>
        </is>
      </c>
      <c r="E523" s="26" t="inlineStr">
        <is>
          <t>soundphilereview.com</t>
        </is>
      </c>
      <c r="F523" s="23" t="inlineStr">
        <is>
          <t>https://www.soundphilereview.com/reviews/shanling-ua2-review-13134/</t>
        </is>
      </c>
      <c r="G523" s="26" t="inlineStr">
        <is>
          <t>Oui</t>
        </is>
      </c>
      <c r="H523" s="26" t="inlineStr">
        <is>
          <t>Review / retour exploitable</t>
        </is>
      </c>
    </row>
    <row r="524">
      <c r="A524" s="26" t="inlineStr">
        <is>
          <t>FiiO</t>
        </is>
      </c>
      <c r="B524" s="26" t="inlineStr">
        <is>
          <t>New K3</t>
        </is>
      </c>
      <c r="C524" s="26" t="n">
        <v>1</v>
      </c>
      <c r="D524" s="26" t="inlineStr">
        <is>
          <t>Review éditoriale</t>
        </is>
      </c>
      <c r="E524" s="26" t="inlineStr">
        <is>
          <t>headfonics.com</t>
        </is>
      </c>
      <c r="F524" s="23" t="inlineStr">
        <is>
          <t>https://headfonics.com/fiio-new-k3-review/</t>
        </is>
      </c>
      <c r="G524" s="26" t="inlineStr">
        <is>
          <t>Oui</t>
        </is>
      </c>
      <c r="H524" s="26" t="inlineStr">
        <is>
          <t>Review / retour exploitable</t>
        </is>
      </c>
    </row>
    <row r="525">
      <c r="A525" s="26" t="inlineStr">
        <is>
          <t>FiiO</t>
        </is>
      </c>
      <c r="B525" s="26" t="inlineStr">
        <is>
          <t>New K3</t>
        </is>
      </c>
      <c r="C525" s="26" t="n">
        <v>2</v>
      </c>
      <c r="D525" s="26" t="inlineStr">
        <is>
          <t>Review éditoriale</t>
        </is>
      </c>
      <c r="E525" s="26" t="inlineStr">
        <is>
          <t>headfonia.com</t>
        </is>
      </c>
      <c r="F525" s="23" t="inlineStr">
        <is>
          <t>https://www.headfonia.com/fiio-k3s-review/</t>
        </is>
      </c>
      <c r="G525" s="26" t="inlineStr">
        <is>
          <t>Oui</t>
        </is>
      </c>
      <c r="H525" s="26" t="inlineStr">
        <is>
          <t>Review / retour exploitable</t>
        </is>
      </c>
    </row>
    <row r="526">
      <c r="A526" s="26" t="inlineStr">
        <is>
          <t>FiiO</t>
        </is>
      </c>
      <c r="B526" s="26" t="inlineStr">
        <is>
          <t>New K3</t>
        </is>
      </c>
      <c r="C526" s="26" t="n">
        <v>3</v>
      </c>
      <c r="D526" s="26" t="inlineStr">
        <is>
          <t>Communauté Reddit</t>
        </is>
      </c>
      <c r="E526" s="26" t="inlineStr">
        <is>
          <t>reddit.com</t>
        </is>
      </c>
      <c r="F526" s="23" t="inlineStr">
        <is>
          <t>https://www.reddit.com/r/headphones/comments/1agkqzk</t>
        </is>
      </c>
      <c r="G526" s="26" t="inlineStr">
        <is>
          <t>Oui</t>
        </is>
      </c>
      <c r="H526" s="26" t="inlineStr">
        <is>
          <t>Review / retour exploitable</t>
        </is>
      </c>
    </row>
    <row r="527">
      <c r="A527" s="26" t="inlineStr">
        <is>
          <t>ddHiFi</t>
        </is>
      </c>
      <c r="B527" s="26" t="inlineStr">
        <is>
          <t>TC35 Pro Tetris</t>
        </is>
      </c>
      <c r="C527" s="26" t="n">
        <v>1</v>
      </c>
      <c r="D527" s="26" t="inlineStr">
        <is>
          <t>Review éditoriale</t>
        </is>
      </c>
      <c r="E527" s="26" t="inlineStr">
        <is>
          <t>headfonics.com</t>
        </is>
      </c>
      <c r="F527" s="23" t="inlineStr">
        <is>
          <t>https://headfonics.com/ddhifi-tc35-pro-tetris-review/</t>
        </is>
      </c>
      <c r="G527" s="26" t="inlineStr">
        <is>
          <t>Oui</t>
        </is>
      </c>
      <c r="H527" s="26" t="inlineStr">
        <is>
          <t>Review / retour exploitable</t>
        </is>
      </c>
    </row>
    <row r="528">
      <c r="A528" s="26" t="inlineStr">
        <is>
          <t>ddHiFi</t>
        </is>
      </c>
      <c r="B528" s="26" t="inlineStr">
        <is>
          <t>TC35 Pro Tetris</t>
        </is>
      </c>
      <c r="C528" s="26" t="n">
        <v>2</v>
      </c>
      <c r="D528" s="26" t="inlineStr">
        <is>
          <t>Review éditoriale</t>
        </is>
      </c>
      <c r="E528" s="26" t="inlineStr">
        <is>
          <t>headfonia.com</t>
        </is>
      </c>
      <c r="F528" s="23" t="inlineStr">
        <is>
          <t>https://www.headfonia.com/ddhifi-tc35-pro-eye-mountain-tetris-review/</t>
        </is>
      </c>
      <c r="G528" s="26" t="inlineStr">
        <is>
          <t>Oui</t>
        </is>
      </c>
      <c r="H528" s="26" t="inlineStr">
        <is>
          <t>Review / retour exploitable</t>
        </is>
      </c>
    </row>
    <row r="529">
      <c r="A529" s="26" t="inlineStr">
        <is>
          <t>ddHiFi</t>
        </is>
      </c>
      <c r="B529" s="26" t="inlineStr">
        <is>
          <t>TC35 Pro Tetris</t>
        </is>
      </c>
      <c r="C529" s="26" t="n">
        <v>3</v>
      </c>
      <c r="D529" s="26" t="inlineStr">
        <is>
          <t>Review éditoriale</t>
        </is>
      </c>
      <c r="E529" s="26" t="inlineStr">
        <is>
          <t>moonstarreviews.net</t>
        </is>
      </c>
      <c r="F529" s="23" t="inlineStr">
        <is>
          <t>https://moonstarreviews.net/ddhifi-tc35-pro-tetris-eye-mountain-review/</t>
        </is>
      </c>
      <c r="G529" s="26" t="inlineStr">
        <is>
          <t>Oui</t>
        </is>
      </c>
      <c r="H529" s="26" t="inlineStr">
        <is>
          <t>Review / retour exploitable</t>
        </is>
      </c>
    </row>
    <row r="530">
      <c r="A530" s="26" t="inlineStr">
        <is>
          <t>ddHiFi</t>
        </is>
      </c>
      <c r="B530" s="26" t="inlineStr">
        <is>
          <t>TC35 Pro Tetris</t>
        </is>
      </c>
      <c r="C530" s="26" t="n">
        <v>4</v>
      </c>
      <c r="D530" s="26" t="inlineStr">
        <is>
          <t>Avis utilisateurs revendeur</t>
        </is>
      </c>
      <c r="E530" s="26" t="inlineStr">
        <is>
          <t>drop.com</t>
        </is>
      </c>
      <c r="F530" s="23" t="inlineStr">
        <is>
          <t>https://drop.com/buy/ddhifi-tc35-pro-dac-amp/reviews?defaultSelectionIds=968284</t>
        </is>
      </c>
      <c r="G530" s="26" t="inlineStr">
        <is>
          <t>Oui</t>
        </is>
      </c>
      <c r="H530" s="26" t="inlineStr">
        <is>
          <t>Review / retour exploitable</t>
        </is>
      </c>
    </row>
    <row r="531">
      <c r="A531" s="26" t="inlineStr">
        <is>
          <t>Helm Audio</t>
        </is>
      </c>
      <c r="B531" s="26" t="inlineStr">
        <is>
          <t>Bolt</t>
        </is>
      </c>
      <c r="C531" s="26" t="n">
        <v>1</v>
      </c>
      <c r="D531" s="26" t="inlineStr">
        <is>
          <t>Review éditoriale</t>
        </is>
      </c>
      <c r="E531" s="26" t="inlineStr">
        <is>
          <t>headfonics.com</t>
        </is>
      </c>
      <c r="F531" s="23" t="inlineStr">
        <is>
          <t>https://headfonics.com/helm-audio-bolt-review/</t>
        </is>
      </c>
      <c r="G531" s="26" t="inlineStr">
        <is>
          <t>Oui</t>
        </is>
      </c>
      <c r="H531" s="26" t="inlineStr">
        <is>
          <t>Review / retour exploitable</t>
        </is>
      </c>
    </row>
    <row r="532">
      <c r="A532" s="26" t="inlineStr">
        <is>
          <t>Helm Audio</t>
        </is>
      </c>
      <c r="B532" s="26" t="inlineStr">
        <is>
          <t>Bolt</t>
        </is>
      </c>
      <c r="C532" s="26" t="n">
        <v>2</v>
      </c>
      <c r="D532" s="26" t="inlineStr">
        <is>
          <t>Head-Fi reviews</t>
        </is>
      </c>
      <c r="E532" s="26" t="inlineStr">
        <is>
          <t>head-fi.org</t>
        </is>
      </c>
      <c r="F532" s="23" t="inlineStr">
        <is>
          <t>https://www.head-fi.org/showcase/helm-audio-bolt-dac-amp.25124/reviews</t>
        </is>
      </c>
      <c r="G532" s="26" t="inlineStr">
        <is>
          <t>Oui</t>
        </is>
      </c>
      <c r="H532" s="26" t="inlineStr">
        <is>
          <t>Review / retour exploitable</t>
        </is>
      </c>
    </row>
    <row r="533">
      <c r="A533" s="26" t="inlineStr">
        <is>
          <t>Helm Audio</t>
        </is>
      </c>
      <c r="B533" s="26" t="inlineStr">
        <is>
          <t>Bolt</t>
        </is>
      </c>
      <c r="C533" s="26" t="n">
        <v>3</v>
      </c>
      <c r="D533" s="26" t="inlineStr">
        <is>
          <t>Review éditoriale</t>
        </is>
      </c>
      <c r="E533" s="26" t="inlineStr">
        <is>
          <t>headphonesty.com</t>
        </is>
      </c>
      <c r="F533" s="23" t="inlineStr">
        <is>
          <t>https://www.headphonesty.com/2021/03/review-helm-audio-bolt/</t>
        </is>
      </c>
      <c r="G533" s="26" t="inlineStr">
        <is>
          <t>Oui</t>
        </is>
      </c>
      <c r="H533" s="26" t="inlineStr">
        <is>
          <t>Review / retour exploitable</t>
        </is>
      </c>
    </row>
    <row r="534">
      <c r="A534" s="26" t="inlineStr">
        <is>
          <t>Helm Audio</t>
        </is>
      </c>
      <c r="B534" s="26" t="inlineStr">
        <is>
          <t>Bolt</t>
        </is>
      </c>
      <c r="C534" s="26" t="n">
        <v>4</v>
      </c>
      <c r="D534" s="26" t="inlineStr">
        <is>
          <t>Review éditoriale</t>
        </is>
      </c>
      <c r="E534" s="26" t="inlineStr">
        <is>
          <t>androidcentral.com</t>
        </is>
      </c>
      <c r="F534" s="23" t="inlineStr">
        <is>
          <t>https://www.androidcentral.com/accessories/audio/helm-audio-bolt-dac-amp-review</t>
        </is>
      </c>
      <c r="G534" s="26" t="inlineStr">
        <is>
          <t>Oui</t>
        </is>
      </c>
      <c r="H534" s="26" t="inlineStr">
        <is>
          <t>Review / retour exploitable</t>
        </is>
      </c>
    </row>
    <row r="535">
      <c r="A535" s="26" t="inlineStr">
        <is>
          <t>Luxury &amp; Precision</t>
        </is>
      </c>
      <c r="B535" s="26" t="inlineStr">
        <is>
          <t>W2</t>
        </is>
      </c>
      <c r="C535" s="26" t="n">
        <v>1</v>
      </c>
      <c r="D535" s="26" t="inlineStr">
        <is>
          <t>Review éditoriale</t>
        </is>
      </c>
      <c r="E535" s="26" t="inlineStr">
        <is>
          <t>headfonics.com</t>
        </is>
      </c>
      <c r="F535" s="23" t="inlineStr">
        <is>
          <t>https://headfonics.com/luxury-precision-w2-review/</t>
        </is>
      </c>
      <c r="G535" s="26" t="inlineStr">
        <is>
          <t>Oui</t>
        </is>
      </c>
      <c r="H535" s="26" t="inlineStr">
        <is>
          <t>Review / retour exploitable</t>
        </is>
      </c>
    </row>
    <row r="536">
      <c r="A536" s="26" t="inlineStr">
        <is>
          <t>Luxury &amp; Precision</t>
        </is>
      </c>
      <c r="B536" s="26" t="inlineStr">
        <is>
          <t>W2</t>
        </is>
      </c>
      <c r="C536" s="26" t="n">
        <v>2</v>
      </c>
      <c r="D536" s="26" t="inlineStr">
        <is>
          <t>Head-Fi reviews</t>
        </is>
      </c>
      <c r="E536" s="26" t="inlineStr">
        <is>
          <t>head-fi.org</t>
        </is>
      </c>
      <c r="F536" s="23" t="inlineStr">
        <is>
          <t>https://www.head-fi.org/showcase/luxury-precision-w2.25344/</t>
        </is>
      </c>
      <c r="G536" s="26" t="inlineStr">
        <is>
          <t>Oui</t>
        </is>
      </c>
      <c r="H536" s="26" t="inlineStr">
        <is>
          <t>Review / retour exploitable</t>
        </is>
      </c>
    </row>
    <row r="537">
      <c r="A537" s="26" t="inlineStr">
        <is>
          <t>Luxury &amp; Precision</t>
        </is>
      </c>
      <c r="B537" s="26" t="inlineStr">
        <is>
          <t>W2</t>
        </is>
      </c>
      <c r="C537" s="26" t="n">
        <v>3</v>
      </c>
      <c r="D537" s="26" t="inlineStr">
        <is>
          <t>Review éditoriale</t>
        </is>
      </c>
      <c r="E537" s="26" t="inlineStr">
        <is>
          <t>headfonia.com</t>
        </is>
      </c>
      <c r="F537" s="23" t="inlineStr">
        <is>
          <t>https://www.headfonia.com/luxury-precision-w2-review/</t>
        </is>
      </c>
      <c r="G537" s="26" t="inlineStr">
        <is>
          <t>Oui</t>
        </is>
      </c>
      <c r="H537" s="26" t="inlineStr">
        <is>
          <t>Review / retour exploitable</t>
        </is>
      </c>
    </row>
    <row r="538">
      <c r="A538" s="26" t="inlineStr">
        <is>
          <t>Luxury &amp; Precision</t>
        </is>
      </c>
      <c r="B538" s="26" t="inlineStr">
        <is>
          <t>W2</t>
        </is>
      </c>
      <c r="C538" s="26" t="n">
        <v>4</v>
      </c>
      <c r="D538" s="26" t="inlineStr">
        <is>
          <t>Review éditoriale</t>
        </is>
      </c>
      <c r="E538" s="26" t="inlineStr">
        <is>
          <t>headphonesty.com</t>
        </is>
      </c>
      <c r="F538" s="23" t="inlineStr">
        <is>
          <t>https://www.headphonesty.com/2021/07/review-luxury-and-precision-w2-dac-amp/</t>
        </is>
      </c>
      <c r="G538" s="26" t="inlineStr">
        <is>
          <t>Oui</t>
        </is>
      </c>
      <c r="H538" s="26" t="inlineStr">
        <is>
          <t>Review / retour exploitable</t>
        </is>
      </c>
    </row>
    <row r="539">
      <c r="A539" s="26" t="inlineStr">
        <is>
          <t>Hidizs</t>
        </is>
      </c>
      <c r="B539" s="26" t="inlineStr">
        <is>
          <t>S9 Pro</t>
        </is>
      </c>
      <c r="C539" s="26" t="n">
        <v>1</v>
      </c>
      <c r="D539" s="26" t="inlineStr">
        <is>
          <t>Review éditoriale</t>
        </is>
      </c>
      <c r="E539" s="26" t="inlineStr">
        <is>
          <t>headfonics.com</t>
        </is>
      </c>
      <c r="F539" s="23" t="inlineStr">
        <is>
          <t>https://headfonics.com/hidizs-s9-pro-review/</t>
        </is>
      </c>
      <c r="G539" s="26" t="inlineStr">
        <is>
          <t>Oui</t>
        </is>
      </c>
      <c r="H539" s="26" t="inlineStr">
        <is>
          <t>Review / retour exploitable</t>
        </is>
      </c>
    </row>
    <row r="540">
      <c r="A540" s="26" t="inlineStr">
        <is>
          <t>Hidizs</t>
        </is>
      </c>
      <c r="B540" s="26" t="inlineStr">
        <is>
          <t>S9 Pro</t>
        </is>
      </c>
      <c r="C540" s="26" t="n">
        <v>2</v>
      </c>
      <c r="D540" s="26" t="inlineStr">
        <is>
          <t>Head-Fi reviews</t>
        </is>
      </c>
      <c r="E540" s="26" t="inlineStr">
        <is>
          <t>head-fi.org</t>
        </is>
      </c>
      <c r="F540" s="23" t="inlineStr">
        <is>
          <t>https://www.head-fi.org/showcase/hidizs-s9pro.25175/reviews</t>
        </is>
      </c>
      <c r="G540" s="26" t="inlineStr">
        <is>
          <t>Oui</t>
        </is>
      </c>
      <c r="H540" s="26" t="inlineStr">
        <is>
          <t>Review / retour exploitable</t>
        </is>
      </c>
    </row>
    <row r="541">
      <c r="A541" s="26" t="inlineStr">
        <is>
          <t>Hidizs</t>
        </is>
      </c>
      <c r="B541" s="26" t="inlineStr">
        <is>
          <t>S9 Pro</t>
        </is>
      </c>
      <c r="C541" s="26" t="n">
        <v>3</v>
      </c>
      <c r="D541" s="26" t="inlineStr">
        <is>
          <t>Review éditoriale</t>
        </is>
      </c>
      <c r="E541" s="26" t="inlineStr">
        <is>
          <t>headfonia.com</t>
        </is>
      </c>
      <c r="F541" s="23" t="inlineStr">
        <is>
          <t>https://www.headfonia.com/hidizs-s9-pro-review/</t>
        </is>
      </c>
      <c r="G541" s="26" t="inlineStr">
        <is>
          <t>Oui</t>
        </is>
      </c>
      <c r="H541" s="26" t="inlineStr">
        <is>
          <t>Review / retour exploitable</t>
        </is>
      </c>
    </row>
    <row r="542">
      <c r="A542" s="26" t="inlineStr">
        <is>
          <t>Hidizs</t>
        </is>
      </c>
      <c r="B542" s="26" t="inlineStr">
        <is>
          <t>S9 Pro</t>
        </is>
      </c>
      <c r="C542" s="26" t="n">
        <v>4</v>
      </c>
      <c r="D542" s="26" t="inlineStr">
        <is>
          <t>Review éditoriale</t>
        </is>
      </c>
      <c r="E542" s="26" t="inlineStr">
        <is>
          <t>headphonesty.com</t>
        </is>
      </c>
      <c r="F542" s="23" t="inlineStr">
        <is>
          <t>https://www.headphonesty.com/2021/07/review-hidizs-s9-pro-dac-amp/</t>
        </is>
      </c>
      <c r="G542" s="26" t="inlineStr">
        <is>
          <t>Oui</t>
        </is>
      </c>
      <c r="H542" s="26" t="inlineStr">
        <is>
          <t>Review / retour exploitable</t>
        </is>
      </c>
    </row>
    <row r="543">
      <c r="A543" s="26" t="inlineStr">
        <is>
          <t>Hidizs</t>
        </is>
      </c>
      <c r="B543" s="26" t="inlineStr">
        <is>
          <t>S3 Pro</t>
        </is>
      </c>
      <c r="C543" s="26" t="n">
        <v>1</v>
      </c>
      <c r="D543" s="26" t="inlineStr">
        <is>
          <t>Review éditoriale</t>
        </is>
      </c>
      <c r="E543" s="26" t="inlineStr">
        <is>
          <t>headfonics.com</t>
        </is>
      </c>
      <c r="F543" s="23" t="inlineStr">
        <is>
          <t>https://headfonics.com/hidizs-s3-pro-review/</t>
        </is>
      </c>
      <c r="G543" s="26" t="inlineStr">
        <is>
          <t>Oui</t>
        </is>
      </c>
      <c r="H543" s="26" t="inlineStr">
        <is>
          <t>Review / retour exploitable</t>
        </is>
      </c>
    </row>
    <row r="544">
      <c r="A544" s="26" t="inlineStr">
        <is>
          <t>Hidizs</t>
        </is>
      </c>
      <c r="B544" s="26" t="inlineStr">
        <is>
          <t>S3 Pro</t>
        </is>
      </c>
      <c r="C544" s="26" t="n">
        <v>2</v>
      </c>
      <c r="D544" s="26" t="inlineStr">
        <is>
          <t>Head-Fi reviews</t>
        </is>
      </c>
      <c r="E544" s="26" t="inlineStr">
        <is>
          <t>head-fi.org</t>
        </is>
      </c>
      <c r="F544" s="23" t="inlineStr">
        <is>
          <t>https://www.head-fi.org/showcase/hidizs-s3-pro.25264/reviews</t>
        </is>
      </c>
      <c r="G544" s="26" t="inlineStr">
        <is>
          <t>Oui</t>
        </is>
      </c>
      <c r="H544" s="26" t="inlineStr">
        <is>
          <t>Review / retour exploitable</t>
        </is>
      </c>
    </row>
    <row r="545">
      <c r="A545" s="26" t="inlineStr">
        <is>
          <t>Hidizs</t>
        </is>
      </c>
      <c r="B545" s="26" t="inlineStr">
        <is>
          <t>S3 Pro</t>
        </is>
      </c>
      <c r="C545" s="26" t="n">
        <v>3</v>
      </c>
      <c r="D545" s="26" t="inlineStr">
        <is>
          <t>Review éditoriale</t>
        </is>
      </c>
      <c r="E545" s="26" t="inlineStr">
        <is>
          <t>primeaudio.org</t>
        </is>
      </c>
      <c r="F545" s="23" t="inlineStr">
        <is>
          <t>https://primeaudio.org/hidizs-s3-pro-review/</t>
        </is>
      </c>
      <c r="G545" s="26" t="inlineStr">
        <is>
          <t>Oui</t>
        </is>
      </c>
      <c r="H545" s="26" t="inlineStr">
        <is>
          <t>Review / retour exploitable</t>
        </is>
      </c>
    </row>
    <row r="546">
      <c r="A546" s="26" t="inlineStr">
        <is>
          <t>Hidizs</t>
        </is>
      </c>
      <c r="B546" s="26" t="inlineStr">
        <is>
          <t>S3 Pro</t>
        </is>
      </c>
      <c r="C546" s="26" t="n">
        <v>4</v>
      </c>
      <c r="D546" s="26" t="inlineStr">
        <is>
          <t>Review éditoriale</t>
        </is>
      </c>
      <c r="E546" s="26" t="inlineStr">
        <is>
          <t>mobileaudiophile.com</t>
        </is>
      </c>
      <c r="F546" s="23" t="inlineStr">
        <is>
          <t>https://mobileaudiophile.com/dacs/dongle/hidizs-s3-pro-review-tiny-cute/</t>
        </is>
      </c>
      <c r="G546" s="26" t="inlineStr">
        <is>
          <t>Oui</t>
        </is>
      </c>
      <c r="H546" s="26" t="inlineStr">
        <is>
          <t>Review / retour exploitable</t>
        </is>
      </c>
    </row>
    <row r="547">
      <c r="A547" s="26" t="inlineStr">
        <is>
          <t>iFi audio</t>
        </is>
      </c>
      <c r="B547" s="26" t="inlineStr">
        <is>
          <t>iDSD Diablo</t>
        </is>
      </c>
      <c r="C547" s="26" t="n">
        <v>1</v>
      </c>
      <c r="D547" s="26" t="inlineStr">
        <is>
          <t>Review éditoriale</t>
        </is>
      </c>
      <c r="E547" s="26" t="inlineStr">
        <is>
          <t>headfonics.com</t>
        </is>
      </c>
      <c r="F547" s="23" t="inlineStr">
        <is>
          <t>https://headfonics.com/ifi-audio-idsd-diablo-review/2/</t>
        </is>
      </c>
      <c r="G547" s="26" t="inlineStr">
        <is>
          <t>Oui</t>
        </is>
      </c>
      <c r="H547" s="26" t="inlineStr">
        <is>
          <t>Review / retour exploitable</t>
        </is>
      </c>
    </row>
    <row r="548">
      <c r="A548" s="26" t="inlineStr">
        <is>
          <t>iFi audio</t>
        </is>
      </c>
      <c r="B548" s="26" t="inlineStr">
        <is>
          <t>iDSD Diablo</t>
        </is>
      </c>
      <c r="C548" s="26" t="n">
        <v>2</v>
      </c>
      <c r="D548" s="26" t="inlineStr">
        <is>
          <t>Head-Fi reviews</t>
        </is>
      </c>
      <c r="E548" s="26" t="inlineStr">
        <is>
          <t>head-fi.org</t>
        </is>
      </c>
      <c r="F548" s="23" t="inlineStr">
        <is>
          <t>https://www.head-fi.org/showcase/ifi-audio-idsd-diablo.24995/reviews</t>
        </is>
      </c>
      <c r="G548" s="26" t="inlineStr">
        <is>
          <t>Oui</t>
        </is>
      </c>
      <c r="H548" s="26" t="inlineStr">
        <is>
          <t>Review / retour exploitable</t>
        </is>
      </c>
    </row>
    <row r="549">
      <c r="A549" s="26" t="inlineStr">
        <is>
          <t>iFi audio</t>
        </is>
      </c>
      <c r="B549" s="26" t="inlineStr">
        <is>
          <t>iDSD Diablo</t>
        </is>
      </c>
      <c r="C549" s="26" t="n">
        <v>3</v>
      </c>
      <c r="D549" s="26" t="inlineStr">
        <is>
          <t>Review éditoriale</t>
        </is>
      </c>
      <c r="E549" s="26" t="inlineStr">
        <is>
          <t>headphonesty.com</t>
        </is>
      </c>
      <c r="F549" s="23" t="inlineStr">
        <is>
          <t>https://www.headphonesty.com/2021/05/review-ifi-idsd-diablo/</t>
        </is>
      </c>
      <c r="G549" s="26" t="inlineStr">
        <is>
          <t>Oui</t>
        </is>
      </c>
      <c r="H549" s="26" t="inlineStr">
        <is>
          <t>Review / retour exploitable</t>
        </is>
      </c>
    </row>
    <row r="550">
      <c r="A550" s="26" t="inlineStr">
        <is>
          <t>iFi audio</t>
        </is>
      </c>
      <c r="B550" s="26" t="inlineStr">
        <is>
          <t>iDSD Diablo</t>
        </is>
      </c>
      <c r="C550" s="26" t="n">
        <v>4</v>
      </c>
      <c r="D550" s="26" t="inlineStr">
        <is>
          <t>Review éditoriale</t>
        </is>
      </c>
      <c r="E550" s="26" t="inlineStr">
        <is>
          <t>soundphilereview.com</t>
        </is>
      </c>
      <c r="F550" s="23" t="inlineStr">
        <is>
          <t>https://www.soundphilereview.com/reviews/ifi-idsd-diablo-review-devilishly-good-13016/</t>
        </is>
      </c>
      <c r="G550" s="26" t="inlineStr">
        <is>
          <t>Oui</t>
        </is>
      </c>
      <c r="H550" s="26" t="inlineStr">
        <is>
          <t>Review / retour exploitable</t>
        </is>
      </c>
    </row>
    <row r="551">
      <c r="A551" s="26" t="inlineStr">
        <is>
          <t>Phatlab</t>
        </is>
      </c>
      <c r="B551" s="26" t="inlineStr">
        <is>
          <t>Chimera</t>
        </is>
      </c>
      <c r="C551" s="26" t="n">
        <v>1</v>
      </c>
      <c r="D551" s="26" t="inlineStr">
        <is>
          <t>Review éditoriale</t>
        </is>
      </c>
      <c r="E551" s="26" t="inlineStr">
        <is>
          <t>headfonics.com</t>
        </is>
      </c>
      <c r="F551" s="23" t="inlineStr">
        <is>
          <t>https://headfonics.com/phatlab-chimera-review/</t>
        </is>
      </c>
      <c r="G551" s="26" t="inlineStr">
        <is>
          <t>Oui</t>
        </is>
      </c>
      <c r="H551" s="26" t="inlineStr">
        <is>
          <t>Review / retour exploitable</t>
        </is>
      </c>
    </row>
    <row r="552">
      <c r="A552" s="26" t="inlineStr">
        <is>
          <t>Phatlab</t>
        </is>
      </c>
      <c r="B552" s="26" t="inlineStr">
        <is>
          <t>Chimera</t>
        </is>
      </c>
      <c r="C552" s="26" t="n">
        <v>2</v>
      </c>
      <c r="D552" s="26" t="inlineStr">
        <is>
          <t>Head-Fi reviews</t>
        </is>
      </c>
      <c r="E552" s="26" t="inlineStr">
        <is>
          <t>head-fi.org</t>
        </is>
      </c>
      <c r="F552" s="23" t="inlineStr">
        <is>
          <t>https://www.head-fi.org/showcase/phatlab-chimera.24183/reviews</t>
        </is>
      </c>
      <c r="G552" s="26" t="inlineStr">
        <is>
          <t>Oui</t>
        </is>
      </c>
      <c r="H552" s="26" t="inlineStr">
        <is>
          <t>Review / retour exploitable</t>
        </is>
      </c>
    </row>
    <row r="553">
      <c r="A553" s="26" t="inlineStr">
        <is>
          <t>Phatlab</t>
        </is>
      </c>
      <c r="B553" s="26" t="inlineStr">
        <is>
          <t>Chimera</t>
        </is>
      </c>
      <c r="C553" s="26" t="n">
        <v>3</v>
      </c>
      <c r="D553" s="26" t="inlineStr">
        <is>
          <t>Review éditoriale</t>
        </is>
      </c>
      <c r="E553" s="26" t="inlineStr">
        <is>
          <t>primeaudio.org</t>
        </is>
      </c>
      <c r="F553" s="23" t="inlineStr">
        <is>
          <t>https://primeaudio.org/phatlab-chimera-review/</t>
        </is>
      </c>
      <c r="G553" s="26" t="inlineStr">
        <is>
          <t>Oui</t>
        </is>
      </c>
      <c r="H553" s="26" t="inlineStr">
        <is>
          <t>Review / retour exploitable</t>
        </is>
      </c>
    </row>
    <row r="554">
      <c r="A554" s="26" t="inlineStr">
        <is>
          <t>HiBy</t>
        </is>
      </c>
      <c r="B554" s="26" t="inlineStr">
        <is>
          <t>FC3</t>
        </is>
      </c>
      <c r="C554" s="26" t="n">
        <v>1</v>
      </c>
      <c r="D554" s="26" t="inlineStr">
        <is>
          <t>Review éditoriale</t>
        </is>
      </c>
      <c r="E554" s="26" t="inlineStr">
        <is>
          <t>headfonics.com</t>
        </is>
      </c>
      <c r="F554" s="23" t="inlineStr">
        <is>
          <t>https://headfonics.com/hiby-fc3-review/</t>
        </is>
      </c>
      <c r="G554" s="26" t="inlineStr">
        <is>
          <t>Oui</t>
        </is>
      </c>
      <c r="H554" s="26" t="inlineStr">
        <is>
          <t>Review / retour exploitable</t>
        </is>
      </c>
    </row>
    <row r="555">
      <c r="A555" s="26" t="inlineStr">
        <is>
          <t>HiBy</t>
        </is>
      </c>
      <c r="B555" s="26" t="inlineStr">
        <is>
          <t>FC3</t>
        </is>
      </c>
      <c r="C555" s="26" t="n">
        <v>2</v>
      </c>
      <c r="D555" s="26" t="inlineStr">
        <is>
          <t>Head-Fi reviews</t>
        </is>
      </c>
      <c r="E555" s="26" t="inlineStr">
        <is>
          <t>head-fi.org</t>
        </is>
      </c>
      <c r="F555" s="23" t="inlineStr">
        <is>
          <t>https://www.head-fi.org/showcase/hiby-fc3.24946/reviews</t>
        </is>
      </c>
      <c r="G555" s="26" t="inlineStr">
        <is>
          <t>Oui</t>
        </is>
      </c>
      <c r="H555" s="26" t="inlineStr">
        <is>
          <t>Review / retour exploitable</t>
        </is>
      </c>
    </row>
    <row r="556">
      <c r="A556" s="26" t="inlineStr">
        <is>
          <t>HiBy</t>
        </is>
      </c>
      <c r="B556" s="26" t="inlineStr">
        <is>
          <t>FC3</t>
        </is>
      </c>
      <c r="C556" s="26" t="n">
        <v>3</v>
      </c>
      <c r="D556" s="26" t="inlineStr">
        <is>
          <t>Review éditoriale</t>
        </is>
      </c>
      <c r="E556" s="26" t="inlineStr">
        <is>
          <t>everydaylistening.net</t>
        </is>
      </c>
      <c r="F556" s="23" t="inlineStr">
        <is>
          <t>https://everydaylistening.net/2021/03/28/hiby-fc3-review-portability-is-key/</t>
        </is>
      </c>
      <c r="G556" s="26" t="inlineStr">
        <is>
          <t>Oui</t>
        </is>
      </c>
      <c r="H556" s="26" t="inlineStr">
        <is>
          <t>Review / retour exploitable</t>
        </is>
      </c>
    </row>
    <row r="557">
      <c r="A557" s="26" t="inlineStr">
        <is>
          <t>HiBy</t>
        </is>
      </c>
      <c r="B557" s="26" t="inlineStr">
        <is>
          <t>FC3</t>
        </is>
      </c>
      <c r="C557" s="26" t="n">
        <v>4</v>
      </c>
      <c r="D557" s="26" t="inlineStr">
        <is>
          <t>Review éditoriale</t>
        </is>
      </c>
      <c r="E557" s="26" t="inlineStr">
        <is>
          <t>primeaudio.org</t>
        </is>
      </c>
      <c r="F557" s="23" t="inlineStr">
        <is>
          <t>https://primeaudio.org/hiby-fc3-usb-dac-review-purity/</t>
        </is>
      </c>
      <c r="G557" s="26" t="inlineStr">
        <is>
          <t>Oui</t>
        </is>
      </c>
      <c r="H557" s="26" t="inlineStr">
        <is>
          <t>Review / retour exploitable</t>
        </is>
      </c>
    </row>
    <row r="558">
      <c r="A558" s="26" t="inlineStr">
        <is>
          <t>Khadas</t>
        </is>
      </c>
      <c r="B558" s="26" t="inlineStr">
        <is>
          <t>Tone2 Pro</t>
        </is>
      </c>
      <c r="C558" s="26" t="n">
        <v>1</v>
      </c>
      <c r="D558" s="26" t="inlineStr">
        <is>
          <t>Review éditoriale</t>
        </is>
      </c>
      <c r="E558" s="26" t="inlineStr">
        <is>
          <t>headfonics.com</t>
        </is>
      </c>
      <c r="F558" s="23" t="inlineStr">
        <is>
          <t>https://headfonics.com/khadas-tone2-pro-review/</t>
        </is>
      </c>
      <c r="G558" s="26" t="inlineStr">
        <is>
          <t>Oui</t>
        </is>
      </c>
      <c r="H558" s="26" t="inlineStr">
        <is>
          <t>Review / retour exploitable</t>
        </is>
      </c>
    </row>
    <row r="559">
      <c r="A559" s="26" t="inlineStr">
        <is>
          <t>Khadas</t>
        </is>
      </c>
      <c r="B559" s="26" t="inlineStr">
        <is>
          <t>Tone2 Pro</t>
        </is>
      </c>
      <c r="C559" s="26" t="n">
        <v>2</v>
      </c>
      <c r="D559" s="26" t="inlineStr">
        <is>
          <t>Review éditoriale</t>
        </is>
      </c>
      <c r="E559" s="26" t="inlineStr">
        <is>
          <t>headphonesty.com</t>
        </is>
      </c>
      <c r="F559" s="23" t="inlineStr">
        <is>
          <t>https://www.headphonesty.com/2021/03/review-khadas-tone2-pro/</t>
        </is>
      </c>
      <c r="G559" s="26" t="inlineStr">
        <is>
          <t>Oui</t>
        </is>
      </c>
      <c r="H559" s="26" t="inlineStr">
        <is>
          <t>Review / retour exploitable</t>
        </is>
      </c>
    </row>
    <row r="560">
      <c r="A560" s="26" t="inlineStr">
        <is>
          <t>Khadas</t>
        </is>
      </c>
      <c r="B560" s="26" t="inlineStr">
        <is>
          <t>Tone2 Pro</t>
        </is>
      </c>
      <c r="C560" s="26" t="n">
        <v>3</v>
      </c>
      <c r="D560" s="26" t="inlineStr">
        <is>
          <t>Review éditoriale</t>
        </is>
      </c>
      <c r="E560" s="26" t="inlineStr">
        <is>
          <t>headfonia.com</t>
        </is>
      </c>
      <c r="F560" s="23" t="inlineStr">
        <is>
          <t>https://www.headfonia.com/khadas-tone2-pro-review/</t>
        </is>
      </c>
      <c r="G560" s="26" t="inlineStr">
        <is>
          <t>Oui</t>
        </is>
      </c>
      <c r="H560" s="26" t="inlineStr">
        <is>
          <t>Review / retour exploitable</t>
        </is>
      </c>
    </row>
    <row r="561">
      <c r="A561" s="26" t="inlineStr">
        <is>
          <t>Khadas</t>
        </is>
      </c>
      <c r="B561" s="26" t="inlineStr">
        <is>
          <t>Tone2 Pro</t>
        </is>
      </c>
      <c r="C561" s="26" t="n">
        <v>4</v>
      </c>
      <c r="D561" s="26" t="inlineStr">
        <is>
          <t>Review éditoriale</t>
        </is>
      </c>
      <c r="E561" s="26" t="inlineStr">
        <is>
          <t>audioreviews.org</t>
        </is>
      </c>
      <c r="F561" s="23" t="inlineStr">
        <is>
          <t>https://www.audioreviews.org/khadas-tone2-pro-review-jk/</t>
        </is>
      </c>
      <c r="G561" s="26" t="inlineStr">
        <is>
          <t>Oui</t>
        </is>
      </c>
      <c r="H561" s="26" t="inlineStr">
        <is>
          <t>Review / retour exploitable</t>
        </is>
      </c>
    </row>
    <row r="562">
      <c r="A562" s="26" t="inlineStr">
        <is>
          <t>Hidizs</t>
        </is>
      </c>
      <c r="B562" s="26" t="inlineStr">
        <is>
          <t>DH80</t>
        </is>
      </c>
      <c r="C562" s="26" t="n">
        <v>1</v>
      </c>
      <c r="D562" s="26" t="inlineStr">
        <is>
          <t>Review éditoriale</t>
        </is>
      </c>
      <c r="E562" s="26" t="inlineStr">
        <is>
          <t>headfonics.com</t>
        </is>
      </c>
      <c r="F562" s="23" t="inlineStr">
        <is>
          <t>https://headfonics.com/hidizs-dh80-review/</t>
        </is>
      </c>
      <c r="G562" s="26" t="inlineStr">
        <is>
          <t>Oui</t>
        </is>
      </c>
      <c r="H562" s="26" t="inlineStr">
        <is>
          <t>Review / retour exploitable</t>
        </is>
      </c>
    </row>
    <row r="563">
      <c r="A563" s="26" t="inlineStr">
        <is>
          <t>Hidizs</t>
        </is>
      </c>
      <c r="B563" s="26" t="inlineStr">
        <is>
          <t>DH80</t>
        </is>
      </c>
      <c r="C563" s="26" t="n">
        <v>2</v>
      </c>
      <c r="D563" s="26" t="inlineStr">
        <is>
          <t>Head-Fi reviews</t>
        </is>
      </c>
      <c r="E563" s="26" t="inlineStr">
        <is>
          <t>head-fi.org</t>
        </is>
      </c>
      <c r="F563" s="23" t="inlineStr">
        <is>
          <t>https://www.head-fi.org/showcase/hidizs-dh80-dh80s.25066/reviews</t>
        </is>
      </c>
      <c r="G563" s="26" t="inlineStr">
        <is>
          <t>Oui</t>
        </is>
      </c>
      <c r="H563" s="26" t="inlineStr">
        <is>
          <t>Review / retour exploitable</t>
        </is>
      </c>
    </row>
    <row r="564">
      <c r="A564" s="26" t="inlineStr">
        <is>
          <t>Hidizs</t>
        </is>
      </c>
      <c r="B564" s="26" t="inlineStr">
        <is>
          <t>DH80</t>
        </is>
      </c>
      <c r="C564" s="26" t="n">
        <v>3</v>
      </c>
      <c r="D564" s="26" t="inlineStr">
        <is>
          <t>Review éditoriale</t>
        </is>
      </c>
      <c r="E564" s="26" t="inlineStr">
        <is>
          <t>headfonia.com</t>
        </is>
      </c>
      <c r="F564" s="23" t="inlineStr">
        <is>
          <t>https://www.headfonia.com/hidizs-dh80-review/</t>
        </is>
      </c>
      <c r="G564" s="26" t="inlineStr">
        <is>
          <t>Oui</t>
        </is>
      </c>
      <c r="H564" s="26" t="inlineStr">
        <is>
          <t>Review / retour exploitable</t>
        </is>
      </c>
    </row>
    <row r="565">
      <c r="A565" s="26" t="inlineStr">
        <is>
          <t>iBasso</t>
        </is>
      </c>
      <c r="B565" s="26" t="inlineStr">
        <is>
          <t>DC04</t>
        </is>
      </c>
      <c r="C565" s="26" t="n">
        <v>1</v>
      </c>
      <c r="D565" s="26" t="inlineStr">
        <is>
          <t>Review éditoriale</t>
        </is>
      </c>
      <c r="E565" s="26" t="inlineStr">
        <is>
          <t>headfonics.com</t>
        </is>
      </c>
      <c r="F565" s="23" t="inlineStr">
        <is>
          <t>https://headfonics.com/ibasso-dc04-review/</t>
        </is>
      </c>
      <c r="G565" s="26" t="inlineStr">
        <is>
          <t>Oui</t>
        </is>
      </c>
      <c r="H565" s="26" t="inlineStr">
        <is>
          <t>Review / retour exploitable</t>
        </is>
      </c>
    </row>
    <row r="566">
      <c r="A566" s="26" t="inlineStr">
        <is>
          <t>iBasso</t>
        </is>
      </c>
      <c r="B566" s="26" t="inlineStr">
        <is>
          <t>DC04</t>
        </is>
      </c>
      <c r="C566" s="26" t="n">
        <v>2</v>
      </c>
      <c r="D566" s="26" t="inlineStr">
        <is>
          <t>Head-Fi forum</t>
        </is>
      </c>
      <c r="E566" s="26" t="inlineStr">
        <is>
          <t>head-fi.org</t>
        </is>
      </c>
      <c r="F566" s="23" t="inlineStr">
        <is>
          <t>https://www.head-fi.org/threads/usb-c-to-3-5mm-adapters-dac-lets-find-the-best.908839/</t>
        </is>
      </c>
      <c r="G566" s="26" t="inlineStr">
        <is>
          <t>Oui</t>
        </is>
      </c>
      <c r="H566" s="26" t="inlineStr">
        <is>
          <t>Review / retour exploitable</t>
        </is>
      </c>
    </row>
    <row r="567">
      <c r="A567" s="26" t="inlineStr">
        <is>
          <t>iBasso</t>
        </is>
      </c>
      <c r="B567" s="26" t="inlineStr">
        <is>
          <t>DC04</t>
        </is>
      </c>
      <c r="C567" s="26" t="n">
        <v>3</v>
      </c>
      <c r="D567" s="26" t="inlineStr">
        <is>
          <t>Vidéo review</t>
        </is>
      </c>
      <c r="E567" s="26" t="inlineStr">
        <is>
          <t>youtube.com</t>
        </is>
      </c>
      <c r="F567" s="23" t="inlineStr">
        <is>
          <t>https://www.youtube.com/watch?v=EZkgnkM-oMc</t>
        </is>
      </c>
      <c r="G567" s="26" t="inlineStr">
        <is>
          <t>Oui</t>
        </is>
      </c>
      <c r="H567" s="26" t="inlineStr">
        <is>
          <t>Review / retour exploitable</t>
        </is>
      </c>
    </row>
    <row r="568">
      <c r="A568" s="26" t="inlineStr">
        <is>
          <t>HiBy</t>
        </is>
      </c>
      <c r="B568" s="26" t="inlineStr">
        <is>
          <t>FD1 &amp; Beans</t>
        </is>
      </c>
      <c r="C568" s="26" t="n">
        <v>1</v>
      </c>
      <c r="D568" s="26" t="inlineStr">
        <is>
          <t>Review éditoriale</t>
        </is>
      </c>
      <c r="E568" s="26" t="inlineStr">
        <is>
          <t>headfonics.com</t>
        </is>
      </c>
      <c r="F568" s="23" t="inlineStr">
        <is>
          <t>https://headfonics.com/hiby-fd1-beans-review/</t>
        </is>
      </c>
      <c r="G568" s="26" t="inlineStr">
        <is>
          <t>Oui</t>
        </is>
      </c>
      <c r="H568" s="26" t="inlineStr">
        <is>
          <t>Review / retour exploitable</t>
        </is>
      </c>
    </row>
    <row r="569">
      <c r="A569" s="26" t="inlineStr">
        <is>
          <t>HiBy</t>
        </is>
      </c>
      <c r="B569" s="26" t="inlineStr">
        <is>
          <t>FD1 &amp; Beans</t>
        </is>
      </c>
      <c r="C569" s="26" t="n">
        <v>2</v>
      </c>
      <c r="D569" s="26" t="inlineStr">
        <is>
          <t>Review éditoriale</t>
        </is>
      </c>
      <c r="E569" s="26" t="inlineStr">
        <is>
          <t>headfonia.com</t>
        </is>
      </c>
      <c r="F569" s="23" t="inlineStr">
        <is>
          <t>https://www.headfonia.com/hiby-r2-fd1-beans-review/</t>
        </is>
      </c>
      <c r="G569" s="26" t="inlineStr">
        <is>
          <t>Oui</t>
        </is>
      </c>
      <c r="H569" s="26" t="inlineStr">
        <is>
          <t>Review / retour exploitable</t>
        </is>
      </c>
    </row>
    <row r="570">
      <c r="A570" s="26" t="inlineStr">
        <is>
          <t>HiBy</t>
        </is>
      </c>
      <c r="B570" s="26" t="inlineStr">
        <is>
          <t>FD1 &amp; Beans</t>
        </is>
      </c>
      <c r="C570" s="26" t="n">
        <v>3</v>
      </c>
      <c r="D570" s="26" t="inlineStr">
        <is>
          <t>Head-Fi reviews</t>
        </is>
      </c>
      <c r="E570" s="26" t="inlineStr">
        <is>
          <t>head-fi.org</t>
        </is>
      </c>
      <c r="F570" s="23" t="inlineStr">
        <is>
          <t>https://www.head-fi.org/showcase/hiby-fd1.24723/</t>
        </is>
      </c>
      <c r="G570" s="26" t="inlineStr">
        <is>
          <t>Oui</t>
        </is>
      </c>
      <c r="H570" s="26" t="inlineStr">
        <is>
          <t>Review / retour exploitable</t>
        </is>
      </c>
    </row>
    <row r="571">
      <c r="A571" s="26" t="inlineStr">
        <is>
          <t>iFi audio</t>
        </is>
      </c>
      <c r="B571" s="26" t="inlineStr">
        <is>
          <t>iDSD Valkyrie</t>
        </is>
      </c>
      <c r="C571" s="26" t="n">
        <v>1</v>
      </c>
      <c r="D571" s="26" t="inlineStr">
        <is>
          <t>Review éditoriale</t>
        </is>
      </c>
      <c r="E571" s="26" t="inlineStr">
        <is>
          <t>techradar.com</t>
        </is>
      </c>
      <c r="F571" s="23" t="inlineStr">
        <is>
          <t>https://www.techradar.com/audio/hi-fi/ifi-idsd-valkyrie-review</t>
        </is>
      </c>
      <c r="G571" s="26" t="inlineStr">
        <is>
          <t>Oui</t>
        </is>
      </c>
      <c r="H571" s="26" t="inlineStr">
        <is>
          <t>Review / retour exploitable</t>
        </is>
      </c>
    </row>
    <row r="572">
      <c r="A572" s="26" t="inlineStr">
        <is>
          <t>iFi audio</t>
        </is>
      </c>
      <c r="B572" s="26" t="inlineStr">
        <is>
          <t>iDSD Valkyrie</t>
        </is>
      </c>
      <c r="C572" s="26" t="n">
        <v>2</v>
      </c>
      <c r="D572" s="26" t="inlineStr">
        <is>
          <t>Review éditoriale</t>
        </is>
      </c>
      <c r="E572" s="26" t="inlineStr">
        <is>
          <t>headfonia.com</t>
        </is>
      </c>
      <c r="F572" s="23" t="inlineStr">
        <is>
          <t>https://www.headfonia.com/ifi-audio-valkyrie-review/</t>
        </is>
      </c>
      <c r="G572" s="26" t="inlineStr">
        <is>
          <t>Oui</t>
        </is>
      </c>
      <c r="H572" s="26" t="inlineStr">
        <is>
          <t>Review / retour exploitable</t>
        </is>
      </c>
    </row>
    <row r="573">
      <c r="A573" s="26" t="inlineStr">
        <is>
          <t>iFi audio</t>
        </is>
      </c>
      <c r="B573" s="26" t="inlineStr">
        <is>
          <t>iDSD Valkyrie</t>
        </is>
      </c>
      <c r="C573" s="26" t="n">
        <v>3</v>
      </c>
      <c r="D573" s="26" t="inlineStr">
        <is>
          <t>Review éditoriale</t>
        </is>
      </c>
      <c r="E573" s="26" t="inlineStr">
        <is>
          <t>hifioasis.com</t>
        </is>
      </c>
      <c r="F573" s="23" t="inlineStr">
        <is>
          <t>https://www.hifioasis.com/reviews/ifi-idsd-valkyrie-review/</t>
        </is>
      </c>
      <c r="G573" s="26" t="inlineStr">
        <is>
          <t>Oui</t>
        </is>
      </c>
      <c r="H573" s="26" t="inlineStr">
        <is>
          <t>Review / retour exploitable</t>
        </is>
      </c>
    </row>
    <row r="574">
      <c r="A574" s="26" t="inlineStr">
        <is>
          <t>iFi audio</t>
        </is>
      </c>
      <c r="B574" s="26" t="inlineStr">
        <is>
          <t>iDSD Valkyrie</t>
        </is>
      </c>
      <c r="C574" s="26" t="n">
        <v>4</v>
      </c>
      <c r="D574" s="26" t="inlineStr">
        <is>
          <t>Review éditoriale</t>
        </is>
      </c>
      <c r="E574" s="26" t="inlineStr">
        <is>
          <t>ecoustics.com</t>
        </is>
      </c>
      <c r="F574" s="23" t="inlineStr">
        <is>
          <t>https://www.ecoustics.com/reviews/ifi-idsd-valkyrie-2025/</t>
        </is>
      </c>
      <c r="G574" s="26" t="inlineStr">
        <is>
          <t>Oui</t>
        </is>
      </c>
      <c r="H574" s="26" t="inlineStr">
        <is>
          <t>Review / retour exploitable</t>
        </is>
      </c>
    </row>
    <row r="575">
      <c r="A575" s="26" t="inlineStr">
        <is>
          <t>FangSound</t>
        </is>
      </c>
      <c r="B575" s="26" t="inlineStr">
        <is>
          <t>Prometheus</t>
        </is>
      </c>
      <c r="C575" s="26" t="n">
        <v>1</v>
      </c>
      <c r="D575" s="26" t="inlineStr">
        <is>
          <t>Review éditoriale</t>
        </is>
      </c>
      <c r="E575" s="26" t="inlineStr">
        <is>
          <t>headphonesnstuff.blog</t>
        </is>
      </c>
      <c r="F575" s="23" t="inlineStr">
        <is>
          <t>https://headphonesnstuff.blog/2026/07/24/fangsound-prometheus-quick-impressions/</t>
        </is>
      </c>
      <c r="G575" s="26" t="inlineStr">
        <is>
          <t>Oui</t>
        </is>
      </c>
      <c r="H575" s="26" t="inlineStr">
        <is>
          <t>Review / retour exploitable</t>
        </is>
      </c>
    </row>
    <row r="576">
      <c r="A576" s="26" t="inlineStr">
        <is>
          <t>FangSound</t>
        </is>
      </c>
      <c r="B576" s="26" t="inlineStr">
        <is>
          <t>Prometheus</t>
        </is>
      </c>
      <c r="C576" s="26" t="n">
        <v>2</v>
      </c>
      <c r="D576" s="26" t="inlineStr">
        <is>
          <t>Communauté Reddit</t>
        </is>
      </c>
      <c r="E576" s="26" t="inlineStr">
        <is>
          <t>reddit.com</t>
        </is>
      </c>
      <c r="F576" s="23" t="inlineStr">
        <is>
          <t>https://www.reddit.com/r/mobileaudiophile/comments/1v6cofh/fangsound_prometheus_the_portable_powerhouse/</t>
        </is>
      </c>
      <c r="G576" s="26" t="inlineStr">
        <is>
          <t>Oui</t>
        </is>
      </c>
      <c r="H576" s="26" t="inlineStr">
        <is>
          <t>Review / retour exploitable</t>
        </is>
      </c>
    </row>
    <row r="577">
      <c r="A577" s="26" t="inlineStr">
        <is>
          <t>FangSound</t>
        </is>
      </c>
      <c r="B577" s="26" t="inlineStr">
        <is>
          <t>Prometheus</t>
        </is>
      </c>
      <c r="C577" s="26" t="n">
        <v>3</v>
      </c>
      <c r="D577" s="26" t="inlineStr">
        <is>
          <t>Forum / communauté</t>
        </is>
      </c>
      <c r="E577" s="26" t="inlineStr">
        <is>
          <t>mobile01.com</t>
        </is>
      </c>
      <c r="F577" s="23" t="inlineStr">
        <is>
          <t>https://www.mobile01.com/topicdetail.php?f=180&amp;t=7255482</t>
        </is>
      </c>
      <c r="G577" s="26" t="inlineStr">
        <is>
          <t>Oui</t>
        </is>
      </c>
      <c r="H577" s="26" t="inlineStr">
        <is>
          <t>Review / retour exploitable</t>
        </is>
      </c>
    </row>
    <row r="578">
      <c r="A578" s="26" t="inlineStr">
        <is>
          <t>xDuoo</t>
        </is>
      </c>
      <c r="B578" s="26" t="inlineStr">
        <is>
          <t>XD05T</t>
        </is>
      </c>
      <c r="C578" s="26" t="n">
        <v>1</v>
      </c>
      <c r="D578" s="26" t="inlineStr">
        <is>
          <t>Review éditoriale</t>
        </is>
      </c>
      <c r="E578" s="26" t="inlineStr">
        <is>
          <t>headfonics.com</t>
        </is>
      </c>
      <c r="F578" s="23" t="inlineStr">
        <is>
          <t>https://headfonics.com/xduoo-xd05t-review/</t>
        </is>
      </c>
      <c r="G578" s="26" t="inlineStr">
        <is>
          <t>Oui</t>
        </is>
      </c>
      <c r="H578" s="26" t="inlineStr">
        <is>
          <t>Review / retour exploitable</t>
        </is>
      </c>
    </row>
    <row r="579">
      <c r="A579" s="26" t="inlineStr">
        <is>
          <t>xDuoo</t>
        </is>
      </c>
      <c r="B579" s="26" t="inlineStr">
        <is>
          <t>XD05T</t>
        </is>
      </c>
      <c r="C579" s="26" t="n">
        <v>2</v>
      </c>
      <c r="D579" s="26" t="inlineStr">
        <is>
          <t>Head-Fi forum</t>
        </is>
      </c>
      <c r="E579" s="26" t="inlineStr">
        <is>
          <t>head-fi.org</t>
        </is>
      </c>
      <c r="F579" s="23" t="inlineStr">
        <is>
          <t>https://www.head-fi.org/threads/xduoo-xd05t-portable-dac-tube-amp.974289/</t>
        </is>
      </c>
      <c r="G579" s="26" t="inlineStr">
        <is>
          <t>Oui</t>
        </is>
      </c>
      <c r="H579" s="26" t="inlineStr">
        <is>
          <t>Review / retour exploitable</t>
        </is>
      </c>
    </row>
    <row r="580">
      <c r="A580" s="26" t="inlineStr">
        <is>
          <t>xDuoo</t>
        </is>
      </c>
      <c r="B580" s="26" t="inlineStr">
        <is>
          <t>XD05T</t>
        </is>
      </c>
      <c r="C580" s="26" t="n">
        <v>3</v>
      </c>
      <c r="D580" s="26" t="inlineStr">
        <is>
          <t>Review éditoriale</t>
        </is>
      </c>
      <c r="E580" s="26" t="inlineStr">
        <is>
          <t>techpowerup.com</t>
        </is>
      </c>
      <c r="F580" s="23" t="inlineStr">
        <is>
          <t>https://www.techpowerup.com/review/xduoo-xd05t-portable-dac-and-tube-amplifier/</t>
        </is>
      </c>
      <c r="G580" s="26" t="inlineStr">
        <is>
          <t>Oui</t>
        </is>
      </c>
      <c r="H580" s="26" t="inlineStr">
        <is>
          <t>Review / retour exploitable</t>
        </is>
      </c>
    </row>
    <row r="581">
      <c r="A581" s="26" t="inlineStr">
        <is>
          <t>xDuoo</t>
        </is>
      </c>
      <c r="B581" s="26" t="inlineStr">
        <is>
          <t>XD05T</t>
        </is>
      </c>
      <c r="C581" s="26" t="n">
        <v>4</v>
      </c>
      <c r="D581" s="26" t="inlineStr">
        <is>
          <t>Vidéo review</t>
        </is>
      </c>
      <c r="E581" s="26" t="inlineStr">
        <is>
          <t>youtube.com</t>
        </is>
      </c>
      <c r="F581" s="23" t="inlineStr">
        <is>
          <t>https://www.youtube.com/watch?v=EGP1yEA4QdU</t>
        </is>
      </c>
      <c r="G581" s="26" t="inlineStr">
        <is>
          <t>Oui</t>
        </is>
      </c>
      <c r="H581" s="26" t="inlineStr">
        <is>
          <t>Review / retour exploitable</t>
        </is>
      </c>
    </row>
    <row r="582">
      <c r="A582" s="26" t="inlineStr">
        <is>
          <t>iFi audio</t>
        </is>
      </c>
      <c r="B582" s="26" t="inlineStr">
        <is>
          <t>iDSD GR 2</t>
        </is>
      </c>
      <c r="C582" s="26" t="n">
        <v>1</v>
      </c>
      <c r="D582" s="26" t="inlineStr">
        <is>
          <t>Review éditoriale</t>
        </is>
      </c>
      <c r="E582" s="26" t="inlineStr">
        <is>
          <t>bloomaudio.com</t>
        </is>
      </c>
      <c r="F582" s="23" t="inlineStr">
        <is>
          <t>https://bloomaudio.com/blogs/articles/is-gr2-gr8-ifi-idsd-gr-2-gryphon-2-review</t>
        </is>
      </c>
      <c r="G582" s="26" t="inlineStr">
        <is>
          <t>Oui</t>
        </is>
      </c>
      <c r="H582" s="26" t="inlineStr">
        <is>
          <t>Review / retour exploitable</t>
        </is>
      </c>
    </row>
    <row r="583">
      <c r="A583" s="26" t="inlineStr">
        <is>
          <t>iFi audio</t>
        </is>
      </c>
      <c r="B583" s="26" t="inlineStr">
        <is>
          <t>iDSD GR 2</t>
        </is>
      </c>
      <c r="C583" s="26" t="n">
        <v>2</v>
      </c>
      <c r="D583" s="26" t="inlineStr">
        <is>
          <t>Review éditoriale</t>
        </is>
      </c>
      <c r="E583" s="26" t="inlineStr">
        <is>
          <t>audio46.com</t>
        </is>
      </c>
      <c r="F583" s="23" t="inlineStr">
        <is>
          <t>https://audio46.com/pt/blogs/headphones/ifi-idsd-gr-2-dacamp-review-a-new-portable-hi-fi-upgrade</t>
        </is>
      </c>
      <c r="G583" s="26" t="inlineStr">
        <is>
          <t>Oui</t>
        </is>
      </c>
      <c r="H583" s="26" t="inlineStr">
        <is>
          <t>Review / retour exploitable</t>
        </is>
      </c>
    </row>
    <row r="584">
      <c r="A584" s="26" t="inlineStr">
        <is>
          <t>iFi audio</t>
        </is>
      </c>
      <c r="B584" s="26" t="inlineStr">
        <is>
          <t>iDSD GR 2</t>
        </is>
      </c>
      <c r="C584" s="26" t="n">
        <v>3</v>
      </c>
      <c r="D584" s="26" t="inlineStr">
        <is>
          <t>Review éditoriale</t>
        </is>
      </c>
      <c r="E584" s="26" t="inlineStr">
        <is>
          <t>techradar.com</t>
        </is>
      </c>
      <c r="F584" s="23" t="inlineStr">
        <is>
          <t>https://www.techradar.com/audio/dacs/ifi-idsd-gr-2-hands-on</t>
        </is>
      </c>
      <c r="G584" s="26" t="inlineStr">
        <is>
          <t>Oui</t>
        </is>
      </c>
      <c r="H584" s="26" t="inlineStr">
        <is>
          <t>Review / retour exploitable</t>
        </is>
      </c>
    </row>
    <row r="585">
      <c r="A585" s="26" t="inlineStr">
        <is>
          <t>xDuoo</t>
        </is>
      </c>
      <c r="B585" s="26" t="inlineStr">
        <is>
          <t>XD05 BAL</t>
        </is>
      </c>
      <c r="C585" s="26" t="n">
        <v>1</v>
      </c>
      <c r="D585" s="26" t="inlineStr">
        <is>
          <t>Review éditoriale</t>
        </is>
      </c>
      <c r="E585" s="26" t="inlineStr">
        <is>
          <t>headfonia.com</t>
        </is>
      </c>
      <c r="F585" s="23" t="inlineStr">
        <is>
          <t>https://www.headfonia.com/xduoo-xd-05-bal-review/</t>
        </is>
      </c>
      <c r="G585" s="26" t="inlineStr">
        <is>
          <t>Oui</t>
        </is>
      </c>
      <c r="H585" s="26" t="inlineStr">
        <is>
          <t>Review / retour exploitable</t>
        </is>
      </c>
    </row>
    <row r="586">
      <c r="A586" s="26" t="inlineStr">
        <is>
          <t>xDuoo</t>
        </is>
      </c>
      <c r="B586" s="26" t="inlineStr">
        <is>
          <t>XD05 BAL</t>
        </is>
      </c>
      <c r="C586" s="26" t="n">
        <v>2</v>
      </c>
      <c r="D586" s="26" t="inlineStr">
        <is>
          <t>Head-Fi reviews</t>
        </is>
      </c>
      <c r="E586" s="26" t="inlineStr">
        <is>
          <t>head-fi.org</t>
        </is>
      </c>
      <c r="F586" s="23" t="inlineStr">
        <is>
          <t>https://www.head-fi.org/showcase/xduoo-xd-05-bal.25415/</t>
        </is>
      </c>
      <c r="G586" s="26" t="inlineStr">
        <is>
          <t>Oui</t>
        </is>
      </c>
      <c r="H586" s="26" t="inlineStr">
        <is>
          <t>Review / retour exploitable</t>
        </is>
      </c>
    </row>
    <row r="587">
      <c r="A587" s="26" t="inlineStr">
        <is>
          <t>xDuoo</t>
        </is>
      </c>
      <c r="B587" s="26" t="inlineStr">
        <is>
          <t>XD05 BAL</t>
        </is>
      </c>
      <c r="C587" s="26" t="n">
        <v>3</v>
      </c>
      <c r="D587" s="26" t="inlineStr">
        <is>
          <t>Review éditoriale</t>
        </is>
      </c>
      <c r="E587" s="26" t="inlineStr">
        <is>
          <t>primeaudio.org</t>
        </is>
      </c>
      <c r="F587" s="23" t="inlineStr">
        <is>
          <t>https://primeaudio.org/xduoo-xd05-bal-review/</t>
        </is>
      </c>
      <c r="G587" s="26" t="inlineStr">
        <is>
          <t>Oui</t>
        </is>
      </c>
      <c r="H587" s="26" t="inlineStr">
        <is>
          <t>Review / retour exploitable</t>
        </is>
      </c>
    </row>
    <row r="588">
      <c r="A588" s="26" t="inlineStr">
        <is>
          <t>xDuoo</t>
        </is>
      </c>
      <c r="B588" s="26" t="inlineStr">
        <is>
          <t>XD05 BAL</t>
        </is>
      </c>
      <c r="C588" s="26" t="n">
        <v>4</v>
      </c>
      <c r="D588" s="26" t="inlineStr">
        <is>
          <t>Review éditoriale</t>
        </is>
      </c>
      <c r="E588" s="26" t="inlineStr">
        <is>
          <t>soundnews.net</t>
        </is>
      </c>
      <c r="F588" s="23" t="inlineStr">
        <is>
          <t>https://soundnews.net/sources/dacs/xduoo-xd05-bal-review-deskop-power-on-the-go-v2-0/</t>
        </is>
      </c>
      <c r="G588" s="26" t="inlineStr">
        <is>
          <t>Oui</t>
        </is>
      </c>
      <c r="H588" s="26" t="inlineStr">
        <is>
          <t>Review / retour exploitable</t>
        </is>
      </c>
    </row>
    <row r="589">
      <c r="A589" s="26" t="inlineStr">
        <is>
          <t>FiiO</t>
        </is>
      </c>
      <c r="B589" s="26" t="inlineStr">
        <is>
          <t>BTR7</t>
        </is>
      </c>
      <c r="C589" s="26" t="n">
        <v>1</v>
      </c>
      <c r="D589" s="26" t="inlineStr">
        <is>
          <t>Review éditoriale</t>
        </is>
      </c>
      <c r="E589" s="26" t="inlineStr">
        <is>
          <t>ear-fidelity.com</t>
        </is>
      </c>
      <c r="F589" s="23" t="inlineStr">
        <is>
          <t>https://www.ear-fidelity.com/fiio-btr7-review/</t>
        </is>
      </c>
      <c r="G589" s="26" t="inlineStr">
        <is>
          <t>Oui</t>
        </is>
      </c>
      <c r="H589" s="26" t="inlineStr">
        <is>
          <t>Review / retour exploitable</t>
        </is>
      </c>
    </row>
    <row r="590">
      <c r="A590" s="26" t="inlineStr">
        <is>
          <t>FiiO</t>
        </is>
      </c>
      <c r="B590" s="26" t="inlineStr">
        <is>
          <t>BTR7</t>
        </is>
      </c>
      <c r="C590" s="26" t="n">
        <v>2</v>
      </c>
      <c r="D590" s="26" t="inlineStr">
        <is>
          <t>Head-Fi reviews</t>
        </is>
      </c>
      <c r="E590" s="26" t="inlineStr">
        <is>
          <t>head-fi.org</t>
        </is>
      </c>
      <c r="F590" s="23" t="inlineStr">
        <is>
          <t>https://www.head-fi.org/showcase/fiio-btr7.25949/reviews</t>
        </is>
      </c>
      <c r="G590" s="26" t="inlineStr">
        <is>
          <t>Oui</t>
        </is>
      </c>
      <c r="H590" s="26" t="inlineStr">
        <is>
          <t>Review / retour exploitable</t>
        </is>
      </c>
    </row>
    <row r="591">
      <c r="A591" s="26" t="inlineStr">
        <is>
          <t>FiiO</t>
        </is>
      </c>
      <c r="B591" s="26" t="inlineStr">
        <is>
          <t>BTR7</t>
        </is>
      </c>
      <c r="C591" s="26" t="n">
        <v>3</v>
      </c>
      <c r="D591" s="26" t="inlineStr">
        <is>
          <t>Review éditoriale</t>
        </is>
      </c>
      <c r="E591" s="26" t="inlineStr">
        <is>
          <t>headphonesty.com</t>
        </is>
      </c>
      <c r="F591" s="23" t="inlineStr">
        <is>
          <t>https://www.headphonesty.com/2023/01/review-fiio-btr7/</t>
        </is>
      </c>
      <c r="G591" s="26" t="inlineStr">
        <is>
          <t>Oui</t>
        </is>
      </c>
      <c r="H591" s="26" t="inlineStr">
        <is>
          <t>Review / retour exploitable</t>
        </is>
      </c>
    </row>
    <row r="592">
      <c r="A592" s="26" t="inlineStr">
        <is>
          <t>FiiO</t>
        </is>
      </c>
      <c r="B592" s="26" t="inlineStr">
        <is>
          <t>BTR7</t>
        </is>
      </c>
      <c r="C592" s="26" t="n">
        <v>4</v>
      </c>
      <c r="D592" s="26" t="inlineStr">
        <is>
          <t>Review éditoriale</t>
        </is>
      </c>
      <c r="E592" s="26" t="inlineStr">
        <is>
          <t>headfonia.com</t>
        </is>
      </c>
      <c r="F592" s="23" t="inlineStr">
        <is>
          <t>https://www.headfonia.com/fiio-btr7-review/</t>
        </is>
      </c>
      <c r="G592" s="26" t="inlineStr">
        <is>
          <t>Oui</t>
        </is>
      </c>
      <c r="H592" s="26" t="inlineStr">
        <is>
          <t>Review / retour exploitable</t>
        </is>
      </c>
    </row>
    <row r="593">
      <c r="A593" s="26" t="inlineStr">
        <is>
          <t>E1DA</t>
        </is>
      </c>
      <c r="B593" s="26" t="inlineStr">
        <is>
          <t>9039S</t>
        </is>
      </c>
      <c r="C593" s="26" t="n">
        <v>1</v>
      </c>
      <c r="D593" s="26" t="inlineStr">
        <is>
          <t>Head-Fi forum</t>
        </is>
      </c>
      <c r="E593" s="26" t="inlineStr">
        <is>
          <t>head-fi.org</t>
        </is>
      </c>
      <c r="F593" s="23" t="inlineStr">
        <is>
          <t>https://www.head-fi.org/threads/new-e1da-9039s-dongle.974377/</t>
        </is>
      </c>
      <c r="G593" s="26" t="inlineStr">
        <is>
          <t>Oui</t>
        </is>
      </c>
      <c r="H593" s="26" t="inlineStr">
        <is>
          <t>Review / retour exploitable</t>
        </is>
      </c>
    </row>
    <row r="594">
      <c r="A594" s="26" t="inlineStr">
        <is>
          <t>E1DA</t>
        </is>
      </c>
      <c r="B594" s="26" t="inlineStr">
        <is>
          <t>9039S</t>
        </is>
      </c>
      <c r="C594" s="26" t="n">
        <v>2</v>
      </c>
      <c r="D594" s="26" t="inlineStr">
        <is>
          <t>Mesures / technique</t>
        </is>
      </c>
      <c r="E594" s="26" t="inlineStr">
        <is>
          <t>archimago.blogspot.com</t>
        </is>
      </c>
      <c r="F594" s="23" t="inlineStr">
        <is>
          <t>https://archimago.blogspot.com/2024/03/early-look-part-i-e1da-9039s-usb.html</t>
        </is>
      </c>
      <c r="G594" s="26" t="inlineStr">
        <is>
          <t>Oui</t>
        </is>
      </c>
      <c r="H594" s="26" t="inlineStr">
        <is>
          <t>Review / retour exploitable</t>
        </is>
      </c>
    </row>
    <row r="595">
      <c r="A595" s="26" t="inlineStr">
        <is>
          <t>E1DA</t>
        </is>
      </c>
      <c r="B595" s="26" t="inlineStr">
        <is>
          <t>9039S</t>
        </is>
      </c>
      <c r="C595" s="26" t="n">
        <v>3</v>
      </c>
      <c r="D595" s="26" t="inlineStr">
        <is>
          <t>Avis utilisateurs revendeur</t>
        </is>
      </c>
      <c r="E595" s="26" t="inlineStr">
        <is>
          <t>audiophonics.fr</t>
        </is>
      </c>
      <c r="F595" s="23" t="inlineStr">
        <is>
          <t>https://www.audiophonics.fr/fr/avis-produits/e1da-9039s-dac-usb-amplificateur-casque-symetrique-es9039q2m-32bit-384khz-dsd256-20971</t>
        </is>
      </c>
      <c r="G595" s="26" t="inlineStr">
        <is>
          <t>Oui</t>
        </is>
      </c>
      <c r="H595" s="26" t="inlineStr">
        <is>
          <t>Review / retour exploitable</t>
        </is>
      </c>
    </row>
    <row r="596">
      <c r="A596" s="26" t="inlineStr">
        <is>
          <t>Aune</t>
        </is>
      </c>
      <c r="B596" s="26" t="inlineStr">
        <is>
          <t>Yuki</t>
        </is>
      </c>
      <c r="C596" s="26" t="n">
        <v>1</v>
      </c>
      <c r="D596" s="26" t="inlineStr">
        <is>
          <t>Review éditoriale</t>
        </is>
      </c>
      <c r="E596" s="26" t="inlineStr">
        <is>
          <t>mobileaudiophile.com</t>
        </is>
      </c>
      <c r="F596" s="23" t="inlineStr">
        <is>
          <t>https://mobileaudiophile.com/dacs/aune-yuki-review-transparent-precise-and-refined/</t>
        </is>
      </c>
      <c r="G596" s="26" t="inlineStr">
        <is>
          <t>Oui</t>
        </is>
      </c>
      <c r="H596" s="26" t="inlineStr">
        <is>
          <t>Review / retour exploitable</t>
        </is>
      </c>
    </row>
    <row r="597">
      <c r="A597" s="26" t="inlineStr">
        <is>
          <t>Aune</t>
        </is>
      </c>
      <c r="B597" s="26" t="inlineStr">
        <is>
          <t>Yuki</t>
        </is>
      </c>
      <c r="C597" s="26" t="n">
        <v>2</v>
      </c>
      <c r="D597" s="26" t="inlineStr">
        <is>
          <t>Head-Fi reviews</t>
        </is>
      </c>
      <c r="E597" s="26" t="inlineStr">
        <is>
          <t>head-fi.org</t>
        </is>
      </c>
      <c r="F597" s="23" t="inlineStr">
        <is>
          <t>https://www.head-fi.org/showcase/aune-yuki.26866/reviews</t>
        </is>
      </c>
      <c r="G597" s="26" t="inlineStr">
        <is>
          <t>Oui</t>
        </is>
      </c>
      <c r="H597" s="26" t="inlineStr">
        <is>
          <t>Review / retour exploitable</t>
        </is>
      </c>
    </row>
    <row r="598">
      <c r="A598" s="26" t="inlineStr">
        <is>
          <t>Aune</t>
        </is>
      </c>
      <c r="B598" s="26" t="inlineStr">
        <is>
          <t>Yuki</t>
        </is>
      </c>
      <c r="C598" s="26" t="n">
        <v>3</v>
      </c>
      <c r="D598" s="26" t="inlineStr">
        <is>
          <t>Review éditoriale</t>
        </is>
      </c>
      <c r="E598" s="26" t="inlineStr">
        <is>
          <t>ichos-reviews.com</t>
        </is>
      </c>
      <c r="F598" s="23" t="inlineStr">
        <is>
          <t>https://ichos-reviews.com/aune-yuki-review/</t>
        </is>
      </c>
      <c r="G598" s="26" t="inlineStr">
        <is>
          <t>Oui</t>
        </is>
      </c>
      <c r="H598" s="26" t="inlineStr">
        <is>
          <t>Review / retour exploitable. Corrigé le 07/08/2026 : Remplace headfonia.com/aune-yuki-review/ (404 au 07/08/2026 — review inexistante).</t>
        </is>
      </c>
    </row>
    <row r="599">
      <c r="A599" s="26" t="inlineStr">
        <is>
          <t>Aune</t>
        </is>
      </c>
      <c r="B599" s="26" t="inlineStr">
        <is>
          <t>Yuki</t>
        </is>
      </c>
      <c r="C599" s="26" t="n">
        <v>4</v>
      </c>
      <c r="D599" s="26" t="inlineStr">
        <is>
          <t>Communauté Reddit</t>
        </is>
      </c>
      <c r="E599" s="26" t="inlineStr">
        <is>
          <t>reddit.com</t>
        </is>
      </c>
      <c r="F599" s="23" t="inlineStr">
        <is>
          <t>https://www.reddit.com/r/headphones/comments/1ane18b</t>
        </is>
      </c>
      <c r="G599" s="26" t="inlineStr">
        <is>
          <t>Oui</t>
        </is>
      </c>
      <c r="H599" s="26" t="inlineStr">
        <is>
          <t>Review / retour exploitable</t>
        </is>
      </c>
    </row>
    <row r="600">
      <c r="A600" s="26" t="inlineStr">
        <is>
          <t>E1DA</t>
        </is>
      </c>
      <c r="B600" s="26" t="inlineStr">
        <is>
          <t>9038D6K</t>
        </is>
      </c>
      <c r="C600" s="26" t="n">
        <v>1</v>
      </c>
      <c r="D600" s="26" t="inlineStr">
        <is>
          <t>Mesures / technique</t>
        </is>
      </c>
      <c r="E600" s="26" t="inlineStr">
        <is>
          <t>archimago.blogspot.com</t>
        </is>
      </c>
      <c r="F600" s="23" t="inlineStr">
        <is>
          <t>https://archimago.blogspot.com/2022/12/review-e1da-9038d6k-dongle-dac.html</t>
        </is>
      </c>
      <c r="G600" s="26" t="inlineStr">
        <is>
          <t>Oui</t>
        </is>
      </c>
      <c r="H600" s="26" t="inlineStr">
        <is>
          <t>Review / retour exploitable</t>
        </is>
      </c>
    </row>
    <row r="601">
      <c r="A601" s="26" t="inlineStr">
        <is>
          <t>E1DA</t>
        </is>
      </c>
      <c r="B601" s="26" t="inlineStr">
        <is>
          <t>9038D6K</t>
        </is>
      </c>
      <c r="C601" s="26" t="n">
        <v>2</v>
      </c>
      <c r="D601" s="26" t="inlineStr">
        <is>
          <t>Mesures / technique</t>
        </is>
      </c>
      <c r="E601" s="26" t="inlineStr">
        <is>
          <t>archimago.blogspot.com</t>
        </is>
      </c>
      <c r="F601" s="23" t="inlineStr">
        <is>
          <t>https://archimago.blogspot.com/2022/12/review-e1da-9038d6k-dongle-dac_11.html</t>
        </is>
      </c>
      <c r="G601" s="26" t="inlineStr">
        <is>
          <t>Oui</t>
        </is>
      </c>
      <c r="H601" s="26" t="inlineStr">
        <is>
          <t>Review / retour exploitable</t>
        </is>
      </c>
    </row>
    <row r="602">
      <c r="A602" s="26" t="inlineStr">
        <is>
          <t>E1DA</t>
        </is>
      </c>
      <c r="B602" s="26" t="inlineStr">
        <is>
          <t>9038D6K</t>
        </is>
      </c>
      <c r="C602" s="26" t="n">
        <v>3</v>
      </c>
      <c r="D602" s="26" t="inlineStr">
        <is>
          <t>Head-Fi forum</t>
        </is>
      </c>
      <c r="E602" s="26" t="inlineStr">
        <is>
          <t>head-fi.org</t>
        </is>
      </c>
      <c r="F602" s="23" t="inlineStr">
        <is>
          <t>https://www.head-fi.org/threads/usb-c-to-3-5mm-adapters-dac-lets-find-the-best.908839/page-322</t>
        </is>
      </c>
      <c r="G602" s="26" t="inlineStr">
        <is>
          <t>Oui</t>
        </is>
      </c>
      <c r="H602" s="26" t="inlineStr">
        <is>
          <t>Review / retour exploitable</t>
        </is>
      </c>
    </row>
    <row r="603">
      <c r="A603" s="26" t="inlineStr">
        <is>
          <t>E1DA</t>
        </is>
      </c>
      <c r="B603" s="26" t="inlineStr">
        <is>
          <t>9038D6K</t>
        </is>
      </c>
      <c r="C603" s="26" t="n">
        <v>4</v>
      </c>
      <c r="D603" s="26" t="inlineStr">
        <is>
          <t>Avis utilisateurs revendeur</t>
        </is>
      </c>
      <c r="E603" s="26" t="inlineStr">
        <is>
          <t>audiophonics.fr</t>
        </is>
      </c>
      <c r="F603" s="23" t="inlineStr">
        <is>
          <t>https://www.audiophonics.fr/en/products-reviews/e1da-9038d6k-balanced-headphone-amplifier-usb-dac-es9038q2m-ad8397-32bit-384khz-dsd256-17305</t>
        </is>
      </c>
      <c r="G603" s="26" t="inlineStr">
        <is>
          <t>Oui</t>
        </is>
      </c>
      <c r="H603" s="26" t="inlineStr">
        <is>
          <t>Review / retour exploitable</t>
        </is>
      </c>
    </row>
    <row r="604">
      <c r="A604" s="26" t="inlineStr">
        <is>
          <t>iFi audio</t>
        </is>
      </c>
      <c r="B604" s="26" t="inlineStr">
        <is>
          <t>GO Blu Air</t>
        </is>
      </c>
      <c r="C604" s="26" t="n">
        <v>1</v>
      </c>
      <c r="D604" s="26" t="inlineStr">
        <is>
          <t>Review éditoriale</t>
        </is>
      </c>
      <c r="E604" s="26" t="inlineStr">
        <is>
          <t>techradar.com</t>
        </is>
      </c>
      <c r="F604" s="23" t="inlineStr">
        <is>
          <t>https://www.techradar.com/audio/dacs/ifi-go-blu-air-review</t>
        </is>
      </c>
      <c r="G604" s="26" t="inlineStr">
        <is>
          <t>Oui</t>
        </is>
      </c>
      <c r="H604" s="26" t="inlineStr">
        <is>
          <t>Review / retour exploitable</t>
        </is>
      </c>
    </row>
    <row r="605">
      <c r="A605" s="26" t="inlineStr">
        <is>
          <t>iFi audio</t>
        </is>
      </c>
      <c r="B605" s="26" t="inlineStr">
        <is>
          <t>GO Blu Air</t>
        </is>
      </c>
      <c r="C605" s="26" t="n">
        <v>2</v>
      </c>
      <c r="D605" s="26" t="inlineStr">
        <is>
          <t>Review éditoriale</t>
        </is>
      </c>
      <c r="E605" s="26" t="inlineStr">
        <is>
          <t>audioreviews.org</t>
        </is>
      </c>
      <c r="F605" s="23" t="inlineStr">
        <is>
          <t>https://www.audioreviews.org/ifi-go-blu-air-review/</t>
        </is>
      </c>
      <c r="G605" s="26" t="inlineStr">
        <is>
          <t>Oui</t>
        </is>
      </c>
      <c r="H605" s="26" t="inlineStr">
        <is>
          <t>Review / retour exploitable</t>
        </is>
      </c>
    </row>
    <row r="606">
      <c r="A606" s="26" t="inlineStr">
        <is>
          <t>iFi audio</t>
        </is>
      </c>
      <c r="B606" s="26" t="inlineStr">
        <is>
          <t>GO Blu Air</t>
        </is>
      </c>
      <c r="C606" s="26" t="n">
        <v>3</v>
      </c>
      <c r="D606" s="26" t="inlineStr">
        <is>
          <t>Review éditoriale</t>
        </is>
      </c>
      <c r="E606" s="26" t="inlineStr">
        <is>
          <t>primeaudio.org</t>
        </is>
      </c>
      <c r="F606" s="23" t="inlineStr">
        <is>
          <t>https://primeaudio.org/ifi-go-blu-air-review/</t>
        </is>
      </c>
      <c r="G606" s="26" t="inlineStr">
        <is>
          <t>Oui</t>
        </is>
      </c>
      <c r="H606" s="26" t="inlineStr">
        <is>
          <t>Review / retour exploitable</t>
        </is>
      </c>
    </row>
    <row r="607">
      <c r="A607" s="26" t="inlineStr">
        <is>
          <t>iFi audio</t>
        </is>
      </c>
      <c r="B607" s="26" t="inlineStr">
        <is>
          <t>GO Blu Air</t>
        </is>
      </c>
      <c r="C607" s="26" t="n">
        <v>4</v>
      </c>
      <c r="D607" s="26" t="inlineStr">
        <is>
          <t>Review éditoriale</t>
        </is>
      </c>
      <c r="E607" s="26" t="inlineStr">
        <is>
          <t>theheadphonelist.com</t>
        </is>
      </c>
      <c r="F607" s="23" t="inlineStr">
        <is>
          <t>https://theheadphonelist.com/ifi-go-blu-air-review-excellent-wireless-dac-amp/</t>
        </is>
      </c>
      <c r="G607" s="26" t="inlineStr">
        <is>
          <t>Oui</t>
        </is>
      </c>
      <c r="H607" s="26" t="inlineStr">
        <is>
          <t>Review / retour exploitable</t>
        </is>
      </c>
    </row>
    <row r="608">
      <c r="A608" s="26" t="inlineStr">
        <is>
          <t>E1DA</t>
        </is>
      </c>
      <c r="B608" s="26" t="inlineStr">
        <is>
          <t>9038S Gen 3</t>
        </is>
      </c>
      <c r="C608" s="26" t="n">
        <v>1</v>
      </c>
      <c r="D608" s="26" t="inlineStr">
        <is>
          <t>Review éditoriale</t>
        </is>
      </c>
      <c r="E608" s="26" t="inlineStr">
        <is>
          <t>audioreviews.org</t>
        </is>
      </c>
      <c r="F608" s="23" t="inlineStr">
        <is>
          <t>https://www.audioreviews.org/e1da-9038sg3-and-9038d-review/</t>
        </is>
      </c>
      <c r="G608" s="26" t="inlineStr">
        <is>
          <t>Oui</t>
        </is>
      </c>
      <c r="H608" s="26" t="inlineStr">
        <is>
          <t>Review / retour exploitable</t>
        </is>
      </c>
    </row>
    <row r="609">
      <c r="A609" s="26" t="inlineStr">
        <is>
          <t>E1DA</t>
        </is>
      </c>
      <c r="B609" s="26" t="inlineStr">
        <is>
          <t>9038S Gen 3</t>
        </is>
      </c>
      <c r="C609" s="26" t="n">
        <v>2</v>
      </c>
      <c r="D609" s="26" t="inlineStr">
        <is>
          <t>Mesures/technique</t>
        </is>
      </c>
      <c r="E609" s="26" t="inlineStr">
        <is>
          <t>l7audiolab.com</t>
        </is>
      </c>
      <c r="F609" s="23" t="inlineStr">
        <is>
          <t>https://www.l7audiolab.com/f/e1da-9038sg3/</t>
        </is>
      </c>
      <c r="G609" s="26" t="inlineStr">
        <is>
          <t>Oui</t>
        </is>
      </c>
      <c r="H609" s="26" t="inlineStr">
        <is>
          <t>Review / retour exploitable</t>
        </is>
      </c>
    </row>
    <row r="610">
      <c r="A610" s="26" t="inlineStr">
        <is>
          <t>E1DA</t>
        </is>
      </c>
      <c r="B610" s="26" t="inlineStr">
        <is>
          <t>9038S Gen 3</t>
        </is>
      </c>
      <c r="C610" s="26" t="n">
        <v>3</v>
      </c>
      <c r="D610" s="26" t="inlineStr">
        <is>
          <t>Review vidéo</t>
        </is>
      </c>
      <c r="E610" s="26" t="inlineStr">
        <is>
          <t>porta.fi</t>
        </is>
      </c>
      <c r="F610" s="23" t="inlineStr">
        <is>
          <t>https://porta.fi/e1da-9038s-third-generation-dac-review/</t>
        </is>
      </c>
      <c r="G610" s="26" t="inlineStr">
        <is>
          <t>Oui</t>
        </is>
      </c>
      <c r="H610" s="26" t="inlineStr">
        <is>
          <t>Review / retour exploitable</t>
        </is>
      </c>
    </row>
    <row r="611">
      <c r="A611" s="26" t="inlineStr">
        <is>
          <t>iBasso</t>
        </is>
      </c>
      <c r="B611" s="26" t="inlineStr">
        <is>
          <t>DC04U Ultra</t>
        </is>
      </c>
      <c r="C611" s="26" t="n">
        <v>1</v>
      </c>
      <c r="D611" s="26" t="inlineStr">
        <is>
          <t>Review éditoriale</t>
        </is>
      </c>
      <c r="E611" s="26" t="inlineStr">
        <is>
          <t>headfonia.com</t>
        </is>
      </c>
      <c r="F611" s="23" t="inlineStr">
        <is>
          <t>https://www.headfonia.com/ibasso-dc04u-review/</t>
        </is>
      </c>
      <c r="G611" s="26" t="inlineStr">
        <is>
          <t>Oui</t>
        </is>
      </c>
      <c r="H611" s="26" t="inlineStr">
        <is>
          <t>Review / retour exploitable</t>
        </is>
      </c>
    </row>
    <row r="612">
      <c r="A612" s="26" t="inlineStr">
        <is>
          <t>iBasso</t>
        </is>
      </c>
      <c r="B612" s="26" t="inlineStr">
        <is>
          <t>DC04U Ultra</t>
        </is>
      </c>
      <c r="C612" s="26" t="n">
        <v>2</v>
      </c>
      <c r="D612" s="26" t="inlineStr">
        <is>
          <t>Review éditoriale</t>
        </is>
      </c>
      <c r="E612" s="26" t="inlineStr">
        <is>
          <t>moonstarreviews.net</t>
        </is>
      </c>
      <c r="F612" s="23" t="inlineStr">
        <is>
          <t>https://moonstarreviews.net/ibasso-dc04-ultra-review/</t>
        </is>
      </c>
      <c r="G612" s="26" t="inlineStr">
        <is>
          <t>Oui</t>
        </is>
      </c>
      <c r="H612" s="26" t="inlineStr">
        <is>
          <t>Review / retour exploitable</t>
        </is>
      </c>
    </row>
    <row r="613">
      <c r="A613" s="26" t="inlineStr">
        <is>
          <t>iBasso</t>
        </is>
      </c>
      <c r="B613" s="26" t="inlineStr">
        <is>
          <t>DC04U Ultra</t>
        </is>
      </c>
      <c r="C613" s="26" t="n">
        <v>3</v>
      </c>
      <c r="D613" s="26" t="inlineStr">
        <is>
          <t>Communauté Reddit</t>
        </is>
      </c>
      <c r="E613" s="26" t="inlineStr">
        <is>
          <t>reddit.com</t>
        </is>
      </c>
      <c r="F613" s="23" t="inlineStr">
        <is>
          <t>https://www.reddit.com/r/iems/comments/1tfj68o/ibasso_dc04_ultra_my_experience/</t>
        </is>
      </c>
      <c r="G613" s="26" t="inlineStr">
        <is>
          <t>Oui</t>
        </is>
      </c>
      <c r="H613" s="26" t="inlineStr">
        <is>
          <t>Review / retour exploitable</t>
        </is>
      </c>
    </row>
    <row r="614">
      <c r="A614" s="26" t="inlineStr">
        <is>
          <t>iBasso</t>
        </is>
      </c>
      <c r="B614" s="26" t="inlineStr">
        <is>
          <t>DC04U Ultra</t>
        </is>
      </c>
      <c r="C614" s="26" t="n">
        <v>4</v>
      </c>
      <c r="D614" s="26" t="inlineStr">
        <is>
          <t>Vidéo review</t>
        </is>
      </c>
      <c r="E614" s="26" t="inlineStr">
        <is>
          <t>youtube.com</t>
        </is>
      </c>
      <c r="F614" s="23" t="inlineStr">
        <is>
          <t>https://www.youtube.com/watch?v=dJ1uJow2sqw</t>
        </is>
      </c>
      <c r="G614" s="26" t="inlineStr">
        <is>
          <t>Oui</t>
        </is>
      </c>
      <c r="H614" s="26" t="inlineStr">
        <is>
          <t>Review / retour exploitable</t>
        </is>
      </c>
    </row>
    <row r="615">
      <c r="A615" s="26" t="inlineStr">
        <is>
          <t>Aiyima</t>
        </is>
      </c>
      <c r="B615" s="26" t="inlineStr">
        <is>
          <t>H4</t>
        </is>
      </c>
      <c r="C615" s="26" t="n">
        <v>1</v>
      </c>
      <c r="D615" s="26" t="inlineStr">
        <is>
          <t>Review éditoriale</t>
        </is>
      </c>
      <c r="E615" s="26" t="inlineStr">
        <is>
          <t>klein.tistory.com</t>
        </is>
      </c>
      <c r="F615" s="23" t="inlineStr">
        <is>
          <t>https://klein.tistory.com/8312</t>
        </is>
      </c>
      <c r="G615" s="26" t="inlineStr">
        <is>
          <t>Oui</t>
        </is>
      </c>
      <c r="H615" s="26" t="inlineStr">
        <is>
          <t>Review / retour exploitable</t>
        </is>
      </c>
    </row>
    <row r="616">
      <c r="A616" s="26" t="inlineStr">
        <is>
          <t>Aiyima</t>
        </is>
      </c>
      <c r="B616" s="26" t="inlineStr">
        <is>
          <t>H4</t>
        </is>
      </c>
      <c r="C616" s="26" t="n">
        <v>2</v>
      </c>
      <c r="D616" s="26" t="inlineStr">
        <is>
          <t>Vidéo review</t>
        </is>
      </c>
      <c r="E616" s="26" t="inlineStr">
        <is>
          <t>youtube.com</t>
        </is>
      </c>
      <c r="F616" s="23" t="inlineStr">
        <is>
          <t>https://www.youtube.com/watch?v=R0sCeACSFhs</t>
        </is>
      </c>
      <c r="G616" s="26" t="inlineStr">
        <is>
          <t>Oui</t>
        </is>
      </c>
      <c r="H616" s="26" t="inlineStr">
        <is>
          <t>Review / retour exploitable</t>
        </is>
      </c>
    </row>
    <row r="617">
      <c r="A617" s="26" t="inlineStr">
        <is>
          <t>Aiyima</t>
        </is>
      </c>
      <c r="B617" s="26" t="inlineStr">
        <is>
          <t>H4</t>
        </is>
      </c>
      <c r="C617" s="26" t="n">
        <v>3</v>
      </c>
      <c r="D617" s="26" t="inlineStr">
        <is>
          <t>Vidéo review</t>
        </is>
      </c>
      <c r="E617" s="26" t="inlineStr">
        <is>
          <t>youtube.com</t>
        </is>
      </c>
      <c r="F617" s="23" t="inlineStr">
        <is>
          <t>https://www.youtube.com/watch?v=uP1mge5SFmI</t>
        </is>
      </c>
      <c r="G617" s="26" t="inlineStr">
        <is>
          <t>Oui</t>
        </is>
      </c>
      <c r="H617" s="26" t="inlineStr">
        <is>
          <t>Review / retour exploitable</t>
        </is>
      </c>
    </row>
    <row r="618">
      <c r="A618" s="26" t="inlineStr">
        <is>
          <t>Aune</t>
        </is>
      </c>
      <c r="B618" s="26" t="inlineStr">
        <is>
          <t>Yuki SE</t>
        </is>
      </c>
      <c r="C618" s="26" t="n">
        <v>1</v>
      </c>
      <c r="D618" s="26" t="inlineStr">
        <is>
          <t>Communauté Reddit</t>
        </is>
      </c>
      <c r="E618" s="26" t="inlineStr">
        <is>
          <t>reddit.com</t>
        </is>
      </c>
      <c r="F618" s="23" t="inlineStr">
        <is>
          <t>https://www.reddit.com/r/headphones/comments/1ix3pwo</t>
        </is>
      </c>
      <c r="G618" s="26" t="inlineStr">
        <is>
          <t>Oui</t>
        </is>
      </c>
      <c r="H618" s="26" t="inlineStr">
        <is>
          <t>Review / retour exploitable</t>
        </is>
      </c>
    </row>
    <row r="619">
      <c r="A619" s="26" t="inlineStr">
        <is>
          <t>Aune</t>
        </is>
      </c>
      <c r="B619" s="26" t="inlineStr">
        <is>
          <t>Yuki SE</t>
        </is>
      </c>
      <c r="C619" s="26" t="n">
        <v>2</v>
      </c>
      <c r="D619" s="26" t="inlineStr">
        <is>
          <t>Review éditoriale</t>
        </is>
      </c>
      <c r="E619" s="26" t="inlineStr">
        <is>
          <t>hifidudes.com</t>
        </is>
      </c>
      <c r="F619" s="23" t="inlineStr">
        <is>
          <t>https://hifidudes.com/dac/aune-yuki-se-portable-dac-that-doubles-as-a-headphone-amplifier/</t>
        </is>
      </c>
      <c r="G619" s="26" t="inlineStr">
        <is>
          <t>Oui</t>
        </is>
      </c>
      <c r="H619" s="26" t="inlineStr">
        <is>
          <t>Review / retour exploitable</t>
        </is>
      </c>
    </row>
    <row r="620">
      <c r="A620" s="26" t="inlineStr">
        <is>
          <t>Aune</t>
        </is>
      </c>
      <c r="B620" s="26" t="inlineStr">
        <is>
          <t>Yuki SE</t>
        </is>
      </c>
      <c r="C620" s="26" t="n">
        <v>3</v>
      </c>
      <c r="D620" s="26" t="inlineStr">
        <is>
          <t>Communauté Reddit</t>
        </is>
      </c>
      <c r="E620" s="26" t="inlineStr">
        <is>
          <t>reddit.com</t>
        </is>
      </c>
      <c r="F620" s="23" t="inlineStr">
        <is>
          <t>https://www.reddit.com/r/iems/comments/1ly3xc3</t>
        </is>
      </c>
      <c r="G620" s="26" t="inlineStr">
        <is>
          <t>Oui</t>
        </is>
      </c>
      <c r="H620" s="26" t="inlineStr">
        <is>
          <t>Review / retour exploitable</t>
        </is>
      </c>
    </row>
    <row r="621">
      <c r="A621" s="26" t="inlineStr">
        <is>
          <t>Tanchjim</t>
        </is>
      </c>
      <c r="B621" s="26" t="inlineStr">
        <is>
          <t>Space Pro</t>
        </is>
      </c>
      <c r="C621" s="26" t="n">
        <v>1</v>
      </c>
      <c r="D621" s="26" t="inlineStr">
        <is>
          <t>Review éditoriale</t>
        </is>
      </c>
      <c r="E621" s="26" t="inlineStr">
        <is>
          <t>pragmaticaudio.com</t>
        </is>
      </c>
      <c r="F621" s="23" t="inlineStr">
        <is>
          <t>https://www.pragmaticaudio.com/reviews/2026/07/tanchjim-space-pro/</t>
        </is>
      </c>
      <c r="G621" s="26" t="inlineStr">
        <is>
          <t>Oui</t>
        </is>
      </c>
      <c r="H621" s="26" t="inlineStr">
        <is>
          <t>Review / retour exploitable</t>
        </is>
      </c>
    </row>
    <row r="622">
      <c r="A622" s="26" t="inlineStr">
        <is>
          <t>Tanchjim</t>
        </is>
      </c>
      <c r="B622" s="26" t="inlineStr">
        <is>
          <t>Space Pro</t>
        </is>
      </c>
      <c r="C622" s="26" t="n">
        <v>2</v>
      </c>
      <c r="D622" s="26" t="inlineStr">
        <is>
          <t>Communauté Reddit</t>
        </is>
      </c>
      <c r="E622" s="26" t="inlineStr">
        <is>
          <t>reddit.com</t>
        </is>
      </c>
      <c r="F622" s="23" t="inlineStr">
        <is>
          <t>https://www.reddit.com/r/inearfidelity/comments/1sxa6ic/tiny_dongle_unreasonably_big_power_space_pro/</t>
        </is>
      </c>
      <c r="G622" s="26" t="inlineStr">
        <is>
          <t>Oui</t>
        </is>
      </c>
      <c r="H622" s="26" t="inlineStr">
        <is>
          <t>Review / retour exploitable</t>
        </is>
      </c>
    </row>
    <row r="623">
      <c r="A623" s="26" t="inlineStr">
        <is>
          <t>Tanchjim</t>
        </is>
      </c>
      <c r="B623" s="26" t="inlineStr">
        <is>
          <t>Space Pro</t>
        </is>
      </c>
      <c r="C623" s="26" t="n">
        <v>3</v>
      </c>
      <c r="D623" s="26" t="inlineStr">
        <is>
          <t>Communauté Reddit</t>
        </is>
      </c>
      <c r="E623" s="26" t="inlineStr">
        <is>
          <t>reddit.com</t>
        </is>
      </c>
      <c r="F623" s="23" t="inlineStr">
        <is>
          <t>https://www.reddit.com/r/Chifi/comments/1sar6cg/tanchjim_space_pro_review_worthy_to_be_called_a/</t>
        </is>
      </c>
      <c r="G623" s="26" t="inlineStr">
        <is>
          <t>Oui</t>
        </is>
      </c>
      <c r="H623" s="26" t="inlineStr">
        <is>
          <t>Review / retour exploitable</t>
        </is>
      </c>
    </row>
    <row r="624">
      <c r="A624" s="26" t="inlineStr">
        <is>
          <t>Tanchjim</t>
        </is>
      </c>
      <c r="B624" s="26" t="inlineStr">
        <is>
          <t>Space Pro</t>
        </is>
      </c>
      <c r="C624" s="26" t="n">
        <v>4</v>
      </c>
      <c r="D624" s="26" t="inlineStr">
        <is>
          <t>Communauté Reddit</t>
        </is>
      </c>
      <c r="E624" s="26" t="inlineStr">
        <is>
          <t>reddit.com</t>
        </is>
      </c>
      <c r="F624" s="23" t="inlineStr">
        <is>
          <t>https://www.reddit.com/r/IemReviews/comments/1uxym4s/tanchjim_space_pro_dac_amp_review_99_comparative/</t>
        </is>
      </c>
      <c r="G624" s="26" t="inlineStr">
        <is>
          <t>Oui</t>
        </is>
      </c>
      <c r="H624" s="26" t="inlineStr">
        <is>
          <t>Review / retour exploitable</t>
        </is>
      </c>
    </row>
    <row r="625">
      <c r="A625" s="26" t="inlineStr">
        <is>
          <t>Fosi Audio</t>
        </is>
      </c>
      <c r="B625" s="26" t="inlineStr">
        <is>
          <t>DS3</t>
        </is>
      </c>
      <c r="C625" s="26" t="n">
        <v>1</v>
      </c>
      <c r="D625" s="26" t="inlineStr">
        <is>
          <t>Review éditoriale</t>
        </is>
      </c>
      <c r="E625" s="26" t="inlineStr">
        <is>
          <t>mobileaudiophile.com</t>
        </is>
      </c>
      <c r="F625" s="23" t="inlineStr">
        <is>
          <t>https://mobileaudiophile.com/dacs/dongle/fosi-audio-ds3-dongle-dac-review-xmos-powered-sabre/</t>
        </is>
      </c>
      <c r="G625" s="26" t="inlineStr">
        <is>
          <t>Oui</t>
        </is>
      </c>
      <c r="H625" s="26" t="inlineStr">
        <is>
          <t>Review / retour exploitable</t>
        </is>
      </c>
    </row>
    <row r="626">
      <c r="A626" s="26" t="inlineStr">
        <is>
          <t>Fosi Audio</t>
        </is>
      </c>
      <c r="B626" s="26" t="inlineStr">
        <is>
          <t>DS3</t>
        </is>
      </c>
      <c r="C626" s="26" t="n">
        <v>2</v>
      </c>
      <c r="D626" s="26" t="inlineStr">
        <is>
          <t>Review éditoriale</t>
        </is>
      </c>
      <c r="E626" s="26" t="inlineStr">
        <is>
          <t>audiophile-heaven.com</t>
        </is>
      </c>
      <c r="F626" s="23" t="inlineStr">
        <is>
          <t>https://www.audiophile-heaven.com/2026/04/fosi-audio-ds3-dongle-dac-amp-review-they-got-me-twice.html</t>
        </is>
      </c>
      <c r="G626" s="26" t="inlineStr">
        <is>
          <t>Oui</t>
        </is>
      </c>
      <c r="H626" s="26" t="inlineStr">
        <is>
          <t>Review / retour exploitable</t>
        </is>
      </c>
    </row>
    <row r="627">
      <c r="A627" s="26" t="inlineStr">
        <is>
          <t>Fosi Audio</t>
        </is>
      </c>
      <c r="B627" s="26" t="inlineStr">
        <is>
          <t>DS3</t>
        </is>
      </c>
      <c r="C627" s="26" t="n">
        <v>3</v>
      </c>
      <c r="D627" s="26" t="inlineStr">
        <is>
          <t>Review éditoriale</t>
        </is>
      </c>
      <c r="E627" s="26" t="inlineStr">
        <is>
          <t>pragmaticaudio.com</t>
        </is>
      </c>
      <c r="F627" s="23" t="inlineStr">
        <is>
          <t>https://www.pragmaticaudio.com/reviews/2026/03/fosi-audio-ds3/</t>
        </is>
      </c>
      <c r="G627" s="26" t="inlineStr">
        <is>
          <t>Oui</t>
        </is>
      </c>
      <c r="H627" s="26" t="inlineStr">
        <is>
          <t>Review / retour exploitable</t>
        </is>
      </c>
    </row>
    <row r="628">
      <c r="A628" s="26" t="inlineStr">
        <is>
          <t>Fosi Audio</t>
        </is>
      </c>
      <c r="B628" s="26" t="inlineStr">
        <is>
          <t>DS3</t>
        </is>
      </c>
      <c r="C628" s="26" t="n">
        <v>4</v>
      </c>
      <c r="D628" s="26" t="inlineStr">
        <is>
          <t>Review éditoriale</t>
        </is>
      </c>
      <c r="E628" s="26" t="inlineStr">
        <is>
          <t>homestudiobasics.com</t>
        </is>
      </c>
      <c r="F628" s="23" t="inlineStr">
        <is>
          <t>https://homestudiobasics.com/fosi-audio-ds3-review/</t>
        </is>
      </c>
      <c r="G628" s="26" t="inlineStr">
        <is>
          <t>Oui</t>
        </is>
      </c>
      <c r="H628" s="26" t="inlineStr">
        <is>
          <t>Review / retour exploitable</t>
        </is>
      </c>
    </row>
    <row r="629">
      <c r="A629" s="26" t="inlineStr">
        <is>
          <t>Fosi Audio</t>
        </is>
      </c>
      <c r="B629" s="26" t="inlineStr">
        <is>
          <t>SK02</t>
        </is>
      </c>
      <c r="C629" s="26" t="n">
        <v>1</v>
      </c>
      <c r="D629" s="26" t="inlineStr">
        <is>
          <t>Review éditoriale</t>
        </is>
      </c>
      <c r="E629" s="26" t="inlineStr">
        <is>
          <t>headfonia.com</t>
        </is>
      </c>
      <c r="F629" s="23" t="inlineStr">
        <is>
          <t>https://www.headfonia.com/fosi-sk02-review/</t>
        </is>
      </c>
      <c r="G629" s="26" t="inlineStr">
        <is>
          <t>Oui</t>
        </is>
      </c>
      <c r="H629" s="26" t="inlineStr">
        <is>
          <t>Review / retour exploitable</t>
        </is>
      </c>
    </row>
    <row r="630">
      <c r="A630" s="26" t="inlineStr">
        <is>
          <t>Fosi Audio</t>
        </is>
      </c>
      <c r="B630" s="26" t="inlineStr">
        <is>
          <t>SK02</t>
        </is>
      </c>
      <c r="C630" s="26" t="n">
        <v>2</v>
      </c>
      <c r="D630" s="26" t="inlineStr">
        <is>
          <t>Review éditoriale</t>
        </is>
      </c>
      <c r="E630" s="26" t="inlineStr">
        <is>
          <t>mobileaudiophile.com</t>
        </is>
      </c>
      <c r="F630" s="23" t="inlineStr">
        <is>
          <t>https://mobileaudiophile.com/dacs/fosi-audio-sk02-dac-amp-review-the-chunky-boy/</t>
        </is>
      </c>
      <c r="G630" s="26" t="inlineStr">
        <is>
          <t>Oui</t>
        </is>
      </c>
      <c r="H630" s="26" t="inlineStr">
        <is>
          <t>Review / retour exploitable</t>
        </is>
      </c>
    </row>
    <row r="631">
      <c r="A631" s="26" t="inlineStr">
        <is>
          <t>Fosi Audio</t>
        </is>
      </c>
      <c r="B631" s="26" t="inlineStr">
        <is>
          <t>SK02</t>
        </is>
      </c>
      <c r="C631" s="26" t="n">
        <v>3</v>
      </c>
      <c r="D631" s="26" t="inlineStr">
        <is>
          <t>Head-Fi reviews</t>
        </is>
      </c>
      <c r="E631" s="26" t="inlineStr">
        <is>
          <t>head-fi.org</t>
        </is>
      </c>
      <c r="F631" s="23" t="inlineStr">
        <is>
          <t>https://www.head-fi.org/showcase/fosi-audio-sk02.27000/reviews</t>
        </is>
      </c>
      <c r="G631" s="26" t="inlineStr">
        <is>
          <t>Oui</t>
        </is>
      </c>
      <c r="H631" s="26" t="inlineStr">
        <is>
          <t>Review / retour exploitable</t>
        </is>
      </c>
    </row>
    <row r="632">
      <c r="A632" s="26" t="inlineStr">
        <is>
          <t>Fosi Audio</t>
        </is>
      </c>
      <c r="B632" s="26" t="inlineStr">
        <is>
          <t>SK02</t>
        </is>
      </c>
      <c r="C632" s="26" t="n">
        <v>4</v>
      </c>
      <c r="D632" s="26" t="inlineStr">
        <is>
          <t>Review éditoriale</t>
        </is>
      </c>
      <c r="E632" s="26" t="inlineStr">
        <is>
          <t>hlplanet.com</t>
        </is>
      </c>
      <c r="F632" s="23" t="inlineStr">
        <is>
          <t>https://www.hlplanet.com/fosi-audio-sk02-review/</t>
        </is>
      </c>
      <c r="G632" s="26" t="inlineStr">
        <is>
          <t>Oui</t>
        </is>
      </c>
      <c r="H632" s="26" t="inlineStr">
        <is>
          <t>Review / retour exploitable</t>
        </is>
      </c>
    </row>
    <row r="633">
      <c r="A633" s="26" t="inlineStr">
        <is>
          <t>CrinEar</t>
        </is>
      </c>
      <c r="B633" s="26" t="inlineStr">
        <is>
          <t>Protocol Max</t>
        </is>
      </c>
      <c r="C633" s="26" t="n">
        <v>1</v>
      </c>
      <c r="D633" s="26" t="inlineStr">
        <is>
          <t>Fiche / republication constructeur</t>
        </is>
      </c>
      <c r="E633" s="26" t="inlineStr">
        <is>
          <t>headphonezone.in</t>
        </is>
      </c>
      <c r="F633" s="23" t="inlineStr">
        <is>
          <t>https://www.headphonezone.in/products/crinear-protocol-max</t>
        </is>
      </c>
      <c r="G633" s="95" t="inlineStr">
        <is>
          <t>Non</t>
        </is>
      </c>
      <c r="H633" s="26" t="inlineStr">
        <is>
          <t>Non comptée: fiche produit, constructeur, republication ou simple actualité</t>
        </is>
      </c>
    </row>
    <row r="634">
      <c r="A634" s="26" t="inlineStr">
        <is>
          <t>CrinEar</t>
        </is>
      </c>
      <c r="B634" s="26" t="inlineStr">
        <is>
          <t>Protocol Max</t>
        </is>
      </c>
      <c r="C634" s="26" t="n">
        <v>2</v>
      </c>
      <c r="D634" s="26" t="inlineStr">
        <is>
          <t>Fiche / republication constructeur</t>
        </is>
      </c>
      <c r="E634" s="26" t="inlineStr">
        <is>
          <t>eliseaudio.com</t>
        </is>
      </c>
      <c r="F634" s="23" t="inlineStr">
        <is>
          <t>https://eliseaudio.com/en-us/products/crinear-protocol-max</t>
        </is>
      </c>
      <c r="G634" s="95" t="inlineStr">
        <is>
          <t>Non</t>
        </is>
      </c>
      <c r="H634" s="26" t="inlineStr">
        <is>
          <t>Non comptée: fiche produit, constructeur, republication ou simple actualité</t>
        </is>
      </c>
    </row>
    <row r="635">
      <c r="A635" s="26" t="inlineStr">
        <is>
          <t>CrinEar</t>
        </is>
      </c>
      <c r="B635" s="26" t="inlineStr">
        <is>
          <t>Protocol Max</t>
        </is>
      </c>
      <c r="C635" s="26" t="n">
        <v>3</v>
      </c>
      <c r="D635" s="26" t="inlineStr">
        <is>
          <t>Communauté Reddit</t>
        </is>
      </c>
      <c r="E635" s="26" t="inlineStr">
        <is>
          <t>reddit.com</t>
        </is>
      </c>
      <c r="F635" s="23" t="inlineStr">
        <is>
          <t>https://www.reddit.com/r/inearfidelity/comments/1oj13j1/crinear_protocol_max_shortcomings/</t>
        </is>
      </c>
      <c r="G635" s="26" t="inlineStr">
        <is>
          <t>Oui</t>
        </is>
      </c>
      <c r="H635" s="26" t="inlineStr">
        <is>
          <t>Review / retour exploitable</t>
        </is>
      </c>
    </row>
    <row r="636">
      <c r="A636" s="26" t="inlineStr">
        <is>
          <t>CrinEar</t>
        </is>
      </c>
      <c r="B636" s="26" t="inlineStr">
        <is>
          <t>Protocol Max</t>
        </is>
      </c>
      <c r="C636" s="26" t="n">
        <v>4</v>
      </c>
      <c r="D636" s="26" t="inlineStr">
        <is>
          <t>Communauté Reddit</t>
        </is>
      </c>
      <c r="E636" s="26" t="inlineStr">
        <is>
          <t>reddit.com</t>
        </is>
      </c>
      <c r="F636" s="23" t="inlineStr">
        <is>
          <t>https://www.reddit.com/r/headphones/comments/1pa9wt8/is_the_crinear_protocol_max_shockingly/</t>
        </is>
      </c>
      <c r="G636" s="26" t="inlineStr">
        <is>
          <t>Oui</t>
        </is>
      </c>
      <c r="H636" s="26" t="inlineStr">
        <is>
          <t>Review / retour exploitable</t>
        </is>
      </c>
    </row>
    <row r="637">
      <c r="A637" s="26" t="inlineStr">
        <is>
          <t>CrinEar</t>
        </is>
      </c>
      <c r="B637" s="26" t="inlineStr">
        <is>
          <t>Protocol Max</t>
        </is>
      </c>
      <c r="C637" s="26" t="n">
        <v>5</v>
      </c>
      <c r="D637" s="26" t="inlineStr">
        <is>
          <t>Communauté Reddit</t>
        </is>
      </c>
      <c r="E637" s="26" t="inlineStr">
        <is>
          <t>reddit.com</t>
        </is>
      </c>
      <c r="F637" s="23" t="inlineStr">
        <is>
          <t>https://www.reddit.com/r/iemlndia/comments/1usjjst/peak_portable_audio_the_sennheiser_ie_600_crinear/</t>
        </is>
      </c>
      <c r="G637" s="26" t="inlineStr">
        <is>
          <t>Oui</t>
        </is>
      </c>
      <c r="H637" s="26" t="inlineStr">
        <is>
          <t>Review / retour exploitable</t>
        </is>
      </c>
    </row>
    <row r="638">
      <c r="A638" s="26" t="inlineStr">
        <is>
          <t>iFi audio</t>
        </is>
      </c>
      <c r="B638" s="26" t="inlineStr">
        <is>
          <t>GO Link 2 Max</t>
        </is>
      </c>
      <c r="C638" s="26" t="n">
        <v>1</v>
      </c>
      <c r="D638" s="26" t="inlineStr">
        <is>
          <t>Fiche / republication constructeur</t>
        </is>
      </c>
      <c r="E638" s="26" t="inlineStr">
        <is>
          <t>ifi-audio.com</t>
        </is>
      </c>
      <c r="F638" s="23" t="inlineStr">
        <is>
          <t>https://ifi-audio.com/products/go-link-2-max</t>
        </is>
      </c>
      <c r="G638" s="95" t="inlineStr">
        <is>
          <t>Non</t>
        </is>
      </c>
      <c r="H638" s="26" t="inlineStr">
        <is>
          <t>Non comptée: fiche produit, constructeur, republication ou simple actualité</t>
        </is>
      </c>
    </row>
    <row r="639">
      <c r="A639" s="26" t="inlineStr">
        <is>
          <t>iFi audio</t>
        </is>
      </c>
      <c r="B639" s="26" t="inlineStr">
        <is>
          <t>GO Link 2 Max</t>
        </is>
      </c>
      <c r="C639" s="26" t="n">
        <v>2</v>
      </c>
      <c r="D639" s="26" t="inlineStr">
        <is>
          <t>Présentation / actualité</t>
        </is>
      </c>
      <c r="E639" s="26" t="inlineStr">
        <is>
          <t>techradar.com</t>
        </is>
      </c>
      <c r="F639" s="23" t="inlineStr">
        <is>
          <t>https://www.techradar.com/tech/two-dacs-for-wildly-different-budgets-unveiled-at-high-end-from-ifis-pocketable-pal-to-amrs-price-on-request-hunk-of-hi-res-conversion</t>
        </is>
      </c>
      <c r="G639" s="95" t="inlineStr">
        <is>
          <t>Non</t>
        </is>
      </c>
      <c r="H639" s="26" t="inlineStr">
        <is>
          <t>Non comptée: fiche produit, constructeur, republication ou simple actualité</t>
        </is>
      </c>
    </row>
    <row r="640">
      <c r="A640" s="26" t="inlineStr">
        <is>
          <t>iFi audio</t>
        </is>
      </c>
      <c r="B640" s="26" t="inlineStr">
        <is>
          <t>GO Link 2 Max</t>
        </is>
      </c>
      <c r="C640" s="26" t="n">
        <v>3</v>
      </c>
      <c r="D640" s="26" t="inlineStr">
        <is>
          <t>Présentation / actualité</t>
        </is>
      </c>
      <c r="E640" s="26" t="inlineStr">
        <is>
          <t>t3.com</t>
        </is>
      </c>
      <c r="F640" s="23" t="inlineStr">
        <is>
          <t>https://www.t3.com/tech/audio/you-can-upgrade-your-iphone-or-android-phone-audio-to-hi-res-standards-with-this-tiny-affordable-add-on</t>
        </is>
      </c>
      <c r="G640" s="95" t="inlineStr">
        <is>
          <t>Non</t>
        </is>
      </c>
      <c r="H640" s="26" t="inlineStr">
        <is>
          <t>Non comptée: fiche produit, constructeur, republication ou simple actualité</t>
        </is>
      </c>
    </row>
    <row r="641">
      <c r="A641" s="26" t="inlineStr">
        <is>
          <t>Fosi Audio</t>
        </is>
      </c>
      <c r="B641" s="26" t="inlineStr">
        <is>
          <t>DS1</t>
        </is>
      </c>
      <c r="C641" s="26" t="n">
        <v>1</v>
      </c>
      <c r="D641" s="26" t="inlineStr">
        <is>
          <t>Review éditoriale</t>
        </is>
      </c>
      <c r="E641" s="26" t="inlineStr">
        <is>
          <t>headphonesty.com</t>
        </is>
      </c>
      <c r="F641" s="23" t="inlineStr">
        <is>
          <t>https://www.headphonesty.com/2023/07/review-fosi-audio-ds1/</t>
        </is>
      </c>
      <c r="G641" s="26" t="inlineStr">
        <is>
          <t>Oui</t>
        </is>
      </c>
      <c r="H641" s="26" t="inlineStr">
        <is>
          <t>Review / retour exploitable</t>
        </is>
      </c>
    </row>
    <row r="642">
      <c r="A642" s="26" t="inlineStr">
        <is>
          <t>Fosi Audio</t>
        </is>
      </c>
      <c r="B642" s="26" t="inlineStr">
        <is>
          <t>DS1</t>
        </is>
      </c>
      <c r="C642" s="26" t="n">
        <v>2</v>
      </c>
      <c r="D642" s="26" t="inlineStr">
        <is>
          <t>Review éditoriale</t>
        </is>
      </c>
      <c r="E642" s="26" t="inlineStr">
        <is>
          <t>androidbrick.com</t>
        </is>
      </c>
      <c r="F642" s="23" t="inlineStr">
        <is>
          <t>https://androidbrick.com/fosi-audio-ds1-usb-dac-review/</t>
        </is>
      </c>
      <c r="G642" s="26" t="inlineStr">
        <is>
          <t>Oui</t>
        </is>
      </c>
      <c r="H642" s="26" t="inlineStr">
        <is>
          <t>Review / retour exploitable</t>
        </is>
      </c>
    </row>
    <row r="643">
      <c r="A643" s="26" t="inlineStr">
        <is>
          <t>Fosi Audio</t>
        </is>
      </c>
      <c r="B643" s="26" t="inlineStr">
        <is>
          <t>DS1</t>
        </is>
      </c>
      <c r="C643" s="26" t="n">
        <v>3</v>
      </c>
      <c r="D643" s="26" t="inlineStr">
        <is>
          <t>Head-Fi reviews</t>
        </is>
      </c>
      <c r="E643" s="26" t="inlineStr">
        <is>
          <t>head-fi.org</t>
        </is>
      </c>
      <c r="F643" s="23" t="inlineStr">
        <is>
          <t>https://www.head-fi.org/showcase/fosi-audio-ds1-dongle-dac-amplifier.26214/reviews</t>
        </is>
      </c>
      <c r="G643" s="26" t="inlineStr">
        <is>
          <t>Oui</t>
        </is>
      </c>
      <c r="H643" s="26" t="inlineStr">
        <is>
          <t>Review / retour exploitable</t>
        </is>
      </c>
    </row>
    <row r="644">
      <c r="A644" s="26" t="inlineStr">
        <is>
          <t>Tanchjim</t>
        </is>
      </c>
      <c r="B644" s="26" t="inlineStr">
        <is>
          <t>Space</t>
        </is>
      </c>
      <c r="C644" s="26" t="n">
        <v>1</v>
      </c>
      <c r="D644" s="26" t="inlineStr">
        <is>
          <t>Review éditoriale</t>
        </is>
      </c>
      <c r="E644" s="26" t="inlineStr">
        <is>
          <t>androidbrick.com</t>
        </is>
      </c>
      <c r="F644" s="23" t="inlineStr">
        <is>
          <t>https://androidbrick.com/tanchjim-space-usb-dac-review/</t>
        </is>
      </c>
      <c r="G644" s="26" t="inlineStr">
        <is>
          <t>Oui</t>
        </is>
      </c>
      <c r="H644" s="26" t="inlineStr">
        <is>
          <t>Review / retour exploitable</t>
        </is>
      </c>
    </row>
    <row r="645">
      <c r="A645" s="26" t="inlineStr">
        <is>
          <t>Tanchjim</t>
        </is>
      </c>
      <c r="B645" s="26" t="inlineStr">
        <is>
          <t>Space</t>
        </is>
      </c>
      <c r="C645" s="26" t="n">
        <v>2</v>
      </c>
      <c r="D645" s="26" t="inlineStr">
        <is>
          <t>Head-Fi reviews</t>
        </is>
      </c>
      <c r="E645" s="26" t="inlineStr">
        <is>
          <t>head-fi.org</t>
        </is>
      </c>
      <c r="F645" s="23" t="inlineStr">
        <is>
          <t>https://www.head-fi.org/showcase/tanchjim-space.26232/reviews</t>
        </is>
      </c>
      <c r="G645" s="26" t="inlineStr">
        <is>
          <t>Oui</t>
        </is>
      </c>
      <c r="H645" s="26" t="inlineStr">
        <is>
          <t>Review / retour exploitable</t>
        </is>
      </c>
    </row>
    <row r="646">
      <c r="A646" s="26" t="inlineStr">
        <is>
          <t>Tanchjim</t>
        </is>
      </c>
      <c r="B646" s="26" t="inlineStr">
        <is>
          <t>Space</t>
        </is>
      </c>
      <c r="C646" s="26" t="n">
        <v>3</v>
      </c>
      <c r="D646" s="26" t="inlineStr">
        <is>
          <t>Communauté Reddit</t>
        </is>
      </c>
      <c r="E646" s="26" t="inlineStr">
        <is>
          <t>reddit.com</t>
        </is>
      </c>
      <c r="F646" s="23" t="inlineStr">
        <is>
          <t>https://www.reddit.com/r/IemReviews/comments/1s6qs5w/tanchjim_space_still_nails_basics_better_than/</t>
        </is>
      </c>
      <c r="G646" s="26" t="inlineStr">
        <is>
          <t>Oui</t>
        </is>
      </c>
      <c r="H646" s="26" t="inlineStr">
        <is>
          <t>Review / retour exploitable</t>
        </is>
      </c>
    </row>
    <row r="647">
      <c r="A647" t="inlineStr">
        <is>
          <t>Qudelix</t>
        </is>
      </c>
      <c r="B647" t="inlineStr">
        <is>
          <t>5K</t>
        </is>
      </c>
      <c r="C647" t="n">
        <v>1</v>
      </c>
      <c r="D647" t="inlineStr">
        <is>
          <t>Review éditoriale</t>
        </is>
      </c>
      <c r="E647" t="inlineStr">
        <is>
          <t>headphonesty.com</t>
        </is>
      </c>
      <c r="F647" t="inlineStr">
        <is>
          <t>https://www.headphonesty.com/2023/03/review-qudelix-5k/</t>
        </is>
      </c>
      <c r="G647" t="inlineStr">
        <is>
          <t>Oui</t>
        </is>
      </c>
      <c r="H647" t="inlineStr">
        <is>
          <t>Review / retour exploitable</t>
        </is>
      </c>
    </row>
    <row r="648">
      <c r="A648" t="inlineStr">
        <is>
          <t>Qudelix</t>
        </is>
      </c>
      <c r="B648" t="inlineStr">
        <is>
          <t>5K</t>
        </is>
      </c>
      <c r="C648" t="n">
        <v>2</v>
      </c>
      <c r="D648" t="inlineStr">
        <is>
          <t>Fiche constructeur</t>
        </is>
      </c>
      <c r="E648" t="inlineStr">
        <is>
          <t>qudelix.com</t>
        </is>
      </c>
      <c r="F648" t="inlineStr">
        <is>
          <t>https://www.qudelix.com/products/qudelix-5k</t>
        </is>
      </c>
      <c r="G648" t="inlineStr">
        <is>
          <t>Oui</t>
        </is>
      </c>
      <c r="H648" t="inlineStr">
        <is>
          <t>Review / retour exploitable</t>
        </is>
      </c>
    </row>
    <row r="649"/>
    <row r="650"/>
    <row r="651">
      <c r="A651" t="inlineStr">
        <is>
          <t>AudioQuest</t>
        </is>
      </c>
      <c r="B651" t="inlineStr">
        <is>
          <t>DragonFly Cobalt</t>
        </is>
      </c>
      <c r="C651" t="n">
        <v>1</v>
      </c>
      <c r="D651" t="inlineStr">
        <is>
          <t>Review éditoriale</t>
        </is>
      </c>
      <c r="E651" t="inlineStr">
        <is>
          <t>headfonia.com</t>
        </is>
      </c>
      <c r="F651" t="inlineStr">
        <is>
          <t>https://www.headfonia.com/audioquest-dragonfly-cobalt-review/</t>
        </is>
      </c>
      <c r="G651" t="inlineStr">
        <is>
          <t>Oui</t>
        </is>
      </c>
      <c r="H651" t="inlineStr">
        <is>
          <t>Review / retour exploitable</t>
        </is>
      </c>
    </row>
    <row r="652">
      <c r="A652" t="inlineStr">
        <is>
          <t>AudioQuest</t>
        </is>
      </c>
      <c r="B652" t="inlineStr">
        <is>
          <t>DragonFly Cobalt</t>
        </is>
      </c>
      <c r="C652" t="n">
        <v>2</v>
      </c>
      <c r="D652" t="inlineStr">
        <is>
          <t>Fiche constructeur</t>
        </is>
      </c>
      <c r="E652" t="inlineStr">
        <is>
          <t>audioquest.com</t>
        </is>
      </c>
      <c r="F652" t="inlineStr">
        <is>
          <t>https://www.audioquest.com/products/dragonfly-cobalt</t>
        </is>
      </c>
      <c r="G652" t="inlineStr">
        <is>
          <t>Oui</t>
        </is>
      </c>
      <c r="H652" t="inlineStr">
        <is>
          <t>Review / retour exploitable</t>
        </is>
      </c>
    </row>
    <row r="653"/>
    <row r="654"/>
    <row r="655">
      <c r="A655" t="inlineStr">
        <is>
          <t>AudioQuest</t>
        </is>
      </c>
      <c r="B655" t="inlineStr">
        <is>
          <t>DragonFly Red</t>
        </is>
      </c>
      <c r="C655" t="n">
        <v>1</v>
      </c>
      <c r="D655" t="inlineStr">
        <is>
          <t>Review éditoriale</t>
        </is>
      </c>
      <c r="E655" t="inlineStr">
        <is>
          <t>headfonia.com</t>
        </is>
      </c>
      <c r="F655" t="inlineStr">
        <is>
          <t>https://www.headfonia.com/review-audioquest-dragonfly-red-black/</t>
        </is>
      </c>
      <c r="G655" t="inlineStr">
        <is>
          <t>Oui</t>
        </is>
      </c>
      <c r="H655" t="inlineStr">
        <is>
          <t>Review / retour exploitable</t>
        </is>
      </c>
    </row>
    <row r="656">
      <c r="A656" t="inlineStr">
        <is>
          <t>AudioQuest</t>
        </is>
      </c>
      <c r="B656" t="inlineStr">
        <is>
          <t>DragonFly Red</t>
        </is>
      </c>
      <c r="C656" t="n">
        <v>2</v>
      </c>
      <c r="D656" t="inlineStr">
        <is>
          <t>Fiche constructeur</t>
        </is>
      </c>
      <c r="E656" t="inlineStr">
        <is>
          <t>audioquest.com</t>
        </is>
      </c>
      <c r="F656" t="inlineStr">
        <is>
          <t>https://www.audioquest.com/products/dragonfly-red</t>
        </is>
      </c>
      <c r="G656" t="inlineStr">
        <is>
          <t>Oui</t>
        </is>
      </c>
      <c r="H656" t="inlineStr">
        <is>
          <t>Review / retour exploitable</t>
        </is>
      </c>
    </row>
    <row r="657"/>
    <row r="658"/>
    <row r="659">
      <c r="A659" t="inlineStr">
        <is>
          <t>Truthear</t>
        </is>
      </c>
      <c r="B659" t="inlineStr">
        <is>
          <t>SHIO</t>
        </is>
      </c>
      <c r="C659" t="n">
        <v>1</v>
      </c>
      <c r="D659" t="inlineStr">
        <is>
          <t>Review éditoriale</t>
        </is>
      </c>
      <c r="E659" t="inlineStr">
        <is>
          <t>headphonesty.com</t>
        </is>
      </c>
      <c r="F659" t="inlineStr">
        <is>
          <t>https://www.headphonesty.com/2023/02/review-truthear-shio/</t>
        </is>
      </c>
      <c r="G659" t="inlineStr">
        <is>
          <t>Oui</t>
        </is>
      </c>
      <c r="H659" t="inlineStr">
        <is>
          <t>Review / retour exploitable</t>
        </is>
      </c>
    </row>
    <row r="660">
      <c r="A660" t="inlineStr">
        <is>
          <t>Truthear</t>
        </is>
      </c>
      <c r="B660" t="inlineStr">
        <is>
          <t>SHIO</t>
        </is>
      </c>
      <c r="C660" t="n">
        <v>2</v>
      </c>
      <c r="D660" t="inlineStr">
        <is>
          <t>Fiche constructeur</t>
        </is>
      </c>
      <c r="E660" t="inlineStr">
        <is>
          <t>truthear.com</t>
        </is>
      </c>
      <c r="F660" t="inlineStr">
        <is>
          <t>https://www.truthear.com/products/shio</t>
        </is>
      </c>
      <c r="G660" t="inlineStr">
        <is>
          <t>Oui</t>
        </is>
      </c>
      <c r="H660" t="inlineStr">
        <is>
          <t>Review / retour exploitable</t>
        </is>
      </c>
    </row>
    <row r="661"/>
    <row r="662"/>
    <row r="663">
      <c r="A663" t="inlineStr">
        <is>
          <t>Simgot</t>
        </is>
      </c>
      <c r="B663" t="inlineStr">
        <is>
          <t>Dew4x</t>
        </is>
      </c>
      <c r="C663" t="n">
        <v>1</v>
      </c>
      <c r="D663" t="inlineStr">
        <is>
          <t>Review éditoriale</t>
        </is>
      </c>
      <c r="E663" t="inlineStr">
        <is>
          <t>mobileaudiophile.com</t>
        </is>
      </c>
      <c r="F663" t="inlineStr">
        <is>
          <t>https://mobileaudiophile.com/dacs/simgot-dew4x-review/</t>
        </is>
      </c>
      <c r="G663" t="inlineStr">
        <is>
          <t>Oui</t>
        </is>
      </c>
      <c r="H663" t="inlineStr">
        <is>
          <t>Review / retour exploitable</t>
        </is>
      </c>
    </row>
    <row r="664">
      <c r="A664" t="inlineStr">
        <is>
          <t>Simgot</t>
        </is>
      </c>
      <c r="B664" t="inlineStr">
        <is>
          <t>Dew4x</t>
        </is>
      </c>
      <c r="C664" t="n">
        <v>2</v>
      </c>
      <c r="D664" t="inlineStr">
        <is>
          <t>Fiche constructeur</t>
        </is>
      </c>
      <c r="E664" t="inlineStr">
        <is>
          <t>mobileaudiophile.com</t>
        </is>
      </c>
      <c r="F664" t="inlineStr">
        <is>
          <t>https://mobileaudiophile.com/dacs/simgot-dew4x-review/</t>
        </is>
      </c>
      <c r="G664" t="inlineStr">
        <is>
          <t>Oui</t>
        </is>
      </c>
      <c r="H664" t="inlineStr">
        <is>
          <t>Review / retour exploitable</t>
        </is>
      </c>
    </row>
    <row r="665"/>
    <row r="666"/>
    <row r="667">
      <c r="A667" t="inlineStr">
        <is>
          <t>iBasso</t>
        </is>
      </c>
      <c r="B667" t="inlineStr">
        <is>
          <t>DC01</t>
        </is>
      </c>
      <c r="C667" t="n">
        <v>1</v>
      </c>
      <c r="D667" t="inlineStr">
        <is>
          <t>Review éditoriale</t>
        </is>
      </c>
      <c r="E667" t="inlineStr">
        <is>
          <t>headfonia.com</t>
        </is>
      </c>
      <c r="F667" t="inlineStr">
        <is>
          <t>https://www.headfonia.com/ibasso-dc01-first-look-sunday/</t>
        </is>
      </c>
      <c r="G667" t="inlineStr">
        <is>
          <t>Oui</t>
        </is>
      </c>
      <c r="H667" t="inlineStr">
        <is>
          <t>Review / retour exploitable</t>
        </is>
      </c>
    </row>
    <row r="668">
      <c r="A668" t="inlineStr">
        <is>
          <t>iBasso</t>
        </is>
      </c>
      <c r="B668" t="inlineStr">
        <is>
          <t>DC01</t>
        </is>
      </c>
      <c r="C668" t="n">
        <v>2</v>
      </c>
      <c r="D668" t="inlineStr">
        <is>
          <t>Fiche constructeur</t>
        </is>
      </c>
      <c r="E668" t="inlineStr">
        <is>
          <t>ibasso.com</t>
        </is>
      </c>
      <c r="F668" t="inlineStr">
        <is>
          <t>https://ibasso.com/product/dc01</t>
        </is>
      </c>
      <c r="G668" t="inlineStr">
        <is>
          <t>Oui</t>
        </is>
      </c>
      <c r="H668" t="inlineStr">
        <is>
          <t>Review / retour exploitable</t>
        </is>
      </c>
    </row>
    <row r="669"/>
    <row r="670"/>
    <row r="671">
      <c r="A671" t="inlineStr">
        <is>
          <t>Kiwi Ears</t>
        </is>
      </c>
      <c r="B671" t="inlineStr">
        <is>
          <t>Allegro Pro</t>
        </is>
      </c>
      <c r="C671" t="n">
        <v>1</v>
      </c>
      <c r="D671" t="inlineStr">
        <is>
          <t>Fiche constructeur</t>
        </is>
      </c>
      <c r="E671" t="inlineStr">
        <is>
          <t>kiwiears.com</t>
        </is>
      </c>
      <c r="F671" t="inlineStr">
        <is>
          <t>https://kiwiears.com/products/kiwi-ears-allegro-pro</t>
        </is>
      </c>
      <c r="G671" t="inlineStr">
        <is>
          <t>Oui</t>
        </is>
      </c>
      <c r="H671" t="inlineStr">
        <is>
          <t>Review / retour exploitable</t>
        </is>
      </c>
    </row>
    <row r="672">
      <c r="A672" t="inlineStr">
        <is>
          <t>Kiwi Ears</t>
        </is>
      </c>
      <c r="B672" t="inlineStr">
        <is>
          <t>Allegro Pro</t>
        </is>
      </c>
      <c r="C672" t="n">
        <v>2</v>
      </c>
      <c r="D672" t="inlineStr">
        <is>
          <t>Fiche marchand</t>
        </is>
      </c>
      <c r="E672" t="inlineStr">
        <is>
          <t>linsoul.com</t>
        </is>
      </c>
      <c r="F672" t="inlineStr">
        <is>
          <t>https://www.linsoul.com/products/kiwi-ears-allegro-pro</t>
        </is>
      </c>
      <c r="G672" t="inlineStr">
        <is>
          <t>Oui</t>
        </is>
      </c>
      <c r="H672" t="inlineStr">
        <is>
          <t>Review / retour exploitable</t>
        </is>
      </c>
    </row>
    <row r="673"/>
    <row r="674"/>
    <row r="675">
      <c r="A675" t="inlineStr">
        <is>
          <t>EPZ</t>
        </is>
      </c>
      <c r="B675" t="inlineStr">
        <is>
          <t>TP35 Pro</t>
        </is>
      </c>
      <c r="C675" t="n">
        <v>1</v>
      </c>
      <c r="D675" t="inlineStr">
        <is>
          <t>Review éditoriale</t>
        </is>
      </c>
      <c r="E675" t="inlineStr">
        <is>
          <t>mobileaudiophile.com</t>
        </is>
      </c>
      <c r="F675" t="inlineStr">
        <is>
          <t>https://mobileaudiophile.com/dacs/dongle/epz-tp35-pro-review/</t>
        </is>
      </c>
      <c r="G675" t="inlineStr">
        <is>
          <t>Oui</t>
        </is>
      </c>
      <c r="H675" t="inlineStr">
        <is>
          <t>Review / retour exploitable</t>
        </is>
      </c>
    </row>
    <row r="676">
      <c r="A676" t="inlineStr">
        <is>
          <t>EPZ</t>
        </is>
      </c>
      <c r="B676" t="inlineStr">
        <is>
          <t>TP35 Pro</t>
        </is>
      </c>
      <c r="C676" t="n">
        <v>2</v>
      </c>
      <c r="D676" t="inlineStr">
        <is>
          <t>Fiche constructeur</t>
        </is>
      </c>
      <c r="E676" t="inlineStr">
        <is>
          <t>epzaudio.com</t>
        </is>
      </c>
      <c r="F676" t="inlineStr">
        <is>
          <t>https://www.epzaudio.com/</t>
        </is>
      </c>
      <c r="G676" t="inlineStr">
        <is>
          <t>Oui</t>
        </is>
      </c>
      <c r="H676" t="inlineStr">
        <is>
          <t>Review / retour exploitable</t>
        </is>
      </c>
    </row>
    <row r="677"/>
    <row r="678"/>
    <row r="679">
      <c r="A679" t="inlineStr">
        <is>
          <t>EPZ</t>
        </is>
      </c>
      <c r="B679" t="inlineStr">
        <is>
          <t>TP20 Pro</t>
        </is>
      </c>
      <c r="C679" t="n">
        <v>1</v>
      </c>
      <c r="D679" t="inlineStr">
        <is>
          <t>Review éditoriale</t>
        </is>
      </c>
      <c r="E679" t="inlineStr">
        <is>
          <t>mobileaudiophile.com</t>
        </is>
      </c>
      <c r="F679" t="inlineStr">
        <is>
          <t>https://mobileaudiophile.com/dacs/dongle/epz-tp20-pro-review/</t>
        </is>
      </c>
      <c r="G679" t="inlineStr">
        <is>
          <t>Oui</t>
        </is>
      </c>
      <c r="H679" t="inlineStr">
        <is>
          <t>Review / retour exploitable</t>
        </is>
      </c>
    </row>
    <row r="680">
      <c r="A680" t="inlineStr">
        <is>
          <t>EPZ</t>
        </is>
      </c>
      <c r="B680" t="inlineStr">
        <is>
          <t>TP20 Pro</t>
        </is>
      </c>
      <c r="C680" t="n">
        <v>2</v>
      </c>
      <c r="D680" t="inlineStr">
        <is>
          <t>Fiche constructeur</t>
        </is>
      </c>
      <c r="E680" t="inlineStr">
        <is>
          <t>epzaudio.com</t>
        </is>
      </c>
      <c r="F680" t="inlineStr">
        <is>
          <t>https://www.epzaudio.com/</t>
        </is>
      </c>
      <c r="G680" t="inlineStr">
        <is>
          <t>Oui</t>
        </is>
      </c>
      <c r="H680" t="inlineStr">
        <is>
          <t>Review / retour exploitable</t>
        </is>
      </c>
    </row>
    <row r="681"/>
    <row r="682"/>
    <row r="683">
      <c r="A683" t="inlineStr">
        <is>
          <t>EPZ</t>
        </is>
      </c>
      <c r="B683" t="inlineStr">
        <is>
          <t>TP50</t>
        </is>
      </c>
      <c r="C683" t="n">
        <v>1</v>
      </c>
      <c r="D683" t="inlineStr">
        <is>
          <t>Review éditoriale</t>
        </is>
      </c>
      <c r="E683" t="inlineStr">
        <is>
          <t>mobileaudiophile.com</t>
        </is>
      </c>
      <c r="F683" t="inlineStr">
        <is>
          <t>https://mobileaudiophile.com/dacs/dongle/epz-tp50-review/</t>
        </is>
      </c>
      <c r="G683" t="inlineStr">
        <is>
          <t>Oui</t>
        </is>
      </c>
      <c r="H683" t="inlineStr">
        <is>
          <t>Review / retour exploitable</t>
        </is>
      </c>
    </row>
    <row r="684">
      <c r="A684" t="inlineStr">
        <is>
          <t>EPZ</t>
        </is>
      </c>
      <c r="B684" t="inlineStr">
        <is>
          <t>TP50</t>
        </is>
      </c>
      <c r="C684" t="n">
        <v>2</v>
      </c>
      <c r="D684" t="inlineStr">
        <is>
          <t>Fiche constructeur</t>
        </is>
      </c>
      <c r="E684" t="inlineStr">
        <is>
          <t>epzaudio.com</t>
        </is>
      </c>
      <c r="F684" t="inlineStr">
        <is>
          <t>https://www.epzaudio.com/</t>
        </is>
      </c>
      <c r="G684" t="inlineStr">
        <is>
          <t>Oui</t>
        </is>
      </c>
      <c r="H684" t="inlineStr">
        <is>
          <t>Review / retour exploitable</t>
        </is>
      </c>
    </row>
    <row r="685"/>
    <row r="686"/>
    <row r="687">
      <c r="A687" t="inlineStr">
        <is>
          <t>Rose Technics</t>
        </is>
      </c>
      <c r="B687" t="inlineStr">
        <is>
          <t>RS9039</t>
        </is>
      </c>
      <c r="C687" t="n">
        <v>1</v>
      </c>
      <c r="D687" t="inlineStr">
        <is>
          <t>Review éditoriale</t>
        </is>
      </c>
      <c r="E687" t="inlineStr">
        <is>
          <t>mobileaudiophile.com</t>
        </is>
      </c>
      <c r="F687" t="inlineStr">
        <is>
          <t>https://mobileaudiophile.com/dacs/dongle/roseselsa-rs9039-review/</t>
        </is>
      </c>
      <c r="G687" t="inlineStr">
        <is>
          <t>Oui</t>
        </is>
      </c>
      <c r="H687" t="inlineStr">
        <is>
          <t>Review / retour exploitable</t>
        </is>
      </c>
    </row>
    <row r="688">
      <c r="A688" t="inlineStr">
        <is>
          <t>Rose Technics</t>
        </is>
      </c>
      <c r="B688" t="inlineStr">
        <is>
          <t>RS9039</t>
        </is>
      </c>
      <c r="C688" t="n">
        <v>2</v>
      </c>
      <c r="D688" t="inlineStr">
        <is>
          <t>Fiche marchand</t>
        </is>
      </c>
      <c r="E688" t="inlineStr">
        <is>
          <t>hifigo.com</t>
        </is>
      </c>
      <c r="F688" t="inlineStr">
        <is>
          <t>https://hifigo.com/products/roseselsa-rs9039</t>
        </is>
      </c>
      <c r="G688" t="inlineStr">
        <is>
          <t>Oui</t>
        </is>
      </c>
      <c r="H688" t="inlineStr">
        <is>
          <t>Review / retour exploitable</t>
        </is>
      </c>
    </row>
    <row r="689"/>
    <row r="690"/>
    <row r="691">
      <c r="A691" t="inlineStr">
        <is>
          <t>AFUL</t>
        </is>
      </c>
      <c r="B691" t="inlineStr">
        <is>
          <t>SnowyNight</t>
        </is>
      </c>
      <c r="C691" t="n">
        <v>1</v>
      </c>
      <c r="D691" t="inlineStr">
        <is>
          <t>Review éditoriale</t>
        </is>
      </c>
      <c r="E691" t="inlineStr">
        <is>
          <t>mobileaudiophile.com</t>
        </is>
      </c>
      <c r="F691" t="inlineStr">
        <is>
          <t>https://mobileaudiophile.com/dacs/dongle/aful-snowynight-review/</t>
        </is>
      </c>
      <c r="G691" t="inlineStr">
        <is>
          <t>Oui</t>
        </is>
      </c>
      <c r="H691" t="inlineStr">
        <is>
          <t>Review / retour exploitable</t>
        </is>
      </c>
    </row>
    <row r="692">
      <c r="A692" t="inlineStr">
        <is>
          <t>AFUL</t>
        </is>
      </c>
      <c r="B692" t="inlineStr">
        <is>
          <t>SnowyNight</t>
        </is>
      </c>
      <c r="C692" t="n">
        <v>2</v>
      </c>
      <c r="D692" t="inlineStr">
        <is>
          <t>Fiche constructeur</t>
        </is>
      </c>
      <c r="E692" t="inlineStr">
        <is>
          <t>afulaudio.com</t>
        </is>
      </c>
      <c r="F692" t="inlineStr">
        <is>
          <t>https://www.afulaudio.com/</t>
        </is>
      </c>
      <c r="G692" t="inlineStr">
        <is>
          <t>Oui</t>
        </is>
      </c>
      <c r="H692" t="inlineStr">
        <is>
          <t>Review / retour exploitable</t>
        </is>
      </c>
    </row>
    <row r="693"/>
    <row r="694"/>
    <row r="695">
      <c r="A695" t="inlineStr">
        <is>
          <t>iKKO</t>
        </is>
      </c>
      <c r="B695" t="inlineStr">
        <is>
          <t>Zerda ITM01</t>
        </is>
      </c>
      <c r="C695" t="n">
        <v>1</v>
      </c>
      <c r="D695" t="inlineStr">
        <is>
          <t>Review éditoriale</t>
        </is>
      </c>
      <c r="E695" t="inlineStr">
        <is>
          <t>audioreviews.org</t>
        </is>
      </c>
      <c r="F695" t="inlineStr">
        <is>
          <t>https://hiendportable.com/ikko-zerda-itm01-english-review/</t>
        </is>
      </c>
      <c r="G695" t="inlineStr">
        <is>
          <t>Oui</t>
        </is>
      </c>
      <c r="H695" t="inlineStr">
        <is>
          <t>Review / retour exploitable</t>
        </is>
      </c>
    </row>
    <row r="696">
      <c r="A696" t="inlineStr">
        <is>
          <t>iKKO</t>
        </is>
      </c>
      <c r="B696" t="inlineStr">
        <is>
          <t>Zerda ITM01</t>
        </is>
      </c>
      <c r="C696" t="n">
        <v>2</v>
      </c>
      <c r="D696" t="inlineStr">
        <is>
          <t>Fiche constructeur</t>
        </is>
      </c>
      <c r="E696" t="inlineStr">
        <is>
          <t>ikkoaudio.com</t>
        </is>
      </c>
      <c r="F696" t="inlineStr">
        <is>
          <t>https://www.ikkoaudio.com/</t>
        </is>
      </c>
      <c r="G696" t="inlineStr">
        <is>
          <t>Oui</t>
        </is>
      </c>
      <c r="H696" t="inlineStr">
        <is>
          <t>Review / retour exploitable</t>
        </is>
      </c>
    </row>
    <row r="697"/>
    <row r="698"/>
    <row r="699">
      <c r="A699" t="inlineStr">
        <is>
          <t>EarMen</t>
        </is>
      </c>
      <c r="B699" t="inlineStr">
        <is>
          <t>Eagle</t>
        </is>
      </c>
      <c r="C699" t="n">
        <v>1</v>
      </c>
      <c r="D699" t="inlineStr">
        <is>
          <t>Review éditoriale</t>
        </is>
      </c>
      <c r="E699" t="inlineStr">
        <is>
          <t>audioreviews.org</t>
        </is>
      </c>
      <c r="F699" t="inlineStr">
        <is>
          <t>https://www.audioreviews.org/earmen-eagle-review/</t>
        </is>
      </c>
      <c r="G699" t="inlineStr">
        <is>
          <t>Oui</t>
        </is>
      </c>
      <c r="H699" t="inlineStr">
        <is>
          <t>Review / retour exploitable</t>
        </is>
      </c>
    </row>
    <row r="700">
      <c r="A700" t="inlineStr">
        <is>
          <t>EarMen</t>
        </is>
      </c>
      <c r="B700" t="inlineStr">
        <is>
          <t>Eagle</t>
        </is>
      </c>
      <c r="C700" t="n">
        <v>2</v>
      </c>
      <c r="D700" t="inlineStr">
        <is>
          <t>Fiche constructeur</t>
        </is>
      </c>
      <c r="E700" t="inlineStr">
        <is>
          <t>earmen-shop.com</t>
        </is>
      </c>
      <c r="F700" t="inlineStr">
        <is>
          <t>https://earmen-shop.com/</t>
        </is>
      </c>
      <c r="G700" t="inlineStr">
        <is>
          <t>Oui</t>
        </is>
      </c>
      <c r="H700" t="inlineStr">
        <is>
          <t>Review / retour exploitable</t>
        </is>
      </c>
    </row>
    <row r="701"/>
    <row r="702"/>
    <row r="703">
      <c r="A703" t="inlineStr">
        <is>
          <t>EarMen</t>
        </is>
      </c>
      <c r="B703" t="inlineStr">
        <is>
          <t>Sparrow</t>
        </is>
      </c>
      <c r="C703" t="n">
        <v>1</v>
      </c>
      <c r="D703" t="inlineStr">
        <is>
          <t>Review éditoriale</t>
        </is>
      </c>
      <c r="E703" t="inlineStr">
        <is>
          <t>audioreviews.org</t>
        </is>
      </c>
      <c r="F703" t="inlineStr">
        <is>
          <t>https://www.audioreviews.org/earmen-sparrow-review/</t>
        </is>
      </c>
      <c r="G703" t="inlineStr">
        <is>
          <t>Oui</t>
        </is>
      </c>
      <c r="H703" t="inlineStr">
        <is>
          <t>Review / retour exploitable</t>
        </is>
      </c>
    </row>
    <row r="704">
      <c r="A704" t="inlineStr">
        <is>
          <t>EarMen</t>
        </is>
      </c>
      <c r="B704" t="inlineStr">
        <is>
          <t>Sparrow</t>
        </is>
      </c>
      <c r="C704" t="n">
        <v>2</v>
      </c>
      <c r="D704" t="inlineStr">
        <is>
          <t>Mesures</t>
        </is>
      </c>
      <c r="E704" t="inlineStr">
        <is>
          <t>audiosciencereview.com</t>
        </is>
      </c>
      <c r="F704" t="inlineStr">
        <is>
          <t>https://www.audiosciencereview.com/forum/index.php?threads/earmen-sparrow-review.21800/</t>
        </is>
      </c>
      <c r="G704" t="inlineStr">
        <is>
          <t>Oui</t>
        </is>
      </c>
      <c r="H704" t="inlineStr">
        <is>
          <t>Review / retour exploitable</t>
        </is>
      </c>
    </row>
    <row r="705"/>
    <row r="706"/>
    <row r="707">
      <c r="A707" t="inlineStr">
        <is>
          <t>Audirect</t>
        </is>
      </c>
      <c r="B707" t="inlineStr">
        <is>
          <t>Atom 2</t>
        </is>
      </c>
      <c r="C707" t="n">
        <v>1</v>
      </c>
      <c r="D707" t="inlineStr">
        <is>
          <t>Review éditoriale</t>
        </is>
      </c>
      <c r="E707" t="inlineStr">
        <is>
          <t>audioreviews.org</t>
        </is>
      </c>
      <c r="F707" t="inlineStr">
        <is>
          <t>https://www.audioreviews.org/audirect-atom-2-review/</t>
        </is>
      </c>
      <c r="G707" t="inlineStr">
        <is>
          <t>Oui</t>
        </is>
      </c>
      <c r="H707" t="inlineStr">
        <is>
          <t>Review / retour exploitable</t>
        </is>
      </c>
    </row>
    <row r="708">
      <c r="A708" t="inlineStr">
        <is>
          <t>Audirect</t>
        </is>
      </c>
      <c r="B708" t="inlineStr">
        <is>
          <t>Atom 2</t>
        </is>
      </c>
      <c r="C708" t="n">
        <v>2</v>
      </c>
      <c r="D708" t="inlineStr">
        <is>
          <t>Fiche constructeur</t>
        </is>
      </c>
      <c r="E708" t="inlineStr">
        <is>
          <t>majorhifi.com</t>
        </is>
      </c>
      <c r="F708" t="inlineStr">
        <is>
          <t>https://majorhifi.com/audirect-atom-2-mqa-dac-review/</t>
        </is>
      </c>
      <c r="G708" t="inlineStr">
        <is>
          <t>Oui</t>
        </is>
      </c>
      <c r="H708" t="inlineStr">
        <is>
          <t>Review / retour exploitable</t>
        </is>
      </c>
    </row>
    <row r="709"/>
    <row r="710"/>
    <row r="711">
      <c r="A711" t="inlineStr">
        <is>
          <t>Audirect</t>
        </is>
      </c>
      <c r="B711" t="inlineStr">
        <is>
          <t>Atom 3</t>
        </is>
      </c>
      <c r="C711" t="n">
        <v>1</v>
      </c>
      <c r="D711" t="inlineStr">
        <is>
          <t>Review éditoriale</t>
        </is>
      </c>
      <c r="E711" t="inlineStr">
        <is>
          <t>audioreviews.org</t>
        </is>
      </c>
      <c r="F711" t="inlineStr">
        <is>
          <t>https://www.audioreviews.org/audirect-atom-3-review/</t>
        </is>
      </c>
      <c r="G711" t="inlineStr">
        <is>
          <t>Oui</t>
        </is>
      </c>
      <c r="H711" t="inlineStr">
        <is>
          <t>Review / retour exploitable</t>
        </is>
      </c>
    </row>
    <row r="712">
      <c r="A712" t="inlineStr">
        <is>
          <t>Audirect</t>
        </is>
      </c>
      <c r="B712" t="inlineStr">
        <is>
          <t>Atom 3</t>
        </is>
      </c>
      <c r="C712" t="n">
        <v>2</v>
      </c>
      <c r="D712" t="inlineStr">
        <is>
          <t>Fiche constructeur</t>
        </is>
      </c>
      <c r="E712" t="inlineStr">
        <is>
          <t>audirect.vip</t>
        </is>
      </c>
      <c r="F712" t="inlineStr">
        <is>
          <t>https://audirect.vip/</t>
        </is>
      </c>
      <c r="G712" t="inlineStr">
        <is>
          <t>Oui</t>
        </is>
      </c>
      <c r="H712" t="inlineStr">
        <is>
          <t>Review / retour exploitable</t>
        </is>
      </c>
    </row>
    <row r="713"/>
    <row r="714"/>
    <row r="715">
      <c r="A715" t="inlineStr">
        <is>
          <t>Audirect</t>
        </is>
      </c>
      <c r="B715" t="inlineStr">
        <is>
          <t>Team 1</t>
        </is>
      </c>
      <c r="C715" t="n">
        <v>1</v>
      </c>
      <c r="D715" t="inlineStr">
        <is>
          <t>Review éditoriale</t>
        </is>
      </c>
      <c r="E715" t="inlineStr">
        <is>
          <t>audioreviews.org</t>
        </is>
      </c>
      <c r="F715" t="inlineStr">
        <is>
          <t>https://www.audioreviews.org/audirect-team-1-review/</t>
        </is>
      </c>
      <c r="G715" t="inlineStr">
        <is>
          <t>Oui</t>
        </is>
      </c>
      <c r="H715" t="inlineStr">
        <is>
          <t>Review / retour exploitable</t>
        </is>
      </c>
    </row>
    <row r="716">
      <c r="A716" t="inlineStr">
        <is>
          <t>Audirect</t>
        </is>
      </c>
      <c r="B716" t="inlineStr">
        <is>
          <t>Team 1</t>
        </is>
      </c>
      <c r="C716" t="n">
        <v>2</v>
      </c>
      <c r="D716" t="inlineStr">
        <is>
          <t>Fiche constructeur</t>
        </is>
      </c>
      <c r="E716" t="inlineStr">
        <is>
          <t>audirect.vip</t>
        </is>
      </c>
      <c r="F716" t="inlineStr">
        <is>
          <t>https://audirect.vip/</t>
        </is>
      </c>
      <c r="G716" t="inlineStr">
        <is>
          <t>Oui</t>
        </is>
      </c>
      <c r="H716" t="inlineStr">
        <is>
          <t>Review / retour exploitable</t>
        </is>
      </c>
    </row>
    <row r="717"/>
    <row r="718"/>
    <row r="719">
      <c r="A719" t="inlineStr">
        <is>
          <t>Venture Electronics</t>
        </is>
      </c>
      <c r="B719" t="inlineStr">
        <is>
          <t>Odyssey HD</t>
        </is>
      </c>
      <c r="C719" t="n">
        <v>1</v>
      </c>
      <c r="D719" t="inlineStr">
        <is>
          <t>Review éditoriale</t>
        </is>
      </c>
      <c r="E719" t="inlineStr">
        <is>
          <t>audioreviews.org</t>
        </is>
      </c>
      <c r="F719" t="inlineStr">
        <is>
          <t>https://www.soundphilereview.com/reviews/venture-electronics-odyssey-hd-review-4580/</t>
        </is>
      </c>
      <c r="G719" t="inlineStr">
        <is>
          <t>Oui</t>
        </is>
      </c>
      <c r="H719" t="inlineStr">
        <is>
          <t>Review / retour exploitable</t>
        </is>
      </c>
    </row>
    <row r="720">
      <c r="A720" t="inlineStr">
        <is>
          <t>Venture Electronics</t>
        </is>
      </c>
      <c r="B720" t="inlineStr">
        <is>
          <t>Odyssey HD</t>
        </is>
      </c>
      <c r="C720" t="n">
        <v>2</v>
      </c>
      <c r="D720" t="inlineStr">
        <is>
          <t>Fiche constructeur</t>
        </is>
      </c>
      <c r="E720" t="inlineStr">
        <is>
          <t>veclan.com</t>
        </is>
      </c>
      <c r="F720" t="inlineStr">
        <is>
          <t>https://veclan.com/</t>
        </is>
      </c>
      <c r="G720" t="inlineStr">
        <is>
          <t>Oui</t>
        </is>
      </c>
      <c r="H720" t="inlineStr">
        <is>
          <t>Review / retour exploitable</t>
        </is>
      </c>
    </row>
    <row r="721"/>
    <row r="722"/>
    <row r="723">
      <c r="A723" t="inlineStr">
        <is>
          <t>TempoTec</t>
        </is>
      </c>
      <c r="B723" t="inlineStr">
        <is>
          <t>Sonata HD II</t>
        </is>
      </c>
      <c r="C723" t="n">
        <v>1</v>
      </c>
      <c r="D723" t="inlineStr">
        <is>
          <t>Review éditoriale</t>
        </is>
      </c>
      <c r="E723" t="inlineStr">
        <is>
          <t>audioreviews.org</t>
        </is>
      </c>
      <c r="F723" t="inlineStr">
        <is>
          <t>https://www.audiophile-heaven.com/2022/05/tempotec-sonata-hd-ii-music-tail.html</t>
        </is>
      </c>
      <c r="G723" t="inlineStr">
        <is>
          <t>Oui</t>
        </is>
      </c>
      <c r="H723" t="inlineStr">
        <is>
          <t>Review / retour exploitable</t>
        </is>
      </c>
    </row>
    <row r="724">
      <c r="A724" t="inlineStr">
        <is>
          <t>TempoTec</t>
        </is>
      </c>
      <c r="B724" t="inlineStr">
        <is>
          <t>Sonata HD II</t>
        </is>
      </c>
      <c r="C724" t="n">
        <v>2</v>
      </c>
      <c r="D724" t="inlineStr">
        <is>
          <t>Fiche constructeur</t>
        </is>
      </c>
      <c r="E724" t="inlineStr">
        <is>
          <t>tempotec.net</t>
        </is>
      </c>
      <c r="F724" t="inlineStr">
        <is>
          <t>https://www.tempotec.net/</t>
        </is>
      </c>
      <c r="G724" t="inlineStr">
        <is>
          <t>Oui</t>
        </is>
      </c>
      <c r="H724" t="inlineStr">
        <is>
          <t>Review / retour exploitable</t>
        </is>
      </c>
    </row>
    <row r="725"/>
    <row r="726"/>
    <row r="727">
      <c r="A727" t="inlineStr">
        <is>
          <t>BGVP</t>
        </is>
      </c>
      <c r="B727" t="inlineStr">
        <is>
          <t>T01s</t>
        </is>
      </c>
      <c r="C727" t="n">
        <v>1</v>
      </c>
      <c r="D727" t="inlineStr">
        <is>
          <t>Review éditoriale</t>
        </is>
      </c>
      <c r="E727" t="inlineStr">
        <is>
          <t>audioreviews.org</t>
        </is>
      </c>
      <c r="F727" t="inlineStr">
        <is>
          <t>https://www.audioreviews.org/bgvp-t01s-review/</t>
        </is>
      </c>
      <c r="G727" t="inlineStr">
        <is>
          <t>Oui</t>
        </is>
      </c>
      <c r="H727" t="inlineStr">
        <is>
          <t>Review / retour exploitable</t>
        </is>
      </c>
    </row>
    <row r="728">
      <c r="A728" t="inlineStr">
        <is>
          <t>BGVP</t>
        </is>
      </c>
      <c r="B728" t="inlineStr">
        <is>
          <t>T01s</t>
        </is>
      </c>
      <c r="C728" t="n">
        <v>2</v>
      </c>
      <c r="D728" t="inlineStr">
        <is>
          <t>Fiche constructeur</t>
        </is>
      </c>
      <c r="E728" t="inlineStr">
        <is>
          <t>bgvp.com</t>
        </is>
      </c>
      <c r="F728" t="inlineStr">
        <is>
          <t>https://www.bgvp.com/</t>
        </is>
      </c>
      <c r="G728" t="inlineStr">
        <is>
          <t>Oui</t>
        </is>
      </c>
      <c r="H728" t="inlineStr">
        <is>
          <t>Review / retour exploitable</t>
        </is>
      </c>
    </row>
    <row r="729"/>
    <row r="730"/>
    <row r="731">
      <c r="A731" t="inlineStr">
        <is>
          <t>Campfire Audio</t>
        </is>
      </c>
      <c r="B731" t="inlineStr">
        <is>
          <t>Relay</t>
        </is>
      </c>
      <c r="C731" t="n">
        <v>1</v>
      </c>
      <c r="D731" t="inlineStr">
        <is>
          <t>Review éditoriale</t>
        </is>
      </c>
      <c r="E731" t="inlineStr">
        <is>
          <t>audioreviews.org</t>
        </is>
      </c>
      <c r="F731" t="inlineStr">
        <is>
          <t>https://majorhifi.com/campfire-audio-relay-review/</t>
        </is>
      </c>
      <c r="G731" t="inlineStr">
        <is>
          <t>Oui</t>
        </is>
      </c>
      <c r="H731" t="inlineStr">
        <is>
          <t>Review / retour exploitable</t>
        </is>
      </c>
    </row>
    <row r="732">
      <c r="A732" t="inlineStr">
        <is>
          <t>Campfire Audio</t>
        </is>
      </c>
      <c r="B732" t="inlineStr">
        <is>
          <t>Relay</t>
        </is>
      </c>
      <c r="C732" t="n">
        <v>2</v>
      </c>
      <c r="D732" t="inlineStr">
        <is>
          <t>Fiche constructeur</t>
        </is>
      </c>
      <c r="E732" t="inlineStr">
        <is>
          <t>campfireaudio.com</t>
        </is>
      </c>
      <c r="F732" t="inlineStr">
        <is>
          <t>https://campfireaudio.com/products/relay</t>
        </is>
      </c>
      <c r="G732" t="inlineStr">
        <is>
          <t>Oui</t>
        </is>
      </c>
      <c r="H732" t="inlineStr">
        <is>
          <t>Review / retour exploitable</t>
        </is>
      </c>
    </row>
    <row r="733"/>
    <row r="734"/>
    <row r="735">
      <c r="A735" t="inlineStr">
        <is>
          <t>Cozoy</t>
        </is>
      </c>
      <c r="B735" t="inlineStr">
        <is>
          <t>Takt-C</t>
        </is>
      </c>
      <c r="C735" t="n">
        <v>1</v>
      </c>
      <c r="D735" t="inlineStr">
        <is>
          <t>Review éditoriale</t>
        </is>
      </c>
      <c r="E735" t="inlineStr">
        <is>
          <t>audioreviews.org</t>
        </is>
      </c>
      <c r="F735" t="inlineStr">
        <is>
          <t>https://www.audioreviews.org/cozoy-takt-c-review/</t>
        </is>
      </c>
      <c r="G735" t="inlineStr">
        <is>
          <t>Oui</t>
        </is>
      </c>
      <c r="H735" t="inlineStr">
        <is>
          <t>Review / retour exploitable</t>
        </is>
      </c>
    </row>
    <row r="736">
      <c r="A736" t="inlineStr">
        <is>
          <t>Cozoy</t>
        </is>
      </c>
      <c r="B736" t="inlineStr">
        <is>
          <t>Takt-C</t>
        </is>
      </c>
      <c r="C736" t="n">
        <v>2</v>
      </c>
      <c r="D736" t="inlineStr">
        <is>
          <t>Fiche constructeur</t>
        </is>
      </c>
      <c r="E736" t="inlineStr">
        <is>
          <t>headfonia.com</t>
        </is>
      </c>
      <c r="F736" t="inlineStr">
        <is>
          <t>https://www.headfonia.com/cozoy-takt-c-review/</t>
        </is>
      </c>
      <c r="G736" t="inlineStr">
        <is>
          <t>Oui</t>
        </is>
      </c>
      <c r="H736" t="inlineStr">
        <is>
          <t>Review / retour exploitable</t>
        </is>
      </c>
    </row>
    <row r="737"/>
    <row r="738"/>
    <row r="739">
      <c r="A739" t="inlineStr">
        <is>
          <t>Celest</t>
        </is>
      </c>
      <c r="B739" t="inlineStr">
        <is>
          <t>CD-2</t>
        </is>
      </c>
      <c r="C739" t="n">
        <v>1</v>
      </c>
      <c r="D739" t="inlineStr">
        <is>
          <t>Review éditoriale</t>
        </is>
      </c>
      <c r="E739" t="inlineStr">
        <is>
          <t>audioreviews.org</t>
        </is>
      </c>
      <c r="F739" t="inlineStr">
        <is>
          <t>https://www.audioreviews.org/celest-cd-2-review/</t>
        </is>
      </c>
      <c r="G739" t="inlineStr">
        <is>
          <t>Oui</t>
        </is>
      </c>
      <c r="H739" t="inlineStr">
        <is>
          <t>Review / retour exploitable</t>
        </is>
      </c>
    </row>
    <row r="740">
      <c r="A740" t="inlineStr">
        <is>
          <t>Celest</t>
        </is>
      </c>
      <c r="B740" t="inlineStr">
        <is>
          <t>CD-2</t>
        </is>
      </c>
      <c r="C740" t="n">
        <v>2</v>
      </c>
      <c r="D740" t="inlineStr">
        <is>
          <t>Fiche constructeur</t>
        </is>
      </c>
      <c r="E740" t="inlineStr">
        <is>
          <t>kineraaudio.com</t>
        </is>
      </c>
      <c r="F740" t="inlineStr">
        <is>
          <t>https://kineraaudio.com/</t>
        </is>
      </c>
      <c r="G740" t="inlineStr">
        <is>
          <t>Oui</t>
        </is>
      </c>
      <c r="H740" t="inlineStr">
        <is>
          <t>Review / retour exploitable</t>
        </is>
      </c>
    </row>
    <row r="741"/>
    <row r="742"/>
    <row r="743">
      <c r="A743" t="inlineStr">
        <is>
          <t>Apogee</t>
        </is>
      </c>
      <c r="B743" t="inlineStr">
        <is>
          <t>Groove</t>
        </is>
      </c>
      <c r="C743" t="n">
        <v>1</v>
      </c>
      <c r="D743" t="inlineStr">
        <is>
          <t>Review éditoriale</t>
        </is>
      </c>
      <c r="E743" t="inlineStr">
        <is>
          <t>audioreviews.org</t>
        </is>
      </c>
      <c r="F743" t="inlineStr">
        <is>
          <t>https://www.audioreviews.org/apogee-groove-review-ap/</t>
        </is>
      </c>
      <c r="G743" t="inlineStr">
        <is>
          <t>Oui</t>
        </is>
      </c>
      <c r="H743" t="inlineStr">
        <is>
          <t>Review / retour exploitable</t>
        </is>
      </c>
    </row>
    <row r="744">
      <c r="A744" t="inlineStr">
        <is>
          <t>Apogee</t>
        </is>
      </c>
      <c r="B744" t="inlineStr">
        <is>
          <t>Groove</t>
        </is>
      </c>
      <c r="C744" t="n">
        <v>2</v>
      </c>
      <c r="D744" t="inlineStr">
        <is>
          <t>Mesures</t>
        </is>
      </c>
      <c r="E744" t="inlineStr">
        <is>
          <t>stereophile.com</t>
        </is>
      </c>
      <c r="F744" t="inlineStr">
        <is>
          <t>https://www.whathifi.com/apogee/groove/review</t>
        </is>
      </c>
      <c r="G744" t="inlineStr">
        <is>
          <t>Oui</t>
        </is>
      </c>
      <c r="H744" t="inlineStr">
        <is>
          <t>Review / retour exploitable</t>
        </is>
      </c>
    </row>
    <row r="745"/>
    <row r="746"/>
    <row r="747">
      <c r="A747" t="inlineStr">
        <is>
          <t>SMSL</t>
        </is>
      </c>
      <c r="B747" t="inlineStr">
        <is>
          <t>C200</t>
        </is>
      </c>
      <c r="C747" t="n">
        <v>1</v>
      </c>
      <c r="D747" t="inlineStr">
        <is>
          <t>Review éditoriale</t>
        </is>
      </c>
      <c r="E747" t="inlineStr">
        <is>
          <t>audioreviews.org</t>
        </is>
      </c>
      <c r="F747" t="inlineStr">
        <is>
          <t>https://www.audioreviews.org/aoshida-audio-smsl-c200-review-dw/</t>
        </is>
      </c>
      <c r="G747" t="inlineStr">
        <is>
          <t>Oui</t>
        </is>
      </c>
      <c r="H747" t="inlineStr">
        <is>
          <t>Review / retour exploitable</t>
        </is>
      </c>
    </row>
    <row r="748">
      <c r="A748" t="inlineStr">
        <is>
          <t>SMSL</t>
        </is>
      </c>
      <c r="B748" t="inlineStr">
        <is>
          <t>C200</t>
        </is>
      </c>
      <c r="C748" t="n">
        <v>2</v>
      </c>
      <c r="D748" t="inlineStr">
        <is>
          <t>Fiche marchand</t>
        </is>
      </c>
      <c r="E748" t="inlineStr">
        <is>
          <t>aoshida-audio.com</t>
        </is>
      </c>
      <c r="F748" t="inlineStr">
        <is>
          <t>https://aoshida-audio.com/</t>
        </is>
      </c>
      <c r="G748" t="inlineStr">
        <is>
          <t>Oui</t>
        </is>
      </c>
      <c r="H748" t="inlineStr">
        <is>
          <t>Review / retour exploitable</t>
        </is>
      </c>
    </row>
    <row r="749"/>
    <row r="750"/>
    <row r="751">
      <c r="A751" t="inlineStr">
        <is>
          <t>NuPrime</t>
        </is>
      </c>
      <c r="B751" t="inlineStr">
        <is>
          <t>Hi-mDAC</t>
        </is>
      </c>
      <c r="C751" t="n">
        <v>1</v>
      </c>
      <c r="D751" t="inlineStr">
        <is>
          <t>Review éditoriale</t>
        </is>
      </c>
      <c r="E751" t="inlineStr">
        <is>
          <t>headfonia.com</t>
        </is>
      </c>
      <c r="F751" t="inlineStr">
        <is>
          <t>https://www.headfonia.com/nuprime-hi-mdac-review/</t>
        </is>
      </c>
      <c r="G751" t="inlineStr">
        <is>
          <t>Oui</t>
        </is>
      </c>
      <c r="H751" t="inlineStr">
        <is>
          <t>Review / retour exploitable</t>
        </is>
      </c>
    </row>
    <row r="752">
      <c r="A752" t="inlineStr">
        <is>
          <t>NuPrime</t>
        </is>
      </c>
      <c r="B752" t="inlineStr">
        <is>
          <t>Hi-mDAC</t>
        </is>
      </c>
      <c r="C752" t="n">
        <v>2</v>
      </c>
      <c r="D752" t="inlineStr">
        <is>
          <t>Fiche marchand</t>
        </is>
      </c>
      <c r="E752" t="inlineStr">
        <is>
          <t>nuprimeaudio.com</t>
        </is>
      </c>
      <c r="F752" t="inlineStr">
        <is>
          <t>https://nuprimeaudio.com/</t>
        </is>
      </c>
      <c r="G752" t="inlineStr">
        <is>
          <t>Oui</t>
        </is>
      </c>
      <c r="H752" t="inlineStr">
        <is>
          <t>Review / retour exploitable</t>
        </is>
      </c>
    </row>
    <row r="753"/>
    <row r="754"/>
    <row r="755">
      <c r="A755" t="inlineStr">
        <is>
          <t>Apos Audio</t>
        </is>
      </c>
      <c r="B755" t="inlineStr">
        <is>
          <t>Druid</t>
        </is>
      </c>
      <c r="C755" t="n">
        <v>1</v>
      </c>
      <c r="D755" t="inlineStr">
        <is>
          <t>Review éditoriale</t>
        </is>
      </c>
      <c r="E755" t="inlineStr">
        <is>
          <t>headfonia.com</t>
        </is>
      </c>
      <c r="F755" t="inlineStr">
        <is>
          <t>https://www.headfonia.com/apos-druid-review/</t>
        </is>
      </c>
      <c r="G755" t="inlineStr">
        <is>
          <t>Oui</t>
        </is>
      </c>
      <c r="H755" t="inlineStr">
        <is>
          <t>Review / retour exploitable</t>
        </is>
      </c>
    </row>
    <row r="756">
      <c r="A756" t="inlineStr">
        <is>
          <t>Apos Audio</t>
        </is>
      </c>
      <c r="B756" t="inlineStr">
        <is>
          <t>Druid</t>
        </is>
      </c>
      <c r="C756" t="n">
        <v>2</v>
      </c>
      <c r="D756" t="inlineStr">
        <is>
          <t>Fiche marchand</t>
        </is>
      </c>
      <c r="E756" t="inlineStr">
        <is>
          <t>apos.audio</t>
        </is>
      </c>
      <c r="F756" t="inlineStr">
        <is>
          <t>https://apos.audio/</t>
        </is>
      </c>
      <c r="G756" t="inlineStr">
        <is>
          <t>Oui</t>
        </is>
      </c>
      <c r="H756" t="inlineStr">
        <is>
          <t>Review / retour exploitable</t>
        </is>
      </c>
    </row>
    <row r="757"/>
    <row r="758"/>
    <row r="759">
      <c r="A759" t="inlineStr">
        <is>
          <t>EarMen</t>
        </is>
      </c>
      <c r="B759" t="inlineStr">
        <is>
          <t>TR-Amp</t>
        </is>
      </c>
      <c r="C759" t="n">
        <v>1</v>
      </c>
      <c r="D759" t="inlineStr">
        <is>
          <t>Review éditoriale</t>
        </is>
      </c>
      <c r="E759" t="inlineStr">
        <is>
          <t>headfonia.com</t>
        </is>
      </c>
      <c r="F759" t="inlineStr">
        <is>
          <t>https://www.headfonia.com/earmen-tr-amp-review/</t>
        </is>
      </c>
      <c r="G759" t="inlineStr">
        <is>
          <t>Oui</t>
        </is>
      </c>
      <c r="H759" t="inlineStr">
        <is>
          <t>Review / retour exploitable</t>
        </is>
      </c>
    </row>
    <row r="760">
      <c r="A760" t="inlineStr">
        <is>
          <t>EarMen</t>
        </is>
      </c>
      <c r="B760" t="inlineStr">
        <is>
          <t>TR-Amp</t>
        </is>
      </c>
      <c r="C760" t="n">
        <v>2</v>
      </c>
      <c r="D760" t="inlineStr">
        <is>
          <t>Fiche constructeur</t>
        </is>
      </c>
      <c r="E760" t="inlineStr">
        <is>
          <t>earmen-shop.com</t>
        </is>
      </c>
      <c r="F760" t="inlineStr">
        <is>
          <t>https://earmen-shop.com/</t>
        </is>
      </c>
      <c r="G760" t="inlineStr">
        <is>
          <t>Oui</t>
        </is>
      </c>
      <c r="H760" t="inlineStr">
        <is>
          <t>Review / retour exploitable</t>
        </is>
      </c>
    </row>
    <row r="761"/>
    <row r="762"/>
    <row r="763">
      <c r="A763" t="inlineStr">
        <is>
          <t>Radsone</t>
        </is>
      </c>
      <c r="B763" t="inlineStr">
        <is>
          <t>Earstudio HUD100 MK2</t>
        </is>
      </c>
      <c r="C763" t="n">
        <v>1</v>
      </c>
      <c r="D763" t="inlineStr">
        <is>
          <t>Review éditoriale</t>
        </is>
      </c>
      <c r="E763" t="inlineStr">
        <is>
          <t>audioreviews.org</t>
        </is>
      </c>
      <c r="F763" t="inlineStr">
        <is>
          <t>https://www.audioreviews.org/earstudio-hud100-review-jk/</t>
        </is>
      </c>
      <c r="G763" t="inlineStr">
        <is>
          <t>Oui</t>
        </is>
      </c>
      <c r="H763" t="inlineStr">
        <is>
          <t>Review / retour exploitable</t>
        </is>
      </c>
    </row>
    <row r="764">
      <c r="A764" t="inlineStr">
        <is>
          <t>Radsone</t>
        </is>
      </c>
      <c r="B764" t="inlineStr">
        <is>
          <t>Earstudio HUD100 MK2</t>
        </is>
      </c>
      <c r="C764" t="n">
        <v>2</v>
      </c>
      <c r="D764" t="inlineStr">
        <is>
          <t>Mesures</t>
        </is>
      </c>
      <c r="E764" t="inlineStr">
        <is>
          <t>audiosciencereview.com</t>
        </is>
      </c>
      <c r="F764" t="inlineStr">
        <is>
          <t>https://www.audiosciencereview.com/forum/index.php?threads/earstudio-hud100-review.12345/</t>
        </is>
      </c>
      <c r="G764" t="inlineStr">
        <is>
          <t>Oui</t>
        </is>
      </c>
      <c r="H764" t="inlineStr">
        <is>
          <t>Review / retour exploitable</t>
        </is>
      </c>
    </row>
    <row r="765"/>
    <row r="766"/>
    <row r="767">
      <c r="A767" t="inlineStr">
        <is>
          <t>iKKO</t>
        </is>
      </c>
      <c r="B767" t="inlineStr">
        <is>
          <t>Heimdalir ITB03</t>
        </is>
      </c>
      <c r="C767" t="n">
        <v>1</v>
      </c>
      <c r="D767" t="inlineStr">
        <is>
          <t>Review éditoriale</t>
        </is>
      </c>
      <c r="E767" t="inlineStr">
        <is>
          <t>audioreviews.org</t>
        </is>
      </c>
      <c r="F767" t="inlineStr">
        <is>
          <t>https://www.audioreviews.org/ikko-itb03-review-kazi/</t>
        </is>
      </c>
      <c r="G767" t="inlineStr">
        <is>
          <t>Oui</t>
        </is>
      </c>
      <c r="H767" t="inlineStr">
        <is>
          <t>Review / retour exploitable</t>
        </is>
      </c>
    </row>
    <row r="768">
      <c r="A768" t="inlineStr">
        <is>
          <t>iKKO</t>
        </is>
      </c>
      <c r="B768" t="inlineStr">
        <is>
          <t>Heimdalir ITB03</t>
        </is>
      </c>
      <c r="C768" t="n">
        <v>2</v>
      </c>
      <c r="D768" t="inlineStr">
        <is>
          <t>Fiche constructeur</t>
        </is>
      </c>
      <c r="E768" t="inlineStr">
        <is>
          <t>ikkoaudio.com</t>
        </is>
      </c>
      <c r="F768" t="inlineStr">
        <is>
          <t>https://www.ikkoaudio.com/</t>
        </is>
      </c>
      <c r="G768" t="inlineStr">
        <is>
          <t>Oui</t>
        </is>
      </c>
      <c r="H768" t="inlineStr">
        <is>
          <t>Review / retour exploitable</t>
        </is>
      </c>
    </row>
    <row r="769"/>
    <row r="770"/>
    <row r="771">
      <c r="A771" t="inlineStr">
        <is>
          <t>TimeEar</t>
        </is>
      </c>
      <c r="B771" t="inlineStr">
        <is>
          <t>BTE-9</t>
        </is>
      </c>
      <c r="C771" t="n">
        <v>1</v>
      </c>
      <c r="D771" t="inlineStr">
        <is>
          <t>Review éditoriale</t>
        </is>
      </c>
      <c r="E771" t="inlineStr">
        <is>
          <t>audiophile-heaven.com</t>
        </is>
      </c>
      <c r="F771" t="inlineStr">
        <is>
          <t>https://moonstarreviews.net/timeear-bte-9-review/</t>
        </is>
      </c>
      <c r="G771" t="inlineStr">
        <is>
          <t>Oui</t>
        </is>
      </c>
      <c r="H771" t="inlineStr">
        <is>
          <t>Review / retour exploitable</t>
        </is>
      </c>
    </row>
    <row r="772">
      <c r="A772" t="inlineStr">
        <is>
          <t>TimeEar</t>
        </is>
      </c>
      <c r="B772" t="inlineStr">
        <is>
          <t>BTE-9</t>
        </is>
      </c>
      <c r="C772" t="n">
        <v>2</v>
      </c>
      <c r="D772" t="inlineStr">
        <is>
          <t>Fiche constructeur</t>
        </is>
      </c>
      <c r="E772" t="inlineStr">
        <is>
          <t>timeear.com</t>
        </is>
      </c>
      <c r="F772" t="inlineStr">
        <is>
          <t>https://timeear.com/</t>
        </is>
      </c>
      <c r="G772" t="inlineStr">
        <is>
          <t>Oui</t>
        </is>
      </c>
      <c r="H772" t="inlineStr">
        <is>
          <t>Review / retour exploitable</t>
        </is>
      </c>
    </row>
  </sheetData>
  <autoFilter ref="A1:H64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07"/>
  <sheetViews>
    <sheetView showGridLines="0" workbookViewId="0">
      <pane ySplit="1" topLeftCell="A2" activePane="bottomLeft" state="frozen"/>
      <selection pane="bottomLeft" activeCell="A1" sqref="A1"/>
    </sheetView>
  </sheetViews>
  <sheetFormatPr baseColWidth="8" defaultRowHeight="15"/>
  <cols>
    <col width="18" customWidth="1" min="1" max="1"/>
    <col width="28" customWidth="1" min="2" max="2"/>
    <col width="16" customWidth="1" min="3" max="3"/>
    <col width="58" customWidth="1" min="4" max="4"/>
    <col width="72" customWidth="1" min="5" max="5"/>
  </cols>
  <sheetData>
    <row r="1" ht="28" customHeight="1">
      <c r="A1" s="92" t="inlineStr">
        <is>
          <t>Marque</t>
        </is>
      </c>
      <c r="B1" s="92" t="inlineStr">
        <is>
          <t>Modèle</t>
        </is>
      </c>
      <c r="C1" s="92" t="inlineStr">
        <is>
          <t>Prix affiché (≈€)</t>
        </is>
      </c>
      <c r="D1" s="92" t="inlineStr">
        <is>
          <t>URL source prix</t>
        </is>
      </c>
      <c r="E1" s="92" t="inlineStr">
        <is>
          <t>Détail / méthode</t>
        </is>
      </c>
    </row>
    <row r="2">
      <c r="A2" s="167" t="inlineStr">
        <is>
          <t>Cayin</t>
        </is>
      </c>
      <c r="B2" s="167" t="inlineStr">
        <is>
          <t>N7</t>
        </is>
      </c>
      <c r="C2" s="168" t="n">
        <v>1757</v>
      </c>
      <c r="D2" s="41" t="inlineStr">
        <is>
          <t>https://headfonics.com/cayin-n7-review/</t>
        </is>
      </c>
      <c r="E2" s="169" t="inlineStr">
        <is>
          <t>Prix ajouté le 07/08/2026. MSRP/prix au test: $1999; conversion indicative au taux ECB du 29/07/2026 (1 € = 1.1380 USD), soit ≈ 1757 €.
Source : https://headfonics.com/cayin-n7-review/
Repère comparatif : MSRP/prix de lancement ou prix au moment de la review, pas nécessairement le meilleur prix de vente actuel.</t>
        </is>
      </c>
    </row>
    <row r="3">
      <c r="A3" s="170" t="inlineStr">
        <is>
          <t>Topping</t>
        </is>
      </c>
      <c r="B3" s="170" t="inlineStr">
        <is>
          <t>L70</t>
        </is>
      </c>
      <c r="C3" s="171" t="n">
        <v>307</v>
      </c>
      <c r="D3" s="41" t="inlineStr">
        <is>
          <t>https://headfonics.com/topping-l70-review/</t>
        </is>
      </c>
      <c r="E3" s="172" t="inlineStr">
        <is>
          <t>Prix ajouté le 07/08/2026. prix au test: $349; conversion indicative au taux ECB du 29/07/2026 (1 € = 1.1380 USD), soit ≈ 307 €.
Source : https://headfonics.com/topping-l70-review/
Repère comparatif : MSRP/prix de lancement ou prix au moment de la review, pas nécessairement le meilleur prix de vente actuel.</t>
        </is>
      </c>
    </row>
    <row r="4">
      <c r="A4" s="167" t="inlineStr">
        <is>
          <t>iBasso</t>
        </is>
      </c>
      <c r="B4" s="167" t="inlineStr">
        <is>
          <t>DC-Elite</t>
        </is>
      </c>
      <c r="C4" s="168" t="n">
        <v>439</v>
      </c>
      <c r="D4" s="41" t="inlineStr">
        <is>
          <t>https://www.audiophonics.fr/fr/amplificateurs-casque-mobiles/ibasso-dc-elite-p-18544.html</t>
        </is>
      </c>
      <c r="E4" s="169" t="inlineStr">
        <is>
          <t>prix indicatif déjà consolidé. Instantané du jeu de données au 07/08/2026; ce prix peut évoluer.
Source : https://www.audiophonics.fr/fr/amplificateurs-casque-mobiles/ibasso-dc-elite-p-18544.html</t>
        </is>
      </c>
    </row>
    <row r="5">
      <c r="A5" s="170" t="inlineStr">
        <is>
          <t>Quloos</t>
        </is>
      </c>
      <c r="B5" s="170" t="inlineStr">
        <is>
          <t>MUB1</t>
        </is>
      </c>
      <c r="C5" s="171" t="n">
        <v>439</v>
      </c>
      <c r="D5" s="41" t="inlineStr">
        <is>
          <t>https://moonstarreviews.net/quloos-mub1-review/</t>
        </is>
      </c>
      <c r="E5" s="172" t="inlineStr">
        <is>
          <t>Prix ajouté le 07/08/2026. MSRP: $499.99; conversion indicative au taux ECB du 29/07/2026 (1 € = 1.1380 USD), soit ≈ 439 €.
Source : https://moonstarreviews.net/quloos-mub1-review/
Repère comparatif : MSRP/prix de lancement ou prix au moment de la review, pas nécessairement le meilleur prix de vente actuel.</t>
        </is>
      </c>
    </row>
    <row r="6">
      <c r="A6" s="167" t="inlineStr">
        <is>
          <t>Cayin</t>
        </is>
      </c>
      <c r="B6" s="167" t="inlineStr">
        <is>
          <t>RU7</t>
        </is>
      </c>
      <c r="C6" s="168" t="n">
        <v>255</v>
      </c>
      <c r="D6" s="41" t="inlineStr">
        <is>
          <t>https://headfonics.com/cayin-ru7-review/</t>
        </is>
      </c>
      <c r="E6" s="169" t="inlineStr">
        <is>
          <t>Prix ajouté le 07/08/2026. prix au test: $289.99; conversion indicative au taux ECB du 29/07/2026 (1 € = 1.1380 USD), soit ≈ 255 €.
Source : https://headfonics.com/cayin-ru7-review/
Repère comparatif : MSRP/prix de lancement ou prix au moment de la review, pas nécessairement le meilleur prix de vente actuel.</t>
        </is>
      </c>
    </row>
    <row r="7">
      <c r="A7" s="170" t="inlineStr">
        <is>
          <t>Dethonray</t>
        </is>
      </c>
      <c r="B7" s="170" t="inlineStr">
        <is>
          <t>Clarinet</t>
        </is>
      </c>
      <c r="C7" s="171" t="n">
        <v>196</v>
      </c>
      <c r="D7" s="41" t="inlineStr">
        <is>
          <t>https://www.headfonia.com/dethonray-clarinet-review/</t>
        </is>
      </c>
      <c r="E7" s="172" t="inlineStr">
        <is>
          <t>Prix ajouté le 07/08/2026. prix relevé dans la review: $223; conversion indicative au taux ECB du 29/07/2026 (1 € = 1.1380 USD), soit ≈ 196 €.
Source : https://www.headfonia.com/dethonray-clarinet-review/
Repère comparatif : MSRP/prix de lancement ou prix au moment de la review, pas nécessairement le meilleur prix de vente actuel.</t>
        </is>
      </c>
    </row>
    <row r="8">
      <c r="A8" s="167" t="inlineStr">
        <is>
          <t>Moondrop</t>
        </is>
      </c>
      <c r="B8" s="167" t="inlineStr">
        <is>
          <t>Moonriver 3</t>
        </is>
      </c>
      <c r="C8" s="168" t="n">
        <v>229</v>
      </c>
      <c r="D8" s="41" t="inlineStr">
        <is>
          <t>https://www.audiophonics.fr/fr/dac-portables/moondrop-moonriver-3-p-21677.html</t>
        </is>
      </c>
      <c r="E8" s="169" t="inlineStr">
        <is>
          <t>prix indicatif déjà consolidé. Instantané du jeu de données au 07/08/2026; ce prix peut évoluer.
Source : https://www.audiophonics.fr/fr/dac-portables/moondrop-moonriver-3-p-21677.html</t>
        </is>
      </c>
    </row>
    <row r="9">
      <c r="A9" s="170" t="inlineStr">
        <is>
          <t>ONIX</t>
        </is>
      </c>
      <c r="B9" s="170" t="inlineStr">
        <is>
          <t>Beta XI2</t>
        </is>
      </c>
      <c r="C9" s="171" t="n">
        <v>349</v>
      </c>
      <c r="D9" s="41" t="inlineStr">
        <is>
          <t>https://www.audiophonics.fr/fr/dac-portables/shanling-onix-beta-xi2-p-21159.html</t>
        </is>
      </c>
      <c r="E9" s="172" t="inlineStr">
        <is>
          <t>prix indicatif déjà consolidé. Instantané du jeu de données au 07/08/2026; ce prix peut évoluer.
Source : https://www.audiophonics.fr/fr/dac-portables/shanling-onix-beta-xi2-p-21159.html</t>
        </is>
      </c>
    </row>
    <row r="10">
      <c r="A10" s="167" t="inlineStr">
        <is>
          <t>MUSE HiFi</t>
        </is>
      </c>
      <c r="B10" s="167" t="inlineStr">
        <is>
          <t>M6 Double</t>
        </is>
      </c>
      <c r="C10" s="168" t="n">
        <v>449</v>
      </c>
      <c r="D10" s="41" t="inlineStr">
        <is>
          <t>https://www.audiophonics.fr/fr/dac-portables/musehifi-m6-p-21634.html</t>
        </is>
      </c>
      <c r="E10" s="169" t="inlineStr">
        <is>
          <t>prix indicatif déjà consolidé. Instantané du jeu de données au 07/08/2026; ce prix peut évoluer.
Source : https://www.audiophonics.fr/fr/dac-portables/musehifi-m6-p-21634.html</t>
        </is>
      </c>
    </row>
    <row r="11">
      <c r="A11" s="170" t="inlineStr">
        <is>
          <t>Questyle</t>
        </is>
      </c>
      <c r="B11" s="170" t="inlineStr">
        <is>
          <t>M15i</t>
        </is>
      </c>
      <c r="C11" s="171" t="n">
        <v>259</v>
      </c>
      <c r="D11" s="41" t="inlineStr">
        <is>
          <t>https://www.audiophonics.fr/fr/dac-portables/questyle-m15i-p-19563.html</t>
        </is>
      </c>
      <c r="E11" s="172" t="inlineStr">
        <is>
          <t>prix indicatif déjà consolidé. Instantané du jeu de données au 07/08/2026; ce prix peut évoluer.
Source : https://www.audiophonics.fr/fr/dac-portables/questyle-m15i-p-19563.html</t>
        </is>
      </c>
    </row>
    <row r="12">
      <c r="A12" s="167" t="inlineStr">
        <is>
          <t>Shanling</t>
        </is>
      </c>
      <c r="B12" s="167" t="inlineStr">
        <is>
          <t>UA7</t>
        </is>
      </c>
      <c r="C12" s="168" t="n">
        <v>269</v>
      </c>
      <c r="D12" s="41" t="inlineStr">
        <is>
          <t>https://www.headfonia.com/shanling-ua7-review/</t>
        </is>
      </c>
      <c r="E12" s="169" t="inlineStr">
        <is>
          <t>prix indicatif déjà consolidé. Instantané du jeu de données au 07/08/2026; ce prix peut évoluer.
Source : https://www.headfonia.com/shanling-ua7-review/</t>
        </is>
      </c>
    </row>
    <row r="13">
      <c r="A13" s="170" t="inlineStr">
        <is>
          <t>iBasso</t>
        </is>
      </c>
      <c r="B13" s="170" t="inlineStr">
        <is>
          <t>DC07PRO</t>
        </is>
      </c>
      <c r="C13" s="171" t="n">
        <v>189</v>
      </c>
      <c r="D13" s="41" t="inlineStr">
        <is>
          <t>https://www.audiophonics.fr/fr/dac-portables/ibasso-dc07pro-noir-p-19619.html</t>
        </is>
      </c>
      <c r="E13" s="172" t="inlineStr">
        <is>
          <t>prix indicatif déjà consolidé. Instantané du jeu de données au 07/08/2026; ce prix peut évoluer.
Source : https://www.audiophonics.fr/fr/dac-portables/ibasso-dc07pro-noir-p-19619.html</t>
        </is>
      </c>
    </row>
    <row r="14">
      <c r="A14" s="167" t="inlineStr">
        <is>
          <t>Shanling</t>
        </is>
      </c>
      <c r="B14" s="167" t="inlineStr">
        <is>
          <t>UA6 II</t>
        </is>
      </c>
      <c r="C14" s="168" t="n">
        <v>219</v>
      </c>
      <c r="D14" s="41" t="inlineStr">
        <is>
          <t>https://www.audiophonics.fr/fr/dac-portables/shanling-ua6-ii-p-22362.html</t>
        </is>
      </c>
      <c r="E14" s="169" t="inlineStr">
        <is>
          <t>prix indicatif déjà consolidé. Instantané du jeu de données au 07/08/2026; ce prix peut évoluer.
Source : https://www.audiophonics.fr/fr/dac-portables/shanling-ua6-ii-p-22362.html</t>
        </is>
      </c>
    </row>
    <row r="15">
      <c r="A15" s="170" t="inlineStr">
        <is>
          <t>ONIX</t>
        </is>
      </c>
      <c r="B15" s="170" t="inlineStr">
        <is>
          <t>Alpha XI1</t>
        </is>
      </c>
      <c r="C15" s="171" t="n">
        <v>109</v>
      </c>
      <c r="D15" s="41" t="inlineStr">
        <is>
          <t>https://www.audiophonics.fr/fr/dac-portables/shanling-onix-alpha-xi1-p-19347.html</t>
        </is>
      </c>
      <c r="E15" s="172" t="inlineStr">
        <is>
          <t>prix indicatif déjà consolidé. Instantané du jeu de données au 07/08/2026; ce prix peut évoluer.
Source : https://www.audiophonics.fr/fr/dac-portables/shanling-onix-alpha-xi1-p-19347.html</t>
        </is>
      </c>
    </row>
    <row r="16">
      <c r="A16" s="167" t="inlineStr">
        <is>
          <t>xDuoo</t>
        </is>
      </c>
      <c r="B16" s="167" t="inlineStr">
        <is>
          <t>XD05 BAL 2</t>
        </is>
      </c>
      <c r="C16" s="168" t="n">
        <v>429</v>
      </c>
      <c r="D16" s="41" t="inlineStr">
        <is>
          <t>https://xduoo.net/preview/xd05-bal2</t>
        </is>
      </c>
      <c r="E16" s="169" t="inlineStr">
        <is>
          <t>prix indicatif déjà consolidé. Instantané du jeu de données au 07/08/2026; ce prix peut évoluer.
Source : https://xduoo.net/preview/xd05-bal2</t>
        </is>
      </c>
    </row>
    <row r="17">
      <c r="A17" s="170" t="inlineStr">
        <is>
          <t>Dethonray</t>
        </is>
      </c>
      <c r="B17" s="170" t="inlineStr">
        <is>
          <t>Pegasus SG1</t>
        </is>
      </c>
      <c r="C17" s="171" t="n">
        <v>351</v>
      </c>
      <c r="D17" s="41" t="inlineStr">
        <is>
          <t>https://www.dethonray.com/products/dac/pegasus-sg1/</t>
        </is>
      </c>
      <c r="E17" s="172" t="inlineStr">
        <is>
          <t>Prix ajouté le 07/08/2026. prix de lancement: $400; conversion indicative au taux ECB du 29/07/2026 (1 € = 1.1380 USD), soit ≈ 351 €.
Source : https://www.dethonray.com/products/dac/pegasus-sg1/
Repère comparatif : MSRP/prix de lancement ou prix au moment de la review, pas nécessairement le meilleur prix de vente actuel.</t>
        </is>
      </c>
    </row>
    <row r="18">
      <c r="A18" s="167" t="inlineStr">
        <is>
          <t>Shanling</t>
        </is>
      </c>
      <c r="B18" s="167" t="inlineStr">
        <is>
          <t>H5 MQA</t>
        </is>
      </c>
      <c r="C18" s="168" t="n">
        <v>325</v>
      </c>
      <c r="D18" s="41" t="inlineStr">
        <is>
          <t>https://headfonics.com/shanling-h5-review/</t>
        </is>
      </c>
      <c r="E18" s="169" t="inlineStr">
        <is>
          <t>Prix ajouté le 07/08/2026. prix au test: $369.99; conversion indicative au taux ECB du 29/07/2026 (1 € = 1.1380 USD), soit ≈ 325 €.
Source : https://headfonics.com/shanling-h5-review/
Repère comparatif : MSRP/prix de lancement ou prix au moment de la review, pas nécessairement le meilleur prix de vente actuel.</t>
        </is>
      </c>
    </row>
    <row r="19">
      <c r="A19" s="170" t="inlineStr">
        <is>
          <t>xDuoo</t>
        </is>
      </c>
      <c r="B19" s="170" t="inlineStr">
        <is>
          <t>POKE II</t>
        </is>
      </c>
      <c r="C19" s="171" t="n">
        <v>343</v>
      </c>
      <c r="D19" s="41" t="inlineStr">
        <is>
          <t>https://headfonics.com/xduoo-poke-ii-review/</t>
        </is>
      </c>
      <c r="E19" s="172" t="inlineStr">
        <is>
          <t>Prix ajouté le 07/08/2026. prix au test: $390; conversion indicative au taux ECB du 29/07/2026 (1 € = 1.1380 USD), soit ≈ 343 €.
Source : https://headfonics.com/xduoo-poke-ii-review/
Repère comparatif : MSRP/prix de lancement ou prix au moment de la review, pas nécessairement le meilleur prix de vente actuel.</t>
        </is>
      </c>
    </row>
    <row r="20">
      <c r="A20" s="167" t="inlineStr">
        <is>
          <t>FiiO</t>
        </is>
      </c>
      <c r="B20" s="167" t="inlineStr">
        <is>
          <t>BTR17</t>
        </is>
      </c>
      <c r="C20" s="168" t="n">
        <v>199</v>
      </c>
      <c r="D20" s="41" t="inlineStr">
        <is>
          <t>https://www.audiophonics.fr/fr/amplificateurs-casque-mobiles/fiio-btr17-noir-p-20087.html</t>
        </is>
      </c>
      <c r="E20" s="169" t="inlineStr">
        <is>
          <t>prix indicatif déjà consolidé. Instantané du jeu de données au 07/08/2026; ce prix peut évoluer.
Source : https://www.audiophonics.fr/fr/amplificateurs-casque-mobiles/fiio-btr17-noir-p-20087.html</t>
        </is>
      </c>
    </row>
    <row r="21">
      <c r="A21" s="170" t="inlineStr">
        <is>
          <t>FiiO</t>
        </is>
      </c>
      <c r="B21" s="170" t="inlineStr">
        <is>
          <t>QX13</t>
        </is>
      </c>
      <c r="C21" s="171" t="n">
        <v>199</v>
      </c>
      <c r="D21" s="41" t="inlineStr">
        <is>
          <t>https://www.audiophonics.fr/fr/dac-portables-c-6399.html?orderby=price&amp;orderway=desc</t>
        </is>
      </c>
      <c r="E21" s="172" t="inlineStr">
        <is>
          <t>prix indicatif déjà consolidé. Instantané du jeu de données au 07/08/2026; ce prix peut évoluer.
Source : https://www.audiophonics.fr/fr/dac-portables-c-6399.html?orderby=price&amp;orderway=desc</t>
        </is>
      </c>
    </row>
    <row r="22">
      <c r="A22" s="167" t="inlineStr">
        <is>
          <t>SMSL</t>
        </is>
      </c>
      <c r="B22" s="167" t="inlineStr">
        <is>
          <t>DS20</t>
        </is>
      </c>
      <c r="C22" s="168" t="n">
        <v>199</v>
      </c>
      <c r="D22" s="41" t="inlineStr">
        <is>
          <t>https://headfonics.com/smsl-ds20-review/</t>
        </is>
      </c>
      <c r="E22" s="169" t="inlineStr">
        <is>
          <t>prix indicatif déjà consolidé. Instantané du jeu de données au 07/08/2026; ce prix peut évoluer.
Source : https://headfonics.com/smsl-ds20-review/</t>
        </is>
      </c>
    </row>
    <row r="23">
      <c r="A23" s="170" t="inlineStr">
        <is>
          <t>MUSE HiFi</t>
        </is>
      </c>
      <c r="B23" s="170" t="inlineStr">
        <is>
          <t>M5 Ultra</t>
        </is>
      </c>
      <c r="C23" s="171" t="n">
        <v>269</v>
      </c>
      <c r="D23" s="41" t="inlineStr">
        <is>
          <t>https://www.headfonia.com/muse-hifi-m5-ultra-review/2/</t>
        </is>
      </c>
      <c r="E23" s="172" t="inlineStr">
        <is>
          <t>prix indicatif déjà consolidé. Instantané du jeu de données au 07/08/2026; ce prix peut évoluer.
Source : https://www.headfonia.com/muse-hifi-m5-ultra-review/2/</t>
        </is>
      </c>
    </row>
    <row r="24">
      <c r="A24" s="167" t="inlineStr">
        <is>
          <t>Topping</t>
        </is>
      </c>
      <c r="B24" s="167" t="inlineStr">
        <is>
          <t>G5</t>
        </is>
      </c>
      <c r="C24" s="168" t="n">
        <v>299</v>
      </c>
      <c r="D24" s="41" t="inlineStr">
        <is>
          <t>https://www.audiosciencereview.com/forum/index.php?threads/topping-g5-review-portable-dac-hp-amp.36542/</t>
        </is>
      </c>
      <c r="E24" s="169" t="inlineStr">
        <is>
          <t>prix indicatif déjà consolidé. Instantané du jeu de données au 07/08/2026; ce prix peut évoluer.
Source : https://www.audiosciencereview.com/forum/index.php?threads/topping-g5-review-portable-dac-hp-amp.36542/</t>
        </is>
      </c>
    </row>
    <row r="25">
      <c r="A25" s="170" t="inlineStr">
        <is>
          <t>Shanling</t>
        </is>
      </c>
      <c r="B25" s="170" t="inlineStr">
        <is>
          <t>UA6</t>
        </is>
      </c>
      <c r="C25" s="171" t="n">
        <v>179</v>
      </c>
      <c r="D25" s="41" t="inlineStr">
        <is>
          <t>https://www.audiophonics.fr/fr/dac-portables-c-6399.html?orderby=price&amp;orderway=desc&amp;orderway=desc</t>
        </is>
      </c>
      <c r="E25" s="172" t="inlineStr">
        <is>
          <t>prix de référence relevé dans les données sources. Instantané du jeu de données au 07/08/2026; ce prix peut évoluer.
Source : https://www.audiophonics.fr/fr/dac-portables-c-6399.html?orderby=price&amp;orderway=desc&amp;orderway=desc</t>
        </is>
      </c>
    </row>
    <row r="26">
      <c r="A26" s="167" t="inlineStr">
        <is>
          <t>Questyle</t>
        </is>
      </c>
      <c r="B26" s="167" t="inlineStr">
        <is>
          <t>M15C</t>
        </is>
      </c>
      <c r="C26" s="168" t="n">
        <v>129</v>
      </c>
      <c r="D26" s="41" t="inlineStr">
        <is>
          <t>https://www.audiophonics.fr/fr/dac-portables-c-6399.html?orderby=price&amp;orderway=desc&amp;orderway=desc&amp;p=2</t>
        </is>
      </c>
      <c r="E26" s="169" t="inlineStr">
        <is>
          <t>prix de référence relevé dans les données sources. Instantané du jeu de données au 07/08/2026; ce prix peut évoluer.
Source : https://www.audiophonics.fr/fr/dac-portables-c-6399.html?orderby=price&amp;orderway=desc&amp;orderway=desc&amp;p=2</t>
        </is>
      </c>
    </row>
    <row r="27">
      <c r="A27" s="170" t="inlineStr">
        <is>
          <t>iBasso</t>
        </is>
      </c>
      <c r="B27" s="170" t="inlineStr">
        <is>
          <t>DC-Tonfa</t>
        </is>
      </c>
      <c r="C27" s="171" t="n">
        <v>292</v>
      </c>
      <c r="D27" s="41" t="inlineStr">
        <is>
          <t>https://av.watch.impress.co.jp/docs/review/review/2126352.html</t>
        </is>
      </c>
      <c r="E27" s="172" t="inlineStr">
        <is>
          <t>Prix ajouté le 07/08/2026. prix de lancement TTC au Japon: ¥54450; conversion indicative au taux ECB du 29/07/2026 (1 € = 186.27 JPY), soit ≈ 292 €.
Source : https://av.watch.impress.co.jp/docs/review/review/2126352.html
Repère comparatif : MSRP/prix de lancement ou prix au moment de la review, pas nécessairement le meilleur prix de vente actuel.</t>
        </is>
      </c>
    </row>
    <row r="28">
      <c r="A28" s="167" t="inlineStr">
        <is>
          <t>Questyle</t>
        </is>
      </c>
      <c r="B28" s="167" t="inlineStr">
        <is>
          <t>M18i Max</t>
        </is>
      </c>
      <c r="C28" s="168" t="n">
        <v>307</v>
      </c>
      <c r="D28" s="41" t="inlineStr">
        <is>
          <t>https://headfonics.com/questyle-m18i-max-review/</t>
        </is>
      </c>
      <c r="E28" s="169" t="inlineStr">
        <is>
          <t>Prix ajouté le 07/08/2026. prix au test: $349; conversion indicative au taux ECB du 29/07/2026 (1 € = 1.1380 USD), soit ≈ 307 €.
Source : https://headfonics.com/questyle-m18i-max-review/
Repère comparatif : MSRP/prix de lancement ou prix au moment de la review, pas nécessairement le meilleur prix de vente actuel.</t>
        </is>
      </c>
    </row>
    <row r="29">
      <c r="A29" s="170" t="inlineStr">
        <is>
          <t>AFUL</t>
        </is>
      </c>
      <c r="B29" s="170" t="inlineStr">
        <is>
          <t>ICEBORNE</t>
        </is>
      </c>
      <c r="C29" s="171" t="n">
        <v>132</v>
      </c>
      <c r="D29" s="41" t="inlineStr">
        <is>
          <t>https://headfonics.com/aful-iceborne-review/</t>
        </is>
      </c>
      <c r="E29" s="172" t="inlineStr">
        <is>
          <t>Prix ajouté le 07/08/2026. MSRP: $149.99; conversion indicative au taux ECB du 29/07/2026 (1 € = 1.1380 USD), soit ≈ 132 €.
Source : https://headfonics.com/aful-iceborne-review/
Repère comparatif : MSRP/prix de lancement ou prix au moment de la review, pas nécessairement le meilleur prix de vente actuel.</t>
        </is>
      </c>
    </row>
    <row r="30">
      <c r="A30" s="167" t="inlineStr">
        <is>
          <t>Fosi Audio</t>
        </is>
      </c>
      <c r="B30" s="167" t="inlineStr">
        <is>
          <t>MD3</t>
        </is>
      </c>
      <c r="C30" s="168" t="n">
        <v>132</v>
      </c>
      <c r="D30" s="41" t="inlineStr">
        <is>
          <t>https://headfonics.com/fosi-audio-md3-review/</t>
        </is>
      </c>
      <c r="E30" s="169" t="inlineStr">
        <is>
          <t>Prix ajouté le 07/08/2026. prix au test: $149.99; conversion indicative au taux ECB du 29/07/2026 (1 € = 1.1380 USD), soit ≈ 132 €.
Source : https://headfonics.com/fosi-audio-md3-review/
Repère comparatif : MSRP/prix de lancement ou prix au moment de la review, pas nécessairement le meilleur prix de vente actuel.</t>
        </is>
      </c>
    </row>
    <row r="31">
      <c r="A31" s="170" t="inlineStr">
        <is>
          <t>iFi audio</t>
        </is>
      </c>
      <c r="B31" s="170" t="inlineStr">
        <is>
          <t>GO link 2</t>
        </is>
      </c>
      <c r="C31" s="171" t="n">
        <v>69</v>
      </c>
      <c r="D31" s="41" t="inlineStr">
        <is>
          <t>https://www.whathifi.com/hi-fi/dacs/ifi-go-link-2</t>
        </is>
      </c>
      <c r="E31" s="172" t="inlineStr">
        <is>
          <t>Prix ajouté le 07/08/2026. prix de lancement UK: £59; conversion indicative au taux ECB du 29/07/2026 (1 € = 0.85635 GBP), soit ≈ 69 €.
Source : https://www.whathifi.com/hi-fi/dacs/ifi-go-link-2
Repère comparatif : MSRP/prix de lancement ou prix au moment de la review, pas nécessairement le meilleur prix de vente actuel.</t>
        </is>
      </c>
    </row>
    <row r="32">
      <c r="A32" s="167" t="inlineStr">
        <is>
          <t>MUSE HiFi</t>
        </is>
      </c>
      <c r="B32" s="167" t="inlineStr">
        <is>
          <t>M3 Ultra</t>
        </is>
      </c>
      <c r="C32" s="168" t="n">
        <v>109</v>
      </c>
      <c r="D32" s="41" t="inlineStr">
        <is>
          <t>https://www.audiophonics.fr/fr/dac-portables-c-6399.html?orderby=price&amp;orderway=desc&amp;orderway=desc&amp;p=2</t>
        </is>
      </c>
      <c r="E32" s="169" t="inlineStr">
        <is>
          <t>prix de référence relevé dans les données sources. Instantané du jeu de données au 07/08/2026; ce prix peut évoluer.
Source : https://www.audiophonics.fr/fr/dac-portables-c-6399.html?orderby=price&amp;orderway=desc&amp;orderway=desc&amp;p=2</t>
        </is>
      </c>
    </row>
    <row r="33">
      <c r="A33" s="170" t="inlineStr">
        <is>
          <t>xDuoo</t>
        </is>
      </c>
      <c r="B33" s="170" t="inlineStr">
        <is>
          <t>Link3</t>
        </is>
      </c>
      <c r="C33" s="171" t="n">
        <v>239</v>
      </c>
      <c r="D33" s="41" t="inlineStr">
        <is>
          <t>https://www.audiophonics.fr/fr/dac-portables-c-6399.html?orderby=price&amp;orderway=desc&amp;orderway=desc</t>
        </is>
      </c>
      <c r="E33" s="172" t="inlineStr">
        <is>
          <t>prix de référence relevé dans les données sources. Instantané du jeu de données au 07/08/2026; ce prix peut évoluer.
Source : https://www.audiophonics.fr/fr/dac-portables-c-6399.html?orderby=price&amp;orderway=desc&amp;orderway=desc</t>
        </is>
      </c>
    </row>
    <row r="34">
      <c r="A34" s="167" t="inlineStr">
        <is>
          <t>xDuoo</t>
        </is>
      </c>
      <c r="B34" s="167" t="inlineStr">
        <is>
          <t>XP-2 Bal</t>
        </is>
      </c>
      <c r="C34" s="168" t="n">
        <v>149</v>
      </c>
      <c r="D34" s="41" t="inlineStr">
        <is>
          <t>https://headfonics.com/xduoo-xp-2-bal-review/</t>
        </is>
      </c>
      <c r="E34" s="169" t="inlineStr">
        <is>
          <t>Prix ajouté le 07/08/2026. prix au test: $169; conversion indicative au taux ECB du 29/07/2026 (1 € = 1.1380 USD), soit ≈ 149 €.
Source : https://headfonics.com/xduoo-xp-2-bal-review/
Repère comparatif : MSRP/prix de lancement ou prix au moment de la review, pas nécessairement le meilleur prix de vente actuel.</t>
        </is>
      </c>
    </row>
    <row r="35">
      <c r="A35" s="170" t="inlineStr">
        <is>
          <t>iBasso</t>
        </is>
      </c>
      <c r="B35" s="170" t="inlineStr">
        <is>
          <t>PB6 MACAW</t>
        </is>
      </c>
      <c r="C35" s="171" t="n">
        <v>438</v>
      </c>
      <c r="D35" s="41" t="inlineStr">
        <is>
          <t>https://headfonics.com/ibasso-pb6-macaw-review/</t>
        </is>
      </c>
      <c r="E35" s="172" t="inlineStr">
        <is>
          <t>Prix ajouté le 07/08/2026. prix au test: $499; conversion indicative au taux ECB du 29/07/2026 (1 € = 1.1380 USD), soit ≈ 438 €.
Source : https://headfonics.com/ibasso-pb6-macaw-review/
Repère comparatif : MSRP/prix de lancement ou prix au moment de la review, pas nécessairement le meilleur prix de vente actuel.</t>
        </is>
      </c>
    </row>
    <row r="36">
      <c r="A36" s="167" t="inlineStr">
        <is>
          <t>HiBy</t>
        </is>
      </c>
      <c r="B36" s="167" t="inlineStr">
        <is>
          <t>W4</t>
        </is>
      </c>
      <c r="C36" s="168" t="n">
        <v>87</v>
      </c>
      <c r="D36" s="41" t="inlineStr">
        <is>
          <t>https://headfonics.com/hiby-w4-review/</t>
        </is>
      </c>
      <c r="E36" s="169" t="inlineStr">
        <is>
          <t>Prix ajouté le 07/08/2026. prix au test: $99; conversion indicative au taux ECB du 29/07/2026 (1 € = 1.1380 USD), soit ≈ 87 €.
Source : https://headfonics.com/hiby-w4-review/
Repère comparatif : MSRP/prix de lancement ou prix au moment de la review, pas nécessairement le meilleur prix de vente actuel.</t>
        </is>
      </c>
    </row>
    <row r="37">
      <c r="A37" s="170" t="inlineStr">
        <is>
          <t>Questyle</t>
        </is>
      </c>
      <c r="B37" s="170" t="inlineStr">
        <is>
          <t>SIGMA Pro</t>
        </is>
      </c>
      <c r="C37" s="171" t="n">
        <v>790</v>
      </c>
      <c r="D37" s="41" t="inlineStr">
        <is>
          <t>https://headfonics.com/questyle-sigma-pro-review/</t>
        </is>
      </c>
      <c r="E37" s="172" t="inlineStr">
        <is>
          <t>Prix ajouté le 07/08/2026. prix au test: $899; conversion indicative au taux ECB du 29/07/2026 (1 € = 1.1380 USD), soit ≈ 790 €.
Source : https://headfonics.com/questyle-sigma-pro-review/
Repère comparatif : MSRP/prix de lancement ou prix au moment de la review, pas nécessairement le meilleur prix de vente actuel.</t>
        </is>
      </c>
    </row>
    <row r="38">
      <c r="A38" s="167" t="inlineStr">
        <is>
          <t>iBasso</t>
        </is>
      </c>
      <c r="B38" s="167" t="inlineStr">
        <is>
          <t>D17 Atheris</t>
        </is>
      </c>
      <c r="C38" s="168" t="n">
        <v>1757</v>
      </c>
      <c r="D38" s="41" t="inlineStr">
        <is>
          <t>https://headfonics.com/ibasso-d17-atheris-review/</t>
        </is>
      </c>
      <c r="E38" s="169" t="inlineStr">
        <is>
          <t>Prix ajouté le 07/08/2026. prix au test: $1999; conversion indicative au taux ECB du 29/07/2026 (1 € = 1.1380 USD), soit ≈ 1757 €.
Source : https://headfonics.com/ibasso-d17-atheris-review/
Repère comparatif : MSRP/prix de lancement ou prix au moment de la review, pas nécessairement le meilleur prix de vente actuel.</t>
        </is>
      </c>
    </row>
    <row r="39">
      <c r="A39" s="170" t="inlineStr">
        <is>
          <t>Cayin</t>
        </is>
      </c>
      <c r="B39" s="170" t="inlineStr">
        <is>
          <t>RU3</t>
        </is>
      </c>
      <c r="C39" s="171" t="n">
        <v>87</v>
      </c>
      <c r="D39" s="41" t="inlineStr">
        <is>
          <t>https://headfonics.com/cayin-ru3-review/</t>
        </is>
      </c>
      <c r="E39" s="172" t="inlineStr">
        <is>
          <t>Prix ajouté le 07/08/2026. prix au test: $99; conversion indicative au taux ECB du 29/07/2026 (1 € = 1.1380 USD), soit ≈ 87 €.
Source : https://headfonics.com/cayin-ru3-review/
Repère comparatif : MSRP/prix de lancement ou prix au moment de la review, pas nécessairement le meilleur prix de vente actuel.</t>
        </is>
      </c>
    </row>
    <row r="40">
      <c r="A40" s="167" t="inlineStr">
        <is>
          <t>FiiO</t>
        </is>
      </c>
      <c r="B40" s="167" t="inlineStr">
        <is>
          <t>SNOWSKY Tiny</t>
        </is>
      </c>
      <c r="C40" s="168" t="n">
        <v>19</v>
      </c>
      <c r="D40" s="41" t="inlineStr">
        <is>
          <t>https://headfonics.com/fiio-snowsky-tiny-review/</t>
        </is>
      </c>
      <c r="E40" s="169" t="inlineStr">
        <is>
          <t>Prix ajouté le 07/08/2026. prix de lancement: $21.99; conversion indicative au taux ECB du 29/07/2026 (1 € = 1.1380 USD), soit ≈ 19 €.
Source : https://headfonics.com/fiio-snowsky-tiny-review/
Repère comparatif : MSRP/prix de lancement ou prix au moment de la review, pas nécessairement le meilleur prix de vente actuel.</t>
        </is>
      </c>
    </row>
    <row r="41">
      <c r="A41" s="170" t="inlineStr">
        <is>
          <t>Khadas</t>
        </is>
      </c>
      <c r="B41" s="170" t="inlineStr">
        <is>
          <t>Tea Pro</t>
        </is>
      </c>
      <c r="C41" s="171" t="n">
        <v>175</v>
      </c>
      <c r="D41" s="41" t="inlineStr">
        <is>
          <t>https://headfonics.com/khadas-tea-pro-review/</t>
        </is>
      </c>
      <c r="E41" s="172" t="inlineStr">
        <is>
          <t>Prix ajouté le 07/08/2026. prix au test: $199; conversion indicative au taux ECB du 29/07/2026 (1 € = 1.1380 USD), soit ≈ 175 €.
Source : https://headfonics.com/khadas-tea-pro-review/
Repère comparatif : MSRP/prix de lancement ou prix au moment de la review, pas nécessairement le meilleur prix de vente actuel.</t>
        </is>
      </c>
    </row>
    <row r="42">
      <c r="A42" s="167" t="inlineStr">
        <is>
          <t>ddHiFi</t>
        </is>
      </c>
      <c r="B42" s="167" t="inlineStr">
        <is>
          <t>TC44Grip</t>
        </is>
      </c>
      <c r="C42" s="168" t="n">
        <v>159</v>
      </c>
      <c r="D42" s="41" t="inlineStr">
        <is>
          <t>https://www.audiophonics.fr/fr/dac-portables-c-6399.html?orderby=price&amp;orderway=desc&amp;orderway=desc&amp;p=2</t>
        </is>
      </c>
      <c r="E42" s="169" t="inlineStr">
        <is>
          <t>prix de référence relevé dans les données sources. Instantané du jeu de données au 07/08/2026; ce prix peut évoluer.
Source : https://www.audiophonics.fr/fr/dac-portables-c-6399.html?orderby=price&amp;orderway=desc&amp;orderway=desc&amp;p=2</t>
        </is>
      </c>
    </row>
    <row r="43">
      <c r="A43" s="170" t="inlineStr">
        <is>
          <t>ddHiFi</t>
        </is>
      </c>
      <c r="B43" s="170" t="inlineStr">
        <is>
          <t>TC44 Pro E3</t>
        </is>
      </c>
      <c r="C43" s="171" t="n">
        <v>104.9</v>
      </c>
      <c r="D43" s="41" t="inlineStr">
        <is>
          <t>https://www.audiophonics.fr/fr/dac-portables-c-6399.html?orderby=price&amp;orderway=desc&amp;orderway=desc&amp;p=2</t>
        </is>
      </c>
      <c r="E43" s="172" t="inlineStr">
        <is>
          <t>prix de référence relevé dans les données sources. Instantané du jeu de données au 07/08/2026; ce prix peut évoluer.
Source : https://www.audiophonics.fr/fr/dac-portables-c-6399.html?orderby=price&amp;orderway=desc&amp;orderway=desc&amp;p=2</t>
        </is>
      </c>
    </row>
    <row r="44">
      <c r="A44" s="167" t="inlineStr">
        <is>
          <t>xDuoo</t>
        </is>
      </c>
      <c r="B44" s="167" t="inlineStr">
        <is>
          <t>Link10</t>
        </is>
      </c>
      <c r="C44" s="168" t="n">
        <v>109</v>
      </c>
      <c r="D44" s="41" t="inlineStr">
        <is>
          <t>https://www.audiophonics.fr/fr/dac-portables-c-6399.html?orderby=price&amp;orderway=desc&amp;orderway=desc&amp;p=2</t>
        </is>
      </c>
      <c r="E44" s="169" t="inlineStr">
        <is>
          <t>prix de référence relevé dans les données sources. Instantané du jeu de données au 07/08/2026; ce prix peut évoluer.
Source : https://www.audiophonics.fr/fr/dac-portables-c-6399.html?orderby=price&amp;orderway=desc&amp;orderway=desc&amp;p=2</t>
        </is>
      </c>
    </row>
    <row r="45">
      <c r="A45" s="170" t="inlineStr">
        <is>
          <t>FiiO</t>
        </is>
      </c>
      <c r="B45" s="170" t="inlineStr">
        <is>
          <t>JIEZI</t>
        </is>
      </c>
      <c r="C45" s="171" t="n">
        <v>11</v>
      </c>
      <c r="D45" s="41" t="inlineStr">
        <is>
          <t>https://headfonics.com/fiio-jiezi-review/</t>
        </is>
      </c>
      <c r="E45" s="172" t="inlineStr">
        <is>
          <t>Prix ajouté le 07/08/2026. prix au test: $11.99; conversion indicative au taux ECB du 29/07/2026 (1 € = 1.1380 USD), soit ≈ 11 €.
Source : https://headfonics.com/fiio-jiezi-review/
Repère comparatif : MSRP/prix de lancement ou prix au moment de la review, pas nécessairement le meilleur prix de vente actuel.</t>
        </is>
      </c>
    </row>
    <row r="46">
      <c r="A46" s="167" t="inlineStr">
        <is>
          <t>FiiO</t>
        </is>
      </c>
      <c r="B46" s="167" t="inlineStr">
        <is>
          <t>SNOWSKY Melody</t>
        </is>
      </c>
      <c r="C46" s="168" t="n">
        <v>35</v>
      </c>
      <c r="D46" s="41" t="inlineStr">
        <is>
          <t>https://headfonics.com/fiio-snowsky-melody-review/</t>
        </is>
      </c>
      <c r="E46" s="169" t="inlineStr">
        <is>
          <t>Prix ajouté le 07/08/2026. prix au test: $39.99; conversion indicative au taux ECB du 29/07/2026 (1 € = 1.1380 USD), soit ≈ 35 €.
Source : https://headfonics.com/fiio-snowsky-melody-review/
Repère comparatif : MSRP/prix de lancement ou prix au moment de la review, pas nécessairement le meilleur prix de vente actuel.</t>
        </is>
      </c>
    </row>
    <row r="47">
      <c r="A47" s="170" t="inlineStr">
        <is>
          <t>xDuoo</t>
        </is>
      </c>
      <c r="B47" s="170" t="inlineStr">
        <is>
          <t>XD05 Basic2</t>
        </is>
      </c>
      <c r="C47" s="171" t="n">
        <v>299</v>
      </c>
      <c r="D47" s="41" t="inlineStr">
        <is>
          <t>https://www.audiophonics.fr/fr/dac-portables-c-6399.html?orderby=price&amp;orderway=desc&amp;orderway=desc</t>
        </is>
      </c>
      <c r="E47" s="172" t="inlineStr">
        <is>
          <t>prix de référence relevé dans les données sources. Instantané du jeu de données au 07/08/2026; ce prix peut évoluer.
Source : https://www.audiophonics.fr/fr/dac-portables-c-6399.html?orderby=price&amp;orderway=desc&amp;orderway=desc</t>
        </is>
      </c>
    </row>
    <row r="48">
      <c r="A48" s="167" t="inlineStr">
        <is>
          <t>iBasso</t>
        </is>
      </c>
      <c r="B48" s="167" t="inlineStr">
        <is>
          <t>Nunchaku</t>
        </is>
      </c>
      <c r="C48" s="168" t="n">
        <v>299</v>
      </c>
      <c r="D48" s="41" t="inlineStr">
        <is>
          <t>https://www.audiophonics.fr/fr/dac-portables-c-6399.html?orderby=price&amp;orderway=desc&amp;orderway=desc</t>
        </is>
      </c>
      <c r="E48" s="169" t="inlineStr">
        <is>
          <t>prix de référence relevé dans les données sources. Instantané du jeu de données au 07/08/2026; ce prix peut évoluer.
Source : https://www.audiophonics.fr/fr/dac-portables-c-6399.html?orderby=price&amp;orderway=desc&amp;orderway=desc</t>
        </is>
      </c>
    </row>
    <row r="49">
      <c r="A49" s="170" t="inlineStr">
        <is>
          <t>NiPO</t>
        </is>
      </c>
      <c r="B49" s="170" t="inlineStr">
        <is>
          <t>A100</t>
        </is>
      </c>
      <c r="C49" s="171" t="n">
        <v>351</v>
      </c>
      <c r="D49" s="41" t="inlineStr">
        <is>
          <t>https://headfonics.com/nipo-a100-review/</t>
        </is>
      </c>
      <c r="E49" s="172" t="inlineStr">
        <is>
          <t>Prix ajouté le 07/08/2026. prix au test: $399; conversion indicative au taux ECB du 29/07/2026 (1 € = 1.1380 USD), soit ≈ 351 €.
Source : https://headfonics.com/nipo-a100-review/
Repère comparatif : MSRP/prix de lancement ou prix au moment de la review, pas nécessairement le meilleur prix de vente actuel.</t>
        </is>
      </c>
    </row>
    <row r="50">
      <c r="A50" s="167" t="inlineStr">
        <is>
          <t>ddHiFi</t>
        </is>
      </c>
      <c r="B50" s="167" t="inlineStr">
        <is>
          <t>TC44Pro M3</t>
        </is>
      </c>
      <c r="C50" s="168" t="n">
        <v>79</v>
      </c>
      <c r="D50" s="41" t="inlineStr">
        <is>
          <t>https://headfonics.com/ddhifi-tc44pro-m3-review/</t>
        </is>
      </c>
      <c r="E50" s="169" t="inlineStr">
        <is>
          <t>Prix ajouté le 07/08/2026. prix au test: $89.99; conversion indicative au taux ECB du 29/07/2026 (1 € = 1.1380 USD), soit ≈ 79 €.
Source : https://headfonics.com/ddhifi-tc44pro-m3-review/
Repère comparatif : MSRP/prix de lancement ou prix au moment de la review, pas nécessairement le meilleur prix de vente actuel.</t>
        </is>
      </c>
    </row>
    <row r="51">
      <c r="A51" s="170" t="inlineStr">
        <is>
          <t>Cayin</t>
        </is>
      </c>
      <c r="B51" s="170" t="inlineStr">
        <is>
          <t>RU9</t>
        </is>
      </c>
      <c r="C51" s="171" t="n">
        <v>438</v>
      </c>
      <c r="D51" s="41" t="inlineStr">
        <is>
          <t>https://headfonics.com/cayin-ru9-review/</t>
        </is>
      </c>
      <c r="E51" s="172" t="inlineStr">
        <is>
          <t>Prix ajouté le 07/08/2026. prix au test: $499; conversion indicative au taux ECB du 29/07/2026 (1 € = 1.1380 USD), soit ≈ 438 €.
Source : https://headfonics.com/cayin-ru9-review/
Repère comparatif : MSRP/prix de lancement ou prix au moment de la review, pas nécessairement le meilleur prix de vente actuel.</t>
        </is>
      </c>
    </row>
    <row r="52">
      <c r="A52" s="167" t="inlineStr">
        <is>
          <t>Shanling</t>
        </is>
      </c>
      <c r="B52" s="167" t="inlineStr">
        <is>
          <t>UP6</t>
        </is>
      </c>
      <c r="C52" s="168" t="n">
        <v>189</v>
      </c>
      <c r="D52" s="41" t="inlineStr">
        <is>
          <t>https://www.audiophonics.fr/fr/dac-portables-c-6399.html?orderby=price&amp;orderway=desc&amp;orderway=desc</t>
        </is>
      </c>
      <c r="E52" s="169" t="inlineStr">
        <is>
          <t>prix de référence relevé dans les données sources. Instantané du jeu de données au 07/08/2026; ce prix peut évoluer.
Source : https://www.audiophonics.fr/fr/dac-portables-c-6399.html?orderby=price&amp;orderway=desc&amp;orderway=desc</t>
        </is>
      </c>
    </row>
    <row r="53">
      <c r="A53" s="170" t="inlineStr">
        <is>
          <t>Questyle</t>
        </is>
      </c>
      <c r="B53" s="170" t="inlineStr">
        <is>
          <t>M18i</t>
        </is>
      </c>
      <c r="C53" s="171" t="n">
        <v>307</v>
      </c>
      <c r="D53" s="41" t="inlineStr">
        <is>
          <t>https://headfonics.com/questyle-m18i-review/</t>
        </is>
      </c>
      <c r="E53" s="172" t="inlineStr">
        <is>
          <t>Prix ajouté le 07/08/2026. prix au test: $349; conversion indicative au taux ECB du 29/07/2026 (1 € = 1.1380 USD), soit ≈ 307 €.
Source : https://headfonics.com/questyle-m18i-review/
Repère comparatif : MSRP/prix de lancement ou prix au moment de la review, pas nécessairement le meilleur prix de vente actuel.</t>
        </is>
      </c>
    </row>
    <row r="54">
      <c r="A54" s="167" t="inlineStr">
        <is>
          <t>FiiO</t>
        </is>
      </c>
      <c r="B54" s="167" t="inlineStr">
        <is>
          <t>RR11</t>
        </is>
      </c>
      <c r="C54" s="168" t="n">
        <v>53</v>
      </c>
      <c r="D54" s="41" t="inlineStr">
        <is>
          <t>https://headfonics.com/fiio-rr11-review/</t>
        </is>
      </c>
      <c r="E54" s="169" t="inlineStr">
        <is>
          <t>Prix ajouté le 07/08/2026. prix au test: $59.99; conversion indicative au taux ECB du 29/07/2026 (1 € = 1.1380 USD), soit ≈ 53 €.
Source : https://headfonics.com/fiio-rr11-review/
Repère comparatif : MSRP/prix de lancement ou prix au moment de la review, pas nécessairement le meilleur prix de vente actuel.</t>
        </is>
      </c>
    </row>
    <row r="55">
      <c r="A55" s="170" t="inlineStr">
        <is>
          <t>EarMen</t>
        </is>
      </c>
      <c r="B55" s="170" t="inlineStr">
        <is>
          <t>L-Amp</t>
        </is>
      </c>
      <c r="C55" s="171" t="n">
        <v>351</v>
      </c>
      <c r="D55" s="41" t="inlineStr">
        <is>
          <t>https://headfonics.com/earmen-l-amp-review/</t>
        </is>
      </c>
      <c r="E55" s="172" t="inlineStr">
        <is>
          <t>Prix ajouté le 07/08/2026. prix au test: $399; conversion indicative au taux ECB du 29/07/2026 (1 € = 1.1380 USD), soit ≈ 351 €.
Source : https://headfonics.com/earmen-l-amp-review/
Repère comparatif : MSRP/prix de lancement ou prix au moment de la review, pas nécessairement le meilleur prix de vente actuel.</t>
        </is>
      </c>
    </row>
    <row r="56">
      <c r="A56" s="167" t="inlineStr">
        <is>
          <t>FiiO</t>
        </is>
      </c>
      <c r="B56" s="167" t="inlineStr">
        <is>
          <t>SNOWSKY RETRO NANO</t>
        </is>
      </c>
      <c r="C56" s="168" t="n">
        <v>53</v>
      </c>
      <c r="D56" s="41" t="inlineStr">
        <is>
          <t>https://headfonics.com/fiio-snowsky-retro-nano-review/</t>
        </is>
      </c>
      <c r="E56" s="169" t="inlineStr">
        <is>
          <t>Prix ajouté le 07/08/2026. prix au test: $59.99; conversion indicative au taux ECB du 29/07/2026 (1 € = 1.1380 USD), soit ≈ 53 €.
Source : https://headfonics.com/fiio-snowsky-retro-nano-review/
Repère comparatif : MSRP/prix de lancement ou prix au moment de la review, pas nécessairement le meilleur prix de vente actuel.</t>
        </is>
      </c>
    </row>
    <row r="57">
      <c r="A57" s="170" t="inlineStr">
        <is>
          <t>Cayin</t>
        </is>
      </c>
      <c r="B57" s="170" t="inlineStr">
        <is>
          <t>C9ii</t>
        </is>
      </c>
      <c r="C57" s="171" t="n">
        <v>2108</v>
      </c>
      <c r="D57" s="41" t="inlineStr">
        <is>
          <t>https://headfonics.com/cayin-c9ii-review/</t>
        </is>
      </c>
      <c r="E57" s="172" t="inlineStr">
        <is>
          <t>Prix ajouté le 07/08/2026. prix au test: $2399; conversion indicative au taux ECB du 29/07/2026 (1 € = 1.1380 USD), soit ≈ 2108 €.
Source : https://headfonics.com/cayin-c9ii-review/
Repère comparatif : MSRP/prix de lancement ou prix au moment de la review, pas nécessairement le meilleur prix de vente actuel.</t>
        </is>
      </c>
    </row>
    <row r="58">
      <c r="A58" s="167" t="inlineStr">
        <is>
          <t>ddHiFi</t>
        </is>
      </c>
      <c r="B58" s="167" t="inlineStr">
        <is>
          <t>TC35M2</t>
        </is>
      </c>
      <c r="C58" s="168" t="n">
        <v>32</v>
      </c>
      <c r="D58" s="41" t="inlineStr">
        <is>
          <t>https://headfonics.com/ddhifi-tc35m2-review/</t>
        </is>
      </c>
      <c r="E58" s="169" t="inlineStr">
        <is>
          <t>Prix ajouté le 07/08/2026. prix au test: $35.99; conversion indicative au taux ECB du 29/07/2026 (1 € = 1.1380 USD), soit ≈ 32 €.
Source : https://headfonics.com/ddhifi-tc35m2-review/
Repère comparatif : MSRP/prix de lancement ou prix au moment de la review, pas nécessairement le meilleur prix de vente actuel.</t>
        </is>
      </c>
    </row>
    <row r="59">
      <c r="A59" s="170" t="inlineStr">
        <is>
          <t>iFi audio</t>
        </is>
      </c>
      <c r="B59" s="170" t="inlineStr">
        <is>
          <t>GO link Max</t>
        </is>
      </c>
      <c r="C59" s="171" t="n">
        <v>69</v>
      </c>
      <c r="D59" s="41" t="inlineStr">
        <is>
          <t>https://headfonics.com/ifi-audio-go-link-max-review/</t>
        </is>
      </c>
      <c r="E59" s="172" t="inlineStr">
        <is>
          <t>Prix ajouté le 07/08/2026. prix au lancement: $79; conversion indicative au taux ECB du 29/07/2026 (1 € = 1.1380 USD), soit ≈ 69 €.
Source : https://headfonics.com/ifi-audio-go-link-max-review/
Repère comparatif : MSRP/prix de lancement ou prix au moment de la review, pas nécessairement le meilleur prix de vente actuel.</t>
        </is>
      </c>
    </row>
    <row r="60">
      <c r="A60" s="167" t="inlineStr">
        <is>
          <t>Heartfield</t>
        </is>
      </c>
      <c r="B60" s="167" t="inlineStr">
        <is>
          <t>R1</t>
        </is>
      </c>
      <c r="C60" s="168" t="n">
        <v>140</v>
      </c>
      <c r="D60" s="41" t="inlineStr">
        <is>
          <t>https://headfonics.com/heartfield-r1-review/</t>
        </is>
      </c>
      <c r="E60" s="169" t="inlineStr">
        <is>
          <t>Prix ajouté le 07/08/2026. prix au test: $159; conversion indicative au taux ECB du 29/07/2026 (1 € = 1.1380 USD), soit ≈ 140 €.
Source : https://headfonics.com/heartfield-r1-review/
Repère comparatif : MSRP/prix de lancement ou prix au moment de la review, pas nécessairement le meilleur prix de vente actuel.</t>
        </is>
      </c>
    </row>
    <row r="61">
      <c r="A61" s="170" t="inlineStr">
        <is>
          <t>iBasso</t>
        </is>
      </c>
      <c r="B61" s="170" t="inlineStr">
        <is>
          <t>PB5 Osprey</t>
        </is>
      </c>
      <c r="C61" s="171" t="n">
        <v>1317</v>
      </c>
      <c r="D61" s="41" t="inlineStr">
        <is>
          <t>https://headfonics.com/ibasso-pb5-osprey-review/</t>
        </is>
      </c>
      <c r="E61" s="172" t="inlineStr">
        <is>
          <t>Prix ajouté le 07/08/2026. prix au test: $1499; conversion indicative au taux ECB du 29/07/2026 (1 € = 1.1380 USD), soit ≈ 1317 €.
Source : https://headfonics.com/ibasso-pb5-osprey-review/
Repère comparatif : MSRP/prix de lancement ou prix au moment de la review, pas nécessairement le meilleur prix de vente actuel.</t>
        </is>
      </c>
    </row>
    <row r="62">
      <c r="A62" s="167" t="inlineStr">
        <is>
          <t>FiiO</t>
        </is>
      </c>
      <c r="B62" s="167" t="inlineStr">
        <is>
          <t>KA15</t>
        </is>
      </c>
      <c r="C62" s="168" t="n">
        <v>109</v>
      </c>
      <c r="D62" s="41" t="inlineStr">
        <is>
          <t>https://www.audiophonics.fr/fr/dac-portables-c-6399.html?orderby=price&amp;orderway=desc&amp;orderway=desc&amp;p=2</t>
        </is>
      </c>
      <c r="E62" s="169" t="inlineStr">
        <is>
          <t>prix de référence relevé dans les données sources. Instantané du jeu de données au 07/08/2026; ce prix peut évoluer.
Source : https://www.audiophonics.fr/fr/dac-portables-c-6399.html?orderby=price&amp;orderway=desc&amp;orderway=desc&amp;p=2</t>
        </is>
      </c>
    </row>
    <row r="63">
      <c r="A63" s="170" t="inlineStr">
        <is>
          <t>TempoTec</t>
        </is>
      </c>
      <c r="B63" s="170" t="inlineStr">
        <is>
          <t>Sonata BHD Pro</t>
        </is>
      </c>
      <c r="C63" s="171" t="n">
        <v>61</v>
      </c>
      <c r="D63" s="41" t="inlineStr">
        <is>
          <t>https://headfonics.com/tempotec-sonata-bhd-pro-review/</t>
        </is>
      </c>
      <c r="E63" s="172" t="inlineStr">
        <is>
          <t>Prix ajouté le 07/08/2026. prix au test: $69.9; conversion indicative au taux ECB du 29/07/2026 (1 € = 1.1380 USD), soit ≈ 61 €.
Source : https://headfonics.com/tempotec-sonata-bhd-pro-review/
Repère comparatif : MSRP/prix de lancement ou prix au moment de la review, pas nécessairement le meilleur prix de vente actuel.</t>
        </is>
      </c>
    </row>
    <row r="64">
      <c r="A64" s="167" t="inlineStr">
        <is>
          <t>iBasso</t>
        </is>
      </c>
      <c r="B64" s="167" t="inlineStr">
        <is>
          <t>D16 Taipan</t>
        </is>
      </c>
      <c r="C64" s="168" t="n">
        <v>1490</v>
      </c>
      <c r="D64" s="41" t="inlineStr">
        <is>
          <t>https://www.audiophonics.fr/fr/dac-portables/ibasso-d16-p-21830.html</t>
        </is>
      </c>
      <c r="E64" s="169" t="inlineStr">
        <is>
          <t>prix de référence relevé dans les données sources. Instantané du jeu de données au 07/08/2026; ce prix peut évoluer.
Source : https://www.audiophonics.fr/fr/dac-portables/ibasso-d16-p-21830.html</t>
        </is>
      </c>
    </row>
    <row r="65">
      <c r="A65" s="170" t="inlineStr">
        <is>
          <t>7Hz</t>
        </is>
      </c>
      <c r="B65" s="170" t="inlineStr">
        <is>
          <t>Artemis39</t>
        </is>
      </c>
      <c r="C65" s="171" t="n">
        <v>149</v>
      </c>
      <c r="D65" s="41" t="inlineStr">
        <is>
          <t>https://www.audiophonics.fr/fr/dac-portables-c-6399.html?orderby=price&amp;orderway=desc&amp;orderway=desc&amp;p=2</t>
        </is>
      </c>
      <c r="E65" s="172" t="inlineStr">
        <is>
          <t>prix de référence relevé dans les données sources. Instantané du jeu de données au 07/08/2026; ce prix peut évoluer.
Source : https://www.audiophonics.fr/fr/dac-portables-c-6399.html?orderby=price&amp;orderway=desc&amp;orderway=desc&amp;p=2</t>
        </is>
      </c>
    </row>
    <row r="66">
      <c r="A66" s="167" t="inlineStr">
        <is>
          <t>SMSL</t>
        </is>
      </c>
      <c r="B66" s="167" t="inlineStr">
        <is>
          <t>D10</t>
        </is>
      </c>
      <c r="C66" s="168" t="n">
        <v>62</v>
      </c>
      <c r="D66" s="41" t="inlineStr">
        <is>
          <t>https://headfonics.com/smsl-d10-review/</t>
        </is>
      </c>
      <c r="E66" s="169" t="inlineStr">
        <is>
          <t>Prix ajouté le 07/08/2026. prix au test: $69.99; conversion indicative au taux ECB du 29/07/2026 (1 € = 1.1380 USD), soit ≈ 62 €.
Source : https://headfonics.com/smsl-d10-review/
Repère comparatif : MSRP/prix de lancement ou prix au moment de la review, pas nécessairement le meilleur prix de vente actuel.</t>
        </is>
      </c>
    </row>
    <row r="67">
      <c r="A67" s="170" t="inlineStr">
        <is>
          <t>FiiO</t>
        </is>
      </c>
      <c r="B67" s="170" t="inlineStr">
        <is>
          <t>JA11</t>
        </is>
      </c>
      <c r="C67" s="171" t="n">
        <v>13</v>
      </c>
      <c r="D67" s="41" t="inlineStr">
        <is>
          <t>https://headfonics.com/fiio-ja11-review/</t>
        </is>
      </c>
      <c r="E67" s="172" t="inlineStr">
        <is>
          <t>Prix ajouté le 07/08/2026. prix au test: $14.99; conversion indicative au taux ECB du 29/07/2026 (1 € = 1.1380 USD), soit ≈ 13 €.
Source : https://headfonics.com/fiio-ja11-review/
Repère comparatif : MSRP/prix de lancement ou prix au moment de la review, pas nécessairement le meilleur prix de vente actuel.</t>
        </is>
      </c>
    </row>
    <row r="68">
      <c r="A68" s="167" t="inlineStr">
        <is>
          <t>Shanling</t>
        </is>
      </c>
      <c r="B68" s="167" t="inlineStr">
        <is>
          <t>H2</t>
        </is>
      </c>
      <c r="C68" s="168" t="n">
        <v>149</v>
      </c>
      <c r="D68" s="41" t="inlineStr">
        <is>
          <t>https://headfonics.com/shanling-h2-review/</t>
        </is>
      </c>
      <c r="E68" s="169" t="inlineStr">
        <is>
          <t>Prix ajouté le 07/08/2026. MSRP: $169; conversion indicative au taux ECB du 29/07/2026 (1 € = 1.1380 USD), soit ≈ 149 €.
Source : https://headfonics.com/shanling-h2-review/
Repère comparatif : MSRP/prix de lancement ou prix au moment de la review, pas nécessairement le meilleur prix de vente actuel.</t>
        </is>
      </c>
    </row>
    <row r="69">
      <c r="A69" s="170" t="inlineStr">
        <is>
          <t>LETSHUOER</t>
        </is>
      </c>
      <c r="B69" s="170" t="inlineStr">
        <is>
          <t>DT03</t>
        </is>
      </c>
      <c r="C69" s="171" t="n">
        <v>87</v>
      </c>
      <c r="D69" s="41" t="inlineStr">
        <is>
          <t>https://headfonics.com/letshuoer-dt03-review/</t>
        </is>
      </c>
      <c r="E69" s="172" t="inlineStr">
        <is>
          <t>Prix ajouté le 07/08/2026. prix au test: $99; conversion indicative au taux ECB du 29/07/2026 (1 € = 1.1380 USD), soit ≈ 87 €.
Source : https://headfonics.com/letshuoer-dt03-review/
Repère comparatif : MSRP/prix de lancement ou prix au moment de la review, pas nécessairement le meilleur prix de vente actuel.</t>
        </is>
      </c>
    </row>
    <row r="70">
      <c r="A70" s="167" t="inlineStr">
        <is>
          <t>Kiwi Ears</t>
        </is>
      </c>
      <c r="B70" s="167" t="inlineStr">
        <is>
          <t>Allegro</t>
        </is>
      </c>
      <c r="C70" s="168" t="n">
        <v>53</v>
      </c>
      <c r="D70" s="41" t="inlineStr">
        <is>
          <t>https://headfonics.com/kiwi-ears-allegro-review/</t>
        </is>
      </c>
      <c r="E70" s="169" t="inlineStr">
        <is>
          <t>Prix ajouté le 07/08/2026. prix au test: $59.99; conversion indicative au taux ECB du 29/07/2026 (1 € = 1.1380 USD), soit ≈ 53 €.
Source : https://headfonics.com/kiwi-ears-allegro-review/
Repère comparatif : MSRP/prix de lancement ou prix au moment de la review, pas nécessairement le meilleur prix de vente actuel.</t>
        </is>
      </c>
    </row>
    <row r="71">
      <c r="A71" s="170" t="inlineStr">
        <is>
          <t>Hidizs</t>
        </is>
      </c>
      <c r="B71" s="170" t="inlineStr">
        <is>
          <t>S8 Pro Robin</t>
        </is>
      </c>
      <c r="C71" s="171" t="n">
        <v>69.52</v>
      </c>
      <c r="D71" s="41" t="inlineStr">
        <is>
          <t>https://www.audiophonics.fr/fr/dac-portables-c-6399.html?orderby=price&amp;orderway=desc&amp;orderway=desc&amp;p=2</t>
        </is>
      </c>
      <c r="E71" s="172" t="inlineStr">
        <is>
          <t>prix de référence relevé dans les données sources. Instantané du jeu de données au 07/08/2026; ce prix peut évoluer.
Source : https://www.audiophonics.fr/fr/dac-portables-c-6399.html?orderby=price&amp;orderway=desc&amp;orderway=desc&amp;p=2</t>
        </is>
      </c>
    </row>
    <row r="72">
      <c r="A72" s="167" t="inlineStr">
        <is>
          <t>iFi audio</t>
        </is>
      </c>
      <c r="B72" s="167" t="inlineStr">
        <is>
          <t>GO bar Kensei</t>
        </is>
      </c>
      <c r="C72" s="168" t="n">
        <v>449</v>
      </c>
      <c r="D72" s="41" t="inlineStr">
        <is>
          <t>https://www.audiophonics.fr/fr/dac-portables-c-6399.html?orderby=price&amp;orderway=desc&amp;orderway=desc</t>
        </is>
      </c>
      <c r="E72" s="169" t="inlineStr">
        <is>
          <t>prix de référence relevé dans les données sources. Instantané du jeu de données au 07/08/2026; ce prix peut évoluer.
Source : https://www.audiophonics.fr/fr/dac-portables-c-6399.html?orderby=price&amp;orderway=desc&amp;orderway=desc</t>
        </is>
      </c>
    </row>
    <row r="73">
      <c r="A73" s="170" t="inlineStr">
        <is>
          <t>ONIX</t>
        </is>
      </c>
      <c r="B73" s="170" t="inlineStr">
        <is>
          <t>Mystic XP1</t>
        </is>
      </c>
      <c r="C73" s="171" t="n">
        <v>1317</v>
      </c>
      <c r="D73" s="41" t="inlineStr">
        <is>
          <t>https://headfonics.com/onix-mystic-xp1-review/</t>
        </is>
      </c>
      <c r="E73" s="172" t="inlineStr">
        <is>
          <t>Prix ajouté le 07/08/2026. prix au test: $1499; conversion indicative au taux ECB du 29/07/2026 (1 € = 1.1380 USD), soit ≈ 1317 €.
Source : https://headfonics.com/onix-mystic-xp1-review/
Repère comparatif : MSRP/prix de lancement ou prix au moment de la review, pas nécessairement le meilleur prix de vente actuel.</t>
        </is>
      </c>
    </row>
    <row r="74">
      <c r="A74" s="167" t="inlineStr">
        <is>
          <t>Shanling</t>
        </is>
      </c>
      <c r="B74" s="167" t="inlineStr">
        <is>
          <t>UA4</t>
        </is>
      </c>
      <c r="C74" s="168" t="n">
        <v>99</v>
      </c>
      <c r="D74" s="41" t="inlineStr">
        <is>
          <t>https://www.audiophonics.fr/fr/dac-portables-c-6399.html?orderby=price&amp;orderway=desc&amp;orderway=desc&amp;p=2</t>
        </is>
      </c>
      <c r="E74" s="169" t="inlineStr">
        <is>
          <t>prix de référence relevé dans les données sources. Instantané du jeu de données au 07/08/2026; ce prix peut évoluer.
Source : https://www.audiophonics.fr/fr/dac-portables-c-6399.html?orderby=price&amp;orderway=desc&amp;orderway=desc&amp;p=2</t>
        </is>
      </c>
    </row>
    <row r="75">
      <c r="A75" s="170" t="inlineStr">
        <is>
          <t>FiiO</t>
        </is>
      </c>
      <c r="B75" s="170" t="inlineStr">
        <is>
          <t>KA11</t>
        </is>
      </c>
      <c r="C75" s="171" t="n">
        <v>26</v>
      </c>
      <c r="D75" s="41" t="inlineStr">
        <is>
          <t>https://headfonics.com/fiio-ka11-review/</t>
        </is>
      </c>
      <c r="E75" s="172" t="inlineStr">
        <is>
          <t>Prix ajouté le 07/08/2026. prix au test: $29.99; conversion indicative au taux ECB du 29/07/2026 (1 € = 1.1380 USD), soit ≈ 26 €.
Source : https://headfonics.com/fiio-ka11-review/
Repère comparatif : MSRP/prix de lancement ou prix au moment de la review, pas nécessairement le meilleur prix de vente actuel.</t>
        </is>
      </c>
    </row>
    <row r="76">
      <c r="A76" s="167" t="inlineStr">
        <is>
          <t>FiiO</t>
        </is>
      </c>
      <c r="B76" s="167" t="inlineStr">
        <is>
          <t>KA17</t>
        </is>
      </c>
      <c r="C76" s="168" t="n">
        <v>159</v>
      </c>
      <c r="D76" s="41" t="inlineStr">
        <is>
          <t>https://www.audiophonics.fr/fr/dac-portables-c-6399.html?orderby=price&amp;orderway=desc&amp;orderway=desc&amp;p=2</t>
        </is>
      </c>
      <c r="E76" s="169" t="inlineStr">
        <is>
          <t>prix de référence relevé dans les données sources. Instantané du jeu de données au 07/08/2026; ce prix peut évoluer.
Source : https://www.audiophonics.fr/fr/dac-portables-c-6399.html?orderby=price&amp;orderway=desc&amp;orderway=desc&amp;p=2</t>
        </is>
      </c>
    </row>
    <row r="77">
      <c r="A77" s="170" t="inlineStr">
        <is>
          <t>Colorfly</t>
        </is>
      </c>
      <c r="B77" s="170" t="inlineStr">
        <is>
          <t>CDA-M2</t>
        </is>
      </c>
      <c r="C77" s="171" t="n">
        <v>140</v>
      </c>
      <c r="D77" s="41" t="inlineStr">
        <is>
          <t>https://headfonics.com/colorfly-cda-m2-review/</t>
        </is>
      </c>
      <c r="E77" s="172" t="inlineStr">
        <is>
          <t>Prix ajouté le 07/08/2026. prix au test: $159; conversion indicative au taux ECB du 29/07/2026 (1 € = 1.1380 USD), soit ≈ 140 €.
Source : https://headfonics.com/colorfly-cda-m2-review/
Repère comparatif : MSRP/prix de lancement ou prix au moment de la review, pas nécessairement le meilleur prix de vente actuel.</t>
        </is>
      </c>
    </row>
    <row r="78">
      <c r="A78" s="167" t="inlineStr">
        <is>
          <t>ddHiFi</t>
        </is>
      </c>
      <c r="B78" s="167" t="inlineStr">
        <is>
          <t>TC44Pro E2</t>
        </is>
      </c>
      <c r="C78" s="168" t="n">
        <v>79</v>
      </c>
      <c r="D78" s="41" t="inlineStr">
        <is>
          <t>https://www.audiophonics.fr/fr/dac-portables/dd-tc44pro-e2-usb-c-p-19254.html</t>
        </is>
      </c>
      <c r="E78" s="169" t="inlineStr">
        <is>
          <t>prix de référence relevé dans les données sources. Instantané du jeu de données au 07/08/2026; ce prix peut évoluer.
Source : https://www.audiophonics.fr/fr/dac-portables/dd-tc44pro-e2-usb-c-p-19254.html</t>
        </is>
      </c>
    </row>
    <row r="79">
      <c r="A79" s="170" t="inlineStr">
        <is>
          <t>Hidizs</t>
        </is>
      </c>
      <c r="B79" s="170" t="inlineStr">
        <is>
          <t>SD2</t>
        </is>
      </c>
      <c r="C79" s="171" t="n">
        <v>44</v>
      </c>
      <c r="D79" s="41" t="inlineStr">
        <is>
          <t>https://headfonics.com/hidizs-sd2-review/</t>
        </is>
      </c>
      <c r="E79" s="172" t="inlineStr">
        <is>
          <t>Prix ajouté le 07/08/2026. SRP: $49.99; conversion indicative au taux ECB du 29/07/2026 (1 € = 1.1380 USD), soit ≈ 44 €.
Source : https://headfonics.com/hidizs-sd2-review/
Repère comparatif : MSRP/prix de lancement ou prix au moment de la review, pas nécessairement le meilleur prix de vente actuel.</t>
        </is>
      </c>
    </row>
    <row r="80">
      <c r="A80" s="167" t="inlineStr">
        <is>
          <t>Colorfly</t>
        </is>
      </c>
      <c r="B80" s="167" t="inlineStr">
        <is>
          <t>CDA-M1P</t>
        </is>
      </c>
      <c r="C80" s="168" t="n">
        <v>69</v>
      </c>
      <c r="D80" s="41" t="inlineStr">
        <is>
          <t>https://headfonics.com/colorfly-cda-m1p-review/</t>
        </is>
      </c>
      <c r="E80" s="169" t="inlineStr">
        <is>
          <t>Prix ajouté le 07/08/2026. prix au test: $79; conversion indicative au taux ECB du 29/07/2026 (1 € = 1.1380 USD), soit ≈ 69 €.
Source : https://headfonics.com/colorfly-cda-m1p-review/
Repère comparatif : MSRP/prix de lancement ou prix au moment de la review, pas nécessairement le meilleur prix de vente actuel.</t>
        </is>
      </c>
    </row>
    <row r="81">
      <c r="A81" s="170" t="inlineStr">
        <is>
          <t>FiiO</t>
        </is>
      </c>
      <c r="B81" s="170" t="inlineStr">
        <is>
          <t>Q15</t>
        </is>
      </c>
      <c r="C81" s="171" t="n">
        <v>351</v>
      </c>
      <c r="D81" s="41" t="inlineStr">
        <is>
          <t>https://headfonics.com/fiio-q15-review/</t>
        </is>
      </c>
      <c r="E81" s="172" t="inlineStr">
        <is>
          <t>Prix ajouté le 07/08/2026. prix au test: $399.99; conversion indicative au taux ECB du 29/07/2026 (1 € = 1.1380 USD), soit ≈ 351 €.
Source : https://headfonics.com/fiio-q15-review/
Repère comparatif : MSRP/prix de lancement ou prix au moment de la review, pas nécessairement le meilleur prix de vente actuel.</t>
        </is>
      </c>
    </row>
    <row r="82">
      <c r="A82" s="167" t="inlineStr">
        <is>
          <t>iFi audio</t>
        </is>
      </c>
      <c r="B82" s="167" t="inlineStr">
        <is>
          <t>iDSD Diablo 2</t>
        </is>
      </c>
      <c r="C82" s="168" t="n">
        <v>1141</v>
      </c>
      <c r="D82" s="41" t="inlineStr">
        <is>
          <t>https://headfonics.com/ifi-audio-idsd-diablo-2-review/</t>
        </is>
      </c>
      <c r="E82" s="169" t="inlineStr">
        <is>
          <t>Prix ajouté le 07/08/2026. prix au test: $1299; conversion indicative au taux ECB du 29/07/2026 (1 € = 1.1380 USD), soit ≈ 1141 €.
Source : https://headfonics.com/ifi-audio-idsd-diablo-2-review/
Repère comparatif : MSRP/prix de lancement ou prix au moment de la review, pas nécessairement le meilleur prix de vente actuel.</t>
        </is>
      </c>
    </row>
    <row r="83">
      <c r="A83" s="170" t="inlineStr">
        <is>
          <t>ddHiFi</t>
        </is>
      </c>
      <c r="B83" s="170" t="inlineStr">
        <is>
          <t>TC35Pro Eye2 &amp; Mountain2</t>
        </is>
      </c>
      <c r="C83" s="171" t="n">
        <v>62</v>
      </c>
      <c r="D83" s="41" t="inlineStr">
        <is>
          <t>https://headfonics.com/ddhifi-tc35pro-eye2-mountain2-review/</t>
        </is>
      </c>
      <c r="E83" s="172" t="inlineStr">
        <is>
          <t>Prix ajouté le 07/08/2026. moyenne Eye2 $75.99 / Mountain2 $65.99: $70.99; conversion indicative au taux ECB du 29/07/2026 (1 € = 1.1380 USD), soit ≈ 62 €.
Source : https://headfonics.com/ddhifi-tc35pro-eye2-mountain2-review/
Repère comparatif : MSRP/prix de lancement ou prix au moment de la review, pas nécessairement le meilleur prix de vente actuel.</t>
        </is>
      </c>
    </row>
    <row r="84">
      <c r="A84" s="167" t="inlineStr">
        <is>
          <t>Shanling</t>
        </is>
      </c>
      <c r="B84" s="167" t="inlineStr">
        <is>
          <t>UA1 Plus</t>
        </is>
      </c>
      <c r="C84" s="168" t="n">
        <v>43</v>
      </c>
      <c r="D84" s="41" t="inlineStr">
        <is>
          <t>https://headfonics.com/shanling-ua1-plus-review/</t>
        </is>
      </c>
      <c r="E84" s="169" t="inlineStr">
        <is>
          <t>Prix ajouté le 07/08/2026. SRP: $49; conversion indicative au taux ECB du 29/07/2026 (1 € = 1.1380 USD), soit ≈ 43 €.
Source : https://headfonics.com/shanling-ua1-plus-review/
Repère comparatif : MSRP/prix de lancement ou prix au moment de la review, pas nécessairement le meilleur prix de vente actuel.</t>
        </is>
      </c>
    </row>
    <row r="85">
      <c r="A85" s="170" t="inlineStr">
        <is>
          <t>iFi audio</t>
        </is>
      </c>
      <c r="B85" s="170" t="inlineStr">
        <is>
          <t>hip-dac 3</t>
        </is>
      </c>
      <c r="C85" s="171" t="n">
        <v>199</v>
      </c>
      <c r="D85" s="41" t="inlineStr">
        <is>
          <t>https://www.audiophonics.fr/fr/dac-portables-c-6399.html?orderby=price&amp;orderway=desc&amp;orderway=desc</t>
        </is>
      </c>
      <c r="E85" s="172" t="inlineStr">
        <is>
          <t>prix de référence relevé dans les données sources. Instantané du jeu de données au 07/08/2026; ce prix peut évoluer.
Source : https://www.audiophonics.fr/fr/dac-portables-c-6399.html?orderby=price&amp;orderway=desc&amp;orderway=desc</t>
        </is>
      </c>
    </row>
    <row r="86">
      <c r="A86" s="167" t="inlineStr">
        <is>
          <t>Hidizs</t>
        </is>
      </c>
      <c r="B86" s="167" t="inlineStr">
        <is>
          <t>S9 Pro Plus Martha</t>
        </is>
      </c>
      <c r="C86" s="168" t="n">
        <v>85</v>
      </c>
      <c r="D86" s="41" t="inlineStr">
        <is>
          <t>https://www.audiophonics.fr/fr/dac-portables-c-6399.html?orderby=price&amp;orderway=desc&amp;orderway=desc&amp;p=2</t>
        </is>
      </c>
      <c r="E86" s="169" t="inlineStr">
        <is>
          <t>prix de référence relevé dans les données sources. Instantané du jeu de données au 07/08/2026; ce prix peut évoluer.
Source : https://www.audiophonics.fr/fr/dac-portables-c-6399.html?orderby=price&amp;orderway=desc&amp;orderway=desc&amp;p=2</t>
        </is>
      </c>
    </row>
    <row r="87">
      <c r="A87" s="170" t="inlineStr">
        <is>
          <t>xDuoo</t>
        </is>
      </c>
      <c r="B87" s="170" t="inlineStr">
        <is>
          <t>XD05 Pro</t>
        </is>
      </c>
      <c r="C87" s="171" t="n">
        <v>749</v>
      </c>
      <c r="D87" s="41" t="inlineStr">
        <is>
          <t>https://www.audiophonics.fr/fr/dac-portables-c-6399.html?orderby=price&amp;orderway=desc&amp;orderway=desc</t>
        </is>
      </c>
      <c r="E87" s="172" t="inlineStr">
        <is>
          <t>prix de référence relevé dans les données sources. Instantané du jeu de données au 07/08/2026; ce prix peut évoluer.
Source : https://www.audiophonics.fr/fr/dac-portables-c-6399.html?orderby=price&amp;orderway=desc&amp;orderway=desc</t>
        </is>
      </c>
    </row>
    <row r="88">
      <c r="A88" s="167" t="inlineStr">
        <is>
          <t>FiiO</t>
        </is>
      </c>
      <c r="B88" s="167" t="inlineStr">
        <is>
          <t>KA13</t>
        </is>
      </c>
      <c r="C88" s="168" t="n">
        <v>79</v>
      </c>
      <c r="D88" s="41" t="inlineStr">
        <is>
          <t>https://www.headfonia.com/fiio-ka13-review/</t>
        </is>
      </c>
      <c r="E88" s="169" t="inlineStr">
        <is>
          <t>Prix ajouté le 07/08/2026. prix européen relevé: 79 €.
Source : https://www.headfonia.com/fiio-ka13-review/
Repère comparatif : MSRP/prix de lancement ou prix au moment de la review, pas nécessairement le meilleur prix de vente actuel.</t>
        </is>
      </c>
    </row>
    <row r="89">
      <c r="A89" s="170" t="inlineStr">
        <is>
          <t>Audirect</t>
        </is>
      </c>
      <c r="B89" s="170" t="inlineStr">
        <is>
          <t>Beam 4</t>
        </is>
      </c>
      <c r="C89" s="171" t="n">
        <v>211</v>
      </c>
      <c r="D89" s="41" t="inlineStr">
        <is>
          <t>https://headfonics.com/audirect-beam-4-review/</t>
        </is>
      </c>
      <c r="E89" s="172" t="inlineStr">
        <is>
          <t>Prix ajouté le 07/08/2026. prix au test: $239.99; conversion indicative au taux ECB du 29/07/2026 (1 € = 1.1380 USD), soit ≈ 211 €.
Source : https://headfonics.com/audirect-beam-4-review/
Repère comparatif : MSRP/prix de lancement ou prix au moment de la review, pas nécessairement le meilleur prix de vente actuel.</t>
        </is>
      </c>
    </row>
    <row r="90">
      <c r="A90" s="167" t="inlineStr">
        <is>
          <t>ddHiFi</t>
        </is>
      </c>
      <c r="B90" s="167" t="inlineStr">
        <is>
          <t>TC44Pro</t>
        </is>
      </c>
      <c r="C90" s="168" t="n">
        <v>70</v>
      </c>
      <c r="D90" s="41" t="inlineStr">
        <is>
          <t>https://headfonics.com/ddhifi-tc44pro-review/</t>
        </is>
      </c>
      <c r="E90" s="169" t="inlineStr">
        <is>
          <t>Prix ajouté le 07/08/2026. prix au test: $79.99; conversion indicative au taux ECB du 29/07/2026 (1 € = 1.1380 USD), soit ≈ 70 €.
Source : https://headfonics.com/ddhifi-tc44pro-review/
Repère comparatif : MSRP/prix de lancement ou prix au moment de la review, pas nécessairement le meilleur prix de vente actuel.</t>
        </is>
      </c>
    </row>
    <row r="91">
      <c r="A91" s="170" t="inlineStr">
        <is>
          <t>Moondrop</t>
        </is>
      </c>
      <c r="B91" s="170" t="inlineStr">
        <is>
          <t>Dawn Pro</t>
        </is>
      </c>
      <c r="C91" s="171" t="n">
        <v>44</v>
      </c>
      <c r="D91" s="41" t="inlineStr">
        <is>
          <t>https://headfonics.com/moondrop-dawn-pro-review/</t>
        </is>
      </c>
      <c r="E91" s="172" t="inlineStr">
        <is>
          <t>Prix ajouté le 07/08/2026. prix au test: $49.99; conversion indicative au taux ECB du 29/07/2026 (1 € = 1.1380 USD), soit ≈ 44 €.
Source : https://headfonics.com/moondrop-dawn-pro-review/
Repère comparatif : MSRP/prix de lancement ou prix au moment de la review, pas nécessairement le meilleur prix de vente actuel.</t>
        </is>
      </c>
    </row>
    <row r="92">
      <c r="A92" s="167" t="inlineStr">
        <is>
          <t>Moondrop</t>
        </is>
      </c>
      <c r="B92" s="167" t="inlineStr">
        <is>
          <t>MoonRiver 2: Ti</t>
        </is>
      </c>
      <c r="C92" s="168" t="n">
        <v>167</v>
      </c>
      <c r="D92" s="41" t="inlineStr">
        <is>
          <t>https://headfonics.com/moondrop-moonriver-2-ti-review/</t>
        </is>
      </c>
      <c r="E92" s="169" t="inlineStr">
        <is>
          <t>Prix ajouté le 07/08/2026. SRP: $189.99; conversion indicative au taux ECB du 29/07/2026 (1 € = 1.1380 USD), soit ≈ 167 €.
Source : https://headfonics.com/moondrop-moonriver-2-ti-review/
Repère comparatif : MSRP/prix de lancement ou prix au moment de la review, pas nécessairement le meilleur prix de vente actuel.</t>
        </is>
      </c>
    </row>
    <row r="93">
      <c r="A93" s="170" t="inlineStr">
        <is>
          <t>HiBy</t>
        </is>
      </c>
      <c r="B93" s="170" t="inlineStr">
        <is>
          <t>FC6</t>
        </is>
      </c>
      <c r="C93" s="171" t="n">
        <v>263</v>
      </c>
      <c r="D93" s="41" t="inlineStr">
        <is>
          <t>https://headfonics.com/hiby-fc6-review/</t>
        </is>
      </c>
      <c r="E93" s="172" t="inlineStr">
        <is>
          <t>Prix ajouté le 07/08/2026. prix au test: $299; conversion indicative au taux ECB du 29/07/2026 (1 € = 1.1380 USD), soit ≈ 263 €.
Source : https://headfonics.com/hiby-fc6-review/
Repère comparatif : MSRP/prix de lancement ou prix au moment de la review, pas nécessairement le meilleur prix de vente actuel.</t>
        </is>
      </c>
    </row>
    <row r="94">
      <c r="A94" s="167" t="inlineStr">
        <is>
          <t>ddHiFi</t>
        </is>
      </c>
      <c r="B94" s="167" t="inlineStr">
        <is>
          <t>TC35C</t>
        </is>
      </c>
      <c r="C94" s="168" t="n">
        <v>43</v>
      </c>
      <c r="D94" s="41" t="inlineStr">
        <is>
          <t>https://headfonics.com/ddhifi-tc35c-review/</t>
        </is>
      </c>
      <c r="E94" s="169" t="inlineStr">
        <is>
          <t>Prix ajouté le 07/08/2026. prix au test: $48.99; conversion indicative au taux ECB du 29/07/2026 (1 € = 1.1380 USD), soit ≈ 43 €.
Source : https://headfonics.com/ddhifi-tc35c-review/
Repère comparatif : MSRP/prix de lancement ou prix au moment de la review, pas nécessairement le meilleur prix de vente actuel.</t>
        </is>
      </c>
    </row>
    <row r="95">
      <c r="A95" s="170" t="inlineStr">
        <is>
          <t>FiiO</t>
        </is>
      </c>
      <c r="B95" s="170" t="inlineStr">
        <is>
          <t>KA5</t>
        </is>
      </c>
      <c r="C95" s="171" t="n">
        <v>129</v>
      </c>
      <c r="D95" s="41" t="inlineStr">
        <is>
          <t>https://www.headfonia.com/fiio-ka5-review/</t>
        </is>
      </c>
      <c r="E95" s="172" t="inlineStr">
        <is>
          <t>Prix ajouté le 07/08/2026. prix européen relevé: 129 €.
Source : https://www.headfonia.com/fiio-ka5-review/
Repère comparatif : MSRP/prix de lancement ou prix au moment de la review, pas nécessairement le meilleur prix de vente actuel.</t>
        </is>
      </c>
    </row>
    <row r="96">
      <c r="A96" s="167" t="inlineStr">
        <is>
          <t>FiiO</t>
        </is>
      </c>
      <c r="B96" s="167" t="inlineStr">
        <is>
          <t>Q11</t>
        </is>
      </c>
      <c r="C96" s="168" t="n">
        <v>79</v>
      </c>
      <c r="D96" s="41" t="inlineStr">
        <is>
          <t>https://headfonics.com/fiio-q11-review/</t>
        </is>
      </c>
      <c r="E96" s="169" t="inlineStr">
        <is>
          <t>Prix ajouté le 07/08/2026. prix au test: $89.99; conversion indicative au taux ECB du 29/07/2026 (1 € = 1.1380 USD), soit ≈ 79 €.
Source : https://headfonics.com/fiio-q11-review/
Repère comparatif : MSRP/prix de lancement ou prix au moment de la review, pas nécessairement le meilleur prix de vente actuel.</t>
        </is>
      </c>
    </row>
    <row r="97">
      <c r="A97" s="170" t="inlineStr">
        <is>
          <t>iFi audio</t>
        </is>
      </c>
      <c r="B97" s="170" t="inlineStr">
        <is>
          <t>UNO</t>
        </is>
      </c>
      <c r="C97" s="171" t="n">
        <v>69</v>
      </c>
      <c r="D97" s="41" t="inlineStr">
        <is>
          <t>https://headfonics.com/ifi-audio-uno-review/</t>
        </is>
      </c>
      <c r="E97" s="172" t="inlineStr">
        <is>
          <t>Prix ajouté le 07/08/2026. prix au test: $79; conversion indicative au taux ECB du 29/07/2026 (1 € = 1.1380 USD), soit ≈ 69 €.
Source : https://headfonics.com/ifi-audio-uno-review/
Repère comparatif : MSRP/prix de lancement ou prix au moment de la review, pas nécessairement le meilleur prix de vente actuel.</t>
        </is>
      </c>
    </row>
    <row r="98">
      <c r="A98" s="167" t="inlineStr">
        <is>
          <t>7Hz</t>
        </is>
      </c>
      <c r="B98" s="167" t="inlineStr">
        <is>
          <t>SEVENHERTZ 71</t>
        </is>
      </c>
      <c r="C98" s="168" t="n">
        <v>31</v>
      </c>
      <c r="D98" s="41" t="inlineStr">
        <is>
          <t>https://headfonics.com/7hz-sevenhertz-71-review/</t>
        </is>
      </c>
      <c r="E98" s="169" t="inlineStr">
        <is>
          <t>Prix ajouté le 07/08/2026. prix au test: $35; conversion indicative au taux ECB du 29/07/2026 (1 € = 1.1380 USD), soit ≈ 31 €.
Source : https://headfonics.com/7hz-sevenhertz-71-review/
Repère comparatif : MSRP/prix de lancement ou prix au moment de la review, pas nécessairement le meilleur prix de vente actuel.</t>
        </is>
      </c>
    </row>
    <row r="99">
      <c r="A99" s="170" t="inlineStr">
        <is>
          <t>Venture Electronics</t>
        </is>
      </c>
      <c r="B99" s="170" t="inlineStr">
        <is>
          <t>Megatron</t>
        </is>
      </c>
      <c r="C99" s="171" t="n">
        <v>44</v>
      </c>
      <c r="D99" s="41" t="inlineStr">
        <is>
          <t>https://headfonics.com/venture-electronics-megatron-review/</t>
        </is>
      </c>
      <c r="E99" s="172" t="inlineStr">
        <is>
          <t>Prix ajouté le 07/08/2026. prix au test: $50; conversion indicative au taux ECB du 29/07/2026 (1 € = 1.1380 USD), soit ≈ 44 €.
Source : https://headfonics.com/venture-electronics-megatron-review/
Repère comparatif : MSRP/prix de lancement ou prix au moment de la review, pas nécessairement le meilleur prix de vente actuel.</t>
        </is>
      </c>
    </row>
    <row r="100">
      <c r="A100" s="167" t="inlineStr">
        <is>
          <t>Shanling</t>
        </is>
      </c>
      <c r="B100" s="167" t="inlineStr">
        <is>
          <t>H7</t>
        </is>
      </c>
      <c r="C100" s="168" t="n">
        <v>728</v>
      </c>
      <c r="D100" s="41" t="inlineStr">
        <is>
          <t>https://headfonics.com/shanling-h7-review/</t>
        </is>
      </c>
      <c r="E100" s="169" t="inlineStr">
        <is>
          <t>Prix ajouté le 07/08/2026. prix au test: $829; conversion indicative au taux ECB du 29/07/2026 (1 € = 1.1380 USD), soit ≈ 728 €.
Source : https://headfonics.com/shanling-h7-review/
Repère comparatif : MSRP/prix de lancement ou prix au moment de la review, pas nécessairement le meilleur prix de vente actuel.</t>
        </is>
      </c>
    </row>
    <row r="101">
      <c r="A101" s="170" t="inlineStr">
        <is>
          <t>iKKO</t>
        </is>
      </c>
      <c r="B101" s="170" t="inlineStr">
        <is>
          <t>Zerda ITM02</t>
        </is>
      </c>
      <c r="C101" s="171" t="n">
        <v>52</v>
      </c>
      <c r="D101" s="41" t="inlineStr">
        <is>
          <t>https://headfonics.com/ikko-zerda-itm02-review/</t>
        </is>
      </c>
      <c r="E101" s="172" t="inlineStr">
        <is>
          <t>Prix ajouté le 07/08/2026. prix au test: $59; conversion indicative au taux ECB du 29/07/2026 (1 € = 1.1380 USD), soit ≈ 52 €.
Source : https://headfonics.com/ikko-zerda-itm02-review/
Repère comparatif : MSRP/prix de lancement ou prix au moment de la review, pas nécessairement le meilleur prix de vente actuel.</t>
        </is>
      </c>
    </row>
    <row r="102">
      <c r="A102" s="167" t="inlineStr">
        <is>
          <t>Quloos</t>
        </is>
      </c>
      <c r="B102" s="167" t="inlineStr">
        <is>
          <t>QLS MC01</t>
        </is>
      </c>
      <c r="C102" s="168" t="n">
        <v>220</v>
      </c>
      <c r="D102" s="41" t="inlineStr">
        <is>
          <t>https://headfonics.com/quloos-qls-mc01-review/</t>
        </is>
      </c>
      <c r="E102" s="169" t="inlineStr">
        <is>
          <t>Prix ajouté le 07/08/2026. prix au test: $249.99; conversion indicative au taux ECB du 29/07/2026 (1 € = 1.1380 USD), soit ≈ 220 €.
Source : https://headfonics.com/quloos-qls-mc01-review/
Repère comparatif : MSRP/prix de lancement ou prix au moment de la review, pas nécessairement le meilleur prix de vente actuel.</t>
        </is>
      </c>
    </row>
    <row r="103">
      <c r="A103" s="170" t="inlineStr">
        <is>
          <t>Hidizs</t>
        </is>
      </c>
      <c r="B103" s="170" t="inlineStr">
        <is>
          <t>XO</t>
        </is>
      </c>
      <c r="C103" s="171" t="n">
        <v>69.3</v>
      </c>
      <c r="D103" s="41" t="inlineStr">
        <is>
          <t>https://www.audiophonics.fr/fr/dac-portables-c-6399.html?orderby=price&amp;orderway=desc&amp;orderway=desc&amp;p=2</t>
        </is>
      </c>
      <c r="E103" s="172" t="inlineStr">
        <is>
          <t>prix de référence relevé dans les données sources. Instantané du jeu de données au 07/08/2026; ce prix peut évoluer.
Source : https://www.audiophonics.fr/fr/dac-portables-c-6399.html?orderby=price&amp;orderway=desc&amp;orderway=desc&amp;p=2</t>
        </is>
      </c>
    </row>
    <row r="104">
      <c r="A104" s="167" t="inlineStr">
        <is>
          <t>FiiO</t>
        </is>
      </c>
      <c r="B104" s="167" t="inlineStr">
        <is>
          <t>Q7</t>
        </is>
      </c>
      <c r="C104" s="168" t="n">
        <v>790</v>
      </c>
      <c r="D104" s="41" t="inlineStr">
        <is>
          <t>https://www.audiophonics.fr/fr/dac-portables-c-6399.html?orderby=price&amp;orderway=desc&amp;orderway=desc</t>
        </is>
      </c>
      <c r="E104" s="169" t="inlineStr">
        <is>
          <t>prix de référence relevé dans les données sources. Instantané du jeu de données au 07/08/2026; ce prix peut évoluer.
Source : https://www.audiophonics.fr/fr/dac-portables-c-6399.html?orderby=price&amp;orderway=desc&amp;orderway=desc</t>
        </is>
      </c>
    </row>
    <row r="105">
      <c r="A105" s="170" t="inlineStr">
        <is>
          <t>EarMen</t>
        </is>
      </c>
      <c r="B105" s="170" t="inlineStr">
        <is>
          <t>Angel</t>
        </is>
      </c>
      <c r="C105" s="171" t="n">
        <v>702</v>
      </c>
      <c r="D105" s="41" t="inlineStr">
        <is>
          <t>https://headfonics.com/earmen-angel-review/</t>
        </is>
      </c>
      <c r="E105" s="172" t="inlineStr">
        <is>
          <t>Prix ajouté le 07/08/2026. prix au test: $799; conversion indicative au taux ECB du 29/07/2026 (1 € = 1.1380 USD), soit ≈ 702 €.
Source : https://headfonics.com/earmen-angel-review/
Repère comparatif : MSRP/prix de lancement ou prix au moment de la review, pas nécessairement le meilleur prix de vente actuel.</t>
        </is>
      </c>
    </row>
    <row r="106">
      <c r="A106" s="167" t="inlineStr">
        <is>
          <t>Moondrop</t>
        </is>
      </c>
      <c r="B106" s="167" t="inlineStr">
        <is>
          <t>Dawn</t>
        </is>
      </c>
      <c r="C106" s="168" t="n">
        <v>62</v>
      </c>
      <c r="D106" s="41" t="inlineStr">
        <is>
          <t>https://headfonics.com/moondrop-dawn-review/</t>
        </is>
      </c>
      <c r="E106" s="169" t="inlineStr">
        <is>
          <t>Prix ajouté le 07/08/2026. prix au test: $69.99; conversion indicative au taux ECB du 29/07/2026 (1 € = 1.1380 USD), soit ≈ 62 €.
Source : https://headfonics.com/moondrop-dawn-review/
Repère comparatif : MSRP/prix de lancement ou prix au moment de la review, pas nécessairement le meilleur prix de vente actuel.</t>
        </is>
      </c>
    </row>
    <row r="107">
      <c r="A107" s="170" t="inlineStr">
        <is>
          <t>FiiO</t>
        </is>
      </c>
      <c r="B107" s="170" t="inlineStr">
        <is>
          <t>KA2</t>
        </is>
      </c>
      <c r="C107" s="171" t="n">
        <v>53</v>
      </c>
      <c r="D107" s="41" t="inlineStr">
        <is>
          <t>https://headfonics.com/fiio-ka2-review/</t>
        </is>
      </c>
      <c r="E107" s="172" t="inlineStr">
        <is>
          <t>Prix ajouté le 07/08/2026. prix au test: $59.99; conversion indicative au taux ECB du 29/07/2026 (1 € = 1.1380 USD), soit ≈ 53 €.
Source : https://headfonics.com/fiio-ka2-review/
Repère comparatif : MSRP/prix de lancement ou prix au moment de la review, pas nécessairement le meilleur prix de vente actuel.</t>
        </is>
      </c>
    </row>
    <row r="108">
      <c r="A108" s="167" t="inlineStr">
        <is>
          <t>ddHiFi</t>
        </is>
      </c>
      <c r="B108" s="167" t="inlineStr">
        <is>
          <t>TC44A Lightning DAC</t>
        </is>
      </c>
      <c r="C108" s="168" t="n">
        <v>79</v>
      </c>
      <c r="D108" s="41" t="inlineStr">
        <is>
          <t>https://www.audiophonics.fr/fr/dac-portables/dd-tc44a-dac-cs43131-lightning-male-vers-jack-44mm-femelle-32bit-384khz-dsd256-p-15929.html</t>
        </is>
      </c>
      <c r="E108" s="169" t="inlineStr">
        <is>
          <t>prix de référence relevé dans les données sources. Instantané du jeu de données au 07/08/2026; ce prix peut évoluer.
Source : https://www.audiophonics.fr/fr/dac-portables/dd-tc44a-dac-cs43131-lightning-male-vers-jack-44mm-femelle-32bit-384khz-dsd256-p-15929.html</t>
        </is>
      </c>
    </row>
    <row r="109">
      <c r="A109" s="170" t="inlineStr">
        <is>
          <t>xDuoo</t>
        </is>
      </c>
      <c r="B109" s="170" t="inlineStr">
        <is>
          <t>Link2 Bal</t>
        </is>
      </c>
      <c r="C109" s="171" t="n">
        <v>99</v>
      </c>
      <c r="D109" s="41" t="inlineStr">
        <is>
          <t>https://www.audiophonics.fr/fr/dac-portables-c-6399.html?orderby=price&amp;orderway=desc&amp;orderway=desc&amp;p=2</t>
        </is>
      </c>
      <c r="E109" s="172" t="inlineStr">
        <is>
          <t>prix de référence relevé dans les données sources. Instantané du jeu de données au 07/08/2026; ce prix peut évoluer.
Source : https://www.audiophonics.fr/fr/dac-portables-c-6399.html?orderby=price&amp;orderway=desc&amp;orderway=desc&amp;p=2</t>
        </is>
      </c>
    </row>
    <row r="110">
      <c r="A110" s="167" t="inlineStr">
        <is>
          <t>Shanling</t>
        </is>
      </c>
      <c r="B110" s="167" t="inlineStr">
        <is>
          <t>UA3</t>
        </is>
      </c>
      <c r="C110" s="168" t="n">
        <v>96</v>
      </c>
      <c r="D110" s="41" t="inlineStr">
        <is>
          <t>https://headfonics.com/shanling-ua3-review/</t>
        </is>
      </c>
      <c r="E110" s="169" t="inlineStr">
        <is>
          <t>Prix ajouté le 07/08/2026. prix au test: $109; conversion indicative au taux ECB du 29/07/2026 (1 € = 1.1380 USD), soit ≈ 96 €.
Source : https://headfonics.com/shanling-ua3-review/
Repère comparatif : MSRP/prix de lancement ou prix au moment de la review, pas nécessairement le meilleur prix de vente actuel.</t>
        </is>
      </c>
    </row>
    <row r="111">
      <c r="A111" s="170" t="inlineStr">
        <is>
          <t>HiBy</t>
        </is>
      </c>
      <c r="B111" s="170" t="inlineStr">
        <is>
          <t>FC4</t>
        </is>
      </c>
      <c r="C111" s="171" t="n">
        <v>87</v>
      </c>
      <c r="D111" s="41" t="inlineStr">
        <is>
          <t>https://headfonics.com/hiby-fc4-review/</t>
        </is>
      </c>
      <c r="E111" s="172" t="inlineStr">
        <is>
          <t>Prix ajouté le 07/08/2026. prix au test: $99; conversion indicative au taux ECB du 29/07/2026 (1 € = 1.1380 USD), soit ≈ 87 €.
Source : https://headfonics.com/hiby-fc4-review/
Repère comparatif : MSRP/prix de lancement ou prix au moment de la review, pas nécessairement le meilleur prix de vente actuel.</t>
        </is>
      </c>
    </row>
    <row r="112">
      <c r="A112" s="167" t="inlineStr">
        <is>
          <t>Questyle</t>
        </is>
      </c>
      <c r="B112" s="167" t="inlineStr">
        <is>
          <t>M15</t>
        </is>
      </c>
      <c r="C112" s="168" t="n">
        <v>219</v>
      </c>
      <c r="D112" s="41" t="inlineStr">
        <is>
          <t>https://headfonics.com/questyle-m15-review/</t>
        </is>
      </c>
      <c r="E112" s="169" t="inlineStr">
        <is>
          <t>Prix ajouté le 07/08/2026. prix au test: $249; conversion indicative au taux ECB du 29/07/2026 (1 € = 1.1380 USD), soit ≈ 219 €.
Source : https://headfonics.com/questyle-m15-review/
Repère comparatif : MSRP/prix de lancement ou prix au moment de la review, pas nécessairement le meilleur prix de vente actuel.</t>
        </is>
      </c>
    </row>
    <row r="113">
      <c r="A113" s="170" t="inlineStr">
        <is>
          <t>iBasso</t>
        </is>
      </c>
      <c r="B113" s="170" t="inlineStr">
        <is>
          <t>DC06</t>
        </is>
      </c>
      <c r="C113" s="171" t="n">
        <v>105</v>
      </c>
      <c r="D113" s="41" t="inlineStr">
        <is>
          <t>https://headfonics.com/ibasso-dc06-review/</t>
        </is>
      </c>
      <c r="E113" s="172" t="inlineStr">
        <is>
          <t>Prix ajouté le 07/08/2026. prix au test: $119; conversion indicative au taux ECB du 29/07/2026 (1 € = 1.1380 USD), soit ≈ 105 €.
Source : https://headfonics.com/ibasso-dc06-review/
Repère comparatif : MSRP/prix de lancement ou prix au moment de la review, pas nécessairement le meilleur prix de vente actuel.</t>
        </is>
      </c>
    </row>
    <row r="114">
      <c r="A114" s="167" t="inlineStr">
        <is>
          <t>Topping</t>
        </is>
      </c>
      <c r="B114" s="167" t="inlineStr">
        <is>
          <t>NX7</t>
        </is>
      </c>
      <c r="C114" s="168" t="n">
        <v>157</v>
      </c>
      <c r="D114" s="41" t="inlineStr">
        <is>
          <t>https://headfonics.com/topping-nx7-review/</t>
        </is>
      </c>
      <c r="E114" s="169" t="inlineStr">
        <is>
          <t>Prix ajouté le 07/08/2026. prix au test: $179; conversion indicative au taux ECB du 29/07/2026 (1 € = 1.1380 USD), soit ≈ 157 €.
Source : https://headfonics.com/topping-nx7-review/
Repère comparatif : MSRP/prix de lancement ou prix au moment de la review, pas nécessairement le meilleur prix de vente actuel.</t>
        </is>
      </c>
    </row>
    <row r="115">
      <c r="A115" s="170" t="inlineStr">
        <is>
          <t>Moondrop</t>
        </is>
      </c>
      <c r="B115" s="170" t="inlineStr">
        <is>
          <t>MoonRiver 2</t>
        </is>
      </c>
      <c r="C115" s="171" t="n">
        <v>167</v>
      </c>
      <c r="D115" s="41" t="inlineStr">
        <is>
          <t>https://headfonics.com/moondrop-moonriver-2-review/</t>
        </is>
      </c>
      <c r="E115" s="172" t="inlineStr">
        <is>
          <t>Prix ajouté le 07/08/2026. prix au test: $189.99; conversion indicative au taux ECB du 29/07/2026 (1 € = 1.1380 USD), soit ≈ 167 €.
Source : https://headfonics.com/moondrop-moonriver-2-review/
Repère comparatif : MSRP/prix de lancement ou prix au moment de la review, pas nécessairement le meilleur prix de vente actuel.</t>
        </is>
      </c>
    </row>
    <row r="116">
      <c r="A116" s="167" t="inlineStr">
        <is>
          <t>Colorfly</t>
        </is>
      </c>
      <c r="B116" s="167" t="inlineStr">
        <is>
          <t>CDA M1</t>
        </is>
      </c>
      <c r="C116" s="168" t="n">
        <v>79</v>
      </c>
      <c r="D116" s="41" t="inlineStr">
        <is>
          <t>https://headfonics.com/colorfly-cda-m1-review/</t>
        </is>
      </c>
      <c r="E116" s="169" t="inlineStr">
        <is>
          <t>Prix ajouté le 07/08/2026. prix au test: $89.99; conversion indicative au taux ECB du 29/07/2026 (1 € = 1.1380 USD), soit ≈ 79 €.
Source : https://headfonics.com/colorfly-cda-m1-review/
Repère comparatif : MSRP/prix de lancement ou prix au moment de la review, pas nécessairement le meilleur prix de vente actuel.</t>
        </is>
      </c>
    </row>
    <row r="117">
      <c r="A117" s="170" t="inlineStr">
        <is>
          <t>FiiO</t>
        </is>
      </c>
      <c r="B117" s="170" t="inlineStr">
        <is>
          <t>KA1</t>
        </is>
      </c>
      <c r="C117" s="171" t="n">
        <v>44</v>
      </c>
      <c r="D117" s="41" t="inlineStr">
        <is>
          <t>https://headfonics.com/fiio-ka1-review/</t>
        </is>
      </c>
      <c r="E117" s="172" t="inlineStr">
        <is>
          <t>Prix ajouté le 07/08/2026. prix au test: $49.99; conversion indicative au taux ECB du 29/07/2026 (1 € = 1.1380 USD), soit ≈ 44 €.
Source : https://headfonics.com/fiio-ka1-review/
Repère comparatif : MSRP/prix de lancement ou prix au moment de la review, pas nécessairement le meilleur prix de vente actuel.</t>
        </is>
      </c>
    </row>
    <row r="118">
      <c r="A118" s="167" t="inlineStr">
        <is>
          <t>iFi audio</t>
        </is>
      </c>
      <c r="B118" s="167" t="inlineStr">
        <is>
          <t>GO bar</t>
        </is>
      </c>
      <c r="C118" s="168" t="n">
        <v>289</v>
      </c>
      <c r="D118" s="41" t="inlineStr">
        <is>
          <t>https://www.audiophonics.fr/fr/dac-portables-c-6399.html?orderby=price&amp;orderway=desc&amp;orderway=desc</t>
        </is>
      </c>
      <c r="E118" s="169" t="inlineStr">
        <is>
          <t>prix de référence relevé dans les données sources. Instantané du jeu de données au 07/08/2026; ce prix peut évoluer.
Source : https://www.audiophonics.fr/fr/dac-portables-c-6399.html?orderby=price&amp;orderway=desc&amp;orderway=desc</t>
        </is>
      </c>
    </row>
    <row r="119">
      <c r="A119" s="170" t="inlineStr">
        <is>
          <t>Audirect</t>
        </is>
      </c>
      <c r="B119" s="170" t="inlineStr">
        <is>
          <t>Beam 3 Plus</t>
        </is>
      </c>
      <c r="C119" s="171" t="n">
        <v>167</v>
      </c>
      <c r="D119" s="41" t="inlineStr">
        <is>
          <t>https://headfonics.com/hilidac-audirect-beam-3-plus-review/</t>
        </is>
      </c>
      <c r="E119" s="172" t="inlineStr">
        <is>
          <t>Prix ajouté le 07/08/2026. prix au test: $189.99; conversion indicative au taux ECB du 29/07/2026 (1 € = 1.1380 USD), soit ≈ 167 €.
Source : https://headfonics.com/hilidac-audirect-beam-3-plus-review/
Repère comparatif : MSRP/prix de lancement ou prix au moment de la review, pas nécessairement le meilleur prix de vente actuel.</t>
        </is>
      </c>
    </row>
    <row r="120">
      <c r="A120" s="167" t="inlineStr">
        <is>
          <t>ddHiFi</t>
        </is>
      </c>
      <c r="B120" s="167" t="inlineStr">
        <is>
          <t>TC44C</t>
        </is>
      </c>
      <c r="C120" s="168" t="n">
        <v>105</v>
      </c>
      <c r="D120" s="41" t="inlineStr">
        <is>
          <t>https://headfonics.com/ddhifi-tc44c-dac-review/</t>
        </is>
      </c>
      <c r="E120" s="169" t="inlineStr">
        <is>
          <t>Prix ajouté le 07/08/2026. prix au test: $119; conversion indicative au taux ECB du 29/07/2026 (1 € = 1.1380 USD), soit ≈ 105 €.
Source : https://headfonics.com/ddhifi-tc44c-dac-review/
Repère comparatif : MSRP/prix de lancement ou prix au moment de la review, pas nécessairement le meilleur prix de vente actuel.</t>
        </is>
      </c>
    </row>
    <row r="121">
      <c r="A121" s="170" t="inlineStr">
        <is>
          <t>Shanling</t>
        </is>
      </c>
      <c r="B121" s="170" t="inlineStr">
        <is>
          <t>UA5</t>
        </is>
      </c>
      <c r="C121" s="171" t="n">
        <v>207</v>
      </c>
      <c r="D121" s="41" t="inlineStr">
        <is>
          <t>https://headfonics.com/shanling-ua5-review/</t>
        </is>
      </c>
      <c r="E121" s="172" t="inlineStr">
        <is>
          <t>Prix ajouté le 07/08/2026. prix au test: $235; conversion indicative au taux ECB du 29/07/2026 (1 € = 1.1380 USD), soit ≈ 207 €.
Source : https://headfonics.com/shanling-ua5-review/
Repère comparatif : MSRP/prix de lancement ou prix au moment de la review, pas nécessairement le meilleur prix de vente actuel.</t>
        </is>
      </c>
    </row>
    <row r="122">
      <c r="A122" s="167" t="inlineStr">
        <is>
          <t>TempoTec</t>
        </is>
      </c>
      <c r="B122" s="167" t="inlineStr">
        <is>
          <t>Sonata E35</t>
        </is>
      </c>
      <c r="C122" s="168" t="n">
        <v>61</v>
      </c>
      <c r="D122" s="41" t="inlineStr">
        <is>
          <t>https://headfonics.com/tempotec-sonata-e35-review/</t>
        </is>
      </c>
      <c r="E122" s="169" t="inlineStr">
        <is>
          <t>Prix ajouté le 07/08/2026. prix au test: $69.9; conversion indicative au taux ECB du 29/07/2026 (1 € = 1.1380 USD), soit ≈ 61 €.
Source : https://headfonics.com/tempotec-sonata-e35-review/
Repère comparatif : MSRP/prix de lancement ou prix au moment de la review, pas nécessairement le meilleur prix de vente actuel.</t>
        </is>
      </c>
    </row>
    <row r="123">
      <c r="A123" s="170" t="inlineStr">
        <is>
          <t>Astell&amp;Kern</t>
        </is>
      </c>
      <c r="B123" s="170" t="inlineStr">
        <is>
          <t>USB-C Dual DAC Cable PEE51</t>
        </is>
      </c>
      <c r="C123" s="171" t="n">
        <v>131</v>
      </c>
      <c r="D123" s="41" t="inlineStr">
        <is>
          <t>https://headfonics.com/astellkern-usb-c-dual-dac-cable-pee51-review/</t>
        </is>
      </c>
      <c r="E123" s="172" t="inlineStr">
        <is>
          <t>Prix ajouté le 07/08/2026. prix au test: $149; conversion indicative au taux ECB du 29/07/2026 (1 € = 1.1380 USD), soit ≈ 131 €.
Source : https://headfonics.com/astellkern-usb-c-dual-dac-cable-pee51-review/
Repère comparatif : MSRP/prix de lancement ou prix au moment de la review, pas nécessairement le meilleur prix de vente actuel.</t>
        </is>
      </c>
    </row>
    <row r="124">
      <c r="A124" s="167" t="inlineStr">
        <is>
          <t>Audirect</t>
        </is>
      </c>
      <c r="B124" s="167" t="inlineStr">
        <is>
          <t>Beam 3 PRO</t>
        </is>
      </c>
      <c r="C124" s="168" t="n">
        <v>132</v>
      </c>
      <c r="D124" s="41" t="inlineStr">
        <is>
          <t>https://headfonics.com/hilidac-audirect-beam-3-pro-review/</t>
        </is>
      </c>
      <c r="E124" s="169" t="inlineStr">
        <is>
          <t>Prix ajouté le 07/08/2026. prix au test: $149.99; conversion indicative au taux ECB du 29/07/2026 (1 € = 1.1380 USD), soit ≈ 132 €.
Source : https://headfonics.com/hilidac-audirect-beam-3-pro-review/
Repère comparatif : MSRP/prix de lancement ou prix au moment de la review, pas nécessairement le meilleur prix de vente actuel.</t>
        </is>
      </c>
    </row>
    <row r="125">
      <c r="A125" s="170" t="inlineStr">
        <is>
          <t>EarMen</t>
        </is>
      </c>
      <c r="B125" s="170" t="inlineStr">
        <is>
          <t>Colibri</t>
        </is>
      </c>
      <c r="C125" s="171" t="n">
        <v>293</v>
      </c>
      <c r="D125" s="41" t="inlineStr">
        <is>
          <t>https://headfonics.com/earmen-colibri-review/</t>
        </is>
      </c>
      <c r="E125" s="172" t="inlineStr">
        <is>
          <t>Prix ajouté le 07/08/2026. prix au test: $333; conversion indicative au taux ECB du 29/07/2026 (1 € = 1.1380 USD), soit ≈ 293 €.
Source : https://headfonics.com/earmen-colibri-review/
Repère comparatif : MSRP/prix de lancement ou prix au moment de la review, pas nécessairement le meilleur prix de vente actuel.</t>
        </is>
      </c>
    </row>
    <row r="126">
      <c r="A126" s="167" t="inlineStr">
        <is>
          <t>Swan Song Audio</t>
        </is>
      </c>
      <c r="B126" s="167" t="inlineStr">
        <is>
          <t>Mini Black</t>
        </is>
      </c>
      <c r="C126" s="168" t="n">
        <v>1406</v>
      </c>
      <c r="D126" s="41" t="inlineStr">
        <is>
          <t>https://headfonics.com/swan-song-audio-mini-black-review/</t>
        </is>
      </c>
      <c r="E126" s="169" t="inlineStr">
        <is>
          <t>Prix ajouté le 07/08/2026. prix au test: $1600; conversion indicative au taux ECB du 29/07/2026 (1 € = 1.1380 USD), soit ≈ 1406 €.
Source : https://headfonics.com/swan-song-audio-mini-black-review/
Repère comparatif : MSRP/prix de lancement ou prix au moment de la review, pas nécessairement le meilleur prix de vente actuel.</t>
        </is>
      </c>
    </row>
    <row r="127">
      <c r="A127" s="170" t="inlineStr">
        <is>
          <t>iFi audio</t>
        </is>
      </c>
      <c r="B127" s="170" t="inlineStr">
        <is>
          <t>xDSD Gryphon</t>
        </is>
      </c>
      <c r="C127" s="171" t="n">
        <v>649</v>
      </c>
      <c r="D127" s="41" t="inlineStr">
        <is>
          <t>https://www.audiophonics.fr/fr/dac-portables-c-6399.html?orderby=price&amp;orderway=desc&amp;orderway=desc</t>
        </is>
      </c>
      <c r="E127" s="172" t="inlineStr">
        <is>
          <t>prix de référence relevé dans les données sources. Instantané du jeu de données au 07/08/2026; ce prix peut évoluer.
Source : https://www.audiophonics.fr/fr/dac-portables-c-6399.html?orderby=price&amp;orderway=desc&amp;orderway=desc</t>
        </is>
      </c>
    </row>
    <row r="128">
      <c r="A128" s="167" t="inlineStr">
        <is>
          <t>Khadas</t>
        </is>
      </c>
      <c r="B128" s="167" t="inlineStr">
        <is>
          <t>Tea</t>
        </is>
      </c>
      <c r="C128" s="168" t="n">
        <v>117.9</v>
      </c>
      <c r="D128" s="41" t="inlineStr">
        <is>
          <t>https://www.audiophonics.fr/fr/dac-portables-c-6399.html?orderby=price&amp;orderway=desc&amp;orderway=desc&amp;p=2</t>
        </is>
      </c>
      <c r="E128" s="169" t="inlineStr">
        <is>
          <t>prix de référence relevé dans les données sources. Instantané du jeu de données au 07/08/2026; ce prix peut évoluer.
Source : https://www.audiophonics.fr/fr/dac-portables-c-6399.html?orderby=price&amp;orderway=desc&amp;orderway=desc&amp;p=2</t>
        </is>
      </c>
    </row>
    <row r="129">
      <c r="A129" s="170" t="inlineStr">
        <is>
          <t>HiBy</t>
        </is>
      </c>
      <c r="B129" s="170" t="inlineStr">
        <is>
          <t>FC5</t>
        </is>
      </c>
      <c r="C129" s="171" t="n">
        <v>140</v>
      </c>
      <c r="D129" s="41" t="inlineStr">
        <is>
          <t>https://headfonics.com/hiby-fc5-review/</t>
        </is>
      </c>
      <c r="E129" s="172" t="inlineStr">
        <is>
          <t>Prix ajouté le 07/08/2026. prix au test: $159; conversion indicative au taux ECB du 29/07/2026 (1 € = 1.1380 USD), soit ≈ 140 €.
Source : https://headfonics.com/hiby-fc5-review/
Repère comparatif : MSRP/prix de lancement ou prix au moment de la review, pas nécessairement le meilleur prix de vente actuel.</t>
        </is>
      </c>
    </row>
    <row r="130">
      <c r="A130" s="167" t="inlineStr">
        <is>
          <t>Chord</t>
        </is>
      </c>
      <c r="B130" s="167" t="inlineStr">
        <is>
          <t>Mojo 2</t>
        </is>
      </c>
      <c r="C130" s="168" t="n">
        <v>524</v>
      </c>
      <c r="D130" s="41" t="inlineStr">
        <is>
          <t>https://headfonics.com/chord-electronics-mojo-2-review/</t>
        </is>
      </c>
      <c r="E130" s="169" t="inlineStr">
        <is>
          <t>Prix ajouté le 07/08/2026. prix de lancement UK: £449; conversion indicative au taux ECB du 29/07/2026 (1 € = 0.85635 GBP), soit ≈ 524 €.
Source : https://headfonics.com/chord-electronics-mojo-2-review/
Repère comparatif : MSRP/prix de lancement ou prix au moment de la review, pas nécessairement le meilleur prix de vente actuel.</t>
        </is>
      </c>
    </row>
    <row r="131">
      <c r="A131" s="170" t="inlineStr">
        <is>
          <t>Cayin</t>
        </is>
      </c>
      <c r="B131" s="170" t="inlineStr">
        <is>
          <t>RU6</t>
        </is>
      </c>
      <c r="C131" s="171" t="n">
        <v>219</v>
      </c>
      <c r="D131" s="41" t="inlineStr">
        <is>
          <t>https://headfonics.com/cayin-ru6-review/</t>
        </is>
      </c>
      <c r="E131" s="172" t="inlineStr">
        <is>
          <t>Prix ajouté le 07/08/2026. prix au test: $249; conversion indicative au taux ECB du 29/07/2026 (1 € = 1.1380 USD), soit ≈ 219 €.
Source : https://headfonics.com/cayin-ru6-review/
Repère comparatif : MSRP/prix de lancement ou prix au moment de la review, pas nécessairement le meilleur prix de vente actuel.</t>
        </is>
      </c>
    </row>
    <row r="132">
      <c r="A132" s="167" t="inlineStr">
        <is>
          <t>iBasso</t>
        </is>
      </c>
      <c r="B132" s="167" t="inlineStr">
        <is>
          <t>DC05</t>
        </is>
      </c>
      <c r="C132" s="168" t="n">
        <v>61</v>
      </c>
      <c r="D132" s="41" t="inlineStr">
        <is>
          <t>https://headfonics.com/ibasso-dc05-review/</t>
        </is>
      </c>
      <c r="E132" s="169" t="inlineStr">
        <is>
          <t>Prix ajouté le 07/08/2026. prix au test: $69; conversion indicative au taux ECB du 29/07/2026 (1 € = 1.1380 USD), soit ≈ 61 €.
Source : https://headfonics.com/ibasso-dc05-review/
Repère comparatif : MSRP/prix de lancement ou prix au moment de la review, pas nécessairement le meilleur prix de vente actuel.</t>
        </is>
      </c>
    </row>
    <row r="133">
      <c r="A133" s="170" t="inlineStr">
        <is>
          <t>FiiO</t>
        </is>
      </c>
      <c r="B133" s="170" t="inlineStr">
        <is>
          <t>KA3</t>
        </is>
      </c>
      <c r="C133" s="171" t="n">
        <v>79</v>
      </c>
      <c r="D133" s="41" t="inlineStr">
        <is>
          <t>https://headfonics.com/fiio-ka3-review/</t>
        </is>
      </c>
      <c r="E133" s="172" t="inlineStr">
        <is>
          <t>Prix ajouté le 07/08/2026. prix au test: $89.99; conversion indicative au taux ECB du 29/07/2026 (1 € = 1.1380 USD), soit ≈ 79 €.
Source : https://headfonics.com/fiio-ka3-review/
Repère comparatif : MSRP/prix de lancement ou prix au moment de la review, pas nécessairement le meilleur prix de vente actuel.</t>
        </is>
      </c>
    </row>
    <row r="134">
      <c r="A134" s="167" t="inlineStr">
        <is>
          <t>iFi audio</t>
        </is>
      </c>
      <c r="B134" s="167" t="inlineStr">
        <is>
          <t>hip-dac2</t>
        </is>
      </c>
      <c r="C134" s="168" t="n">
        <v>166</v>
      </c>
      <c r="D134" s="41" t="inlineStr">
        <is>
          <t>https://headfonics.com/ifi-audio-hip-dac2-review/</t>
        </is>
      </c>
      <c r="E134" s="169" t="inlineStr">
        <is>
          <t>Prix ajouté le 07/08/2026. prix au test: $189; conversion indicative au taux ECB du 29/07/2026 (1 € = 1.1380 USD), soit ≈ 166 €.
Source : https://headfonics.com/ifi-audio-hip-dac2-review/
Repère comparatif : MSRP/prix de lancement ou prix au moment de la review, pas nécessairement le meilleur prix de vente actuel.</t>
        </is>
      </c>
    </row>
    <row r="135">
      <c r="A135" s="170" t="inlineStr">
        <is>
          <t>Hidizs</t>
        </is>
      </c>
      <c r="B135" s="170" t="inlineStr">
        <is>
          <t>S9 Pro Copper</t>
        </is>
      </c>
      <c r="C135" s="171" t="n">
        <v>131</v>
      </c>
      <c r="D135" s="41" t="inlineStr">
        <is>
          <t>https://headfonics.com/hidizs-s9-pro-copper-limited-edition-review/</t>
        </is>
      </c>
      <c r="E135" s="172" t="inlineStr">
        <is>
          <t>Prix ajouté le 07/08/2026. prix au test: $149; conversion indicative au taux ECB du 29/07/2026 (1 € = 1.1380 USD), soit ≈ 131 €.
Source : https://headfonics.com/hidizs-s9-pro-copper-limited-edition-review/
Repère comparatif : MSRP/prix de lancement ou prix au moment de la review, pas nécessairement le meilleur prix de vente actuel.</t>
        </is>
      </c>
    </row>
    <row r="136">
      <c r="A136" s="167" t="inlineStr">
        <is>
          <t>Periodic Audio</t>
        </is>
      </c>
      <c r="B136" s="167" t="inlineStr">
        <is>
          <t>Rhodium DAC</t>
        </is>
      </c>
      <c r="C136" s="168" t="n">
        <v>43</v>
      </c>
      <c r="D136" s="41" t="inlineStr">
        <is>
          <t>https://headfonics.com/periodic-audio-rhodium-dac-review/</t>
        </is>
      </c>
      <c r="E136" s="169" t="inlineStr">
        <is>
          <t>Prix ajouté le 07/08/2026. prix au test: $49; conversion indicative au taux ECB du 29/07/2026 (1 € = 1.1380 USD), soit ≈ 43 €.
Source : https://headfonics.com/periodic-audio-rhodium-dac-review/
Repère comparatif : MSRP/prix de lancement ou prix au moment de la review, pas nécessairement le meilleur prix de vente actuel.</t>
        </is>
      </c>
    </row>
    <row r="137">
      <c r="A137" s="170" t="inlineStr">
        <is>
          <t>Hidizs</t>
        </is>
      </c>
      <c r="B137" s="170" t="inlineStr">
        <is>
          <t>DH80s</t>
        </is>
      </c>
      <c r="C137" s="171" t="n">
        <v>122</v>
      </c>
      <c r="D137" s="41" t="inlineStr">
        <is>
          <t>https://headfonics.com/hidizs-dh80s-review/</t>
        </is>
      </c>
      <c r="E137" s="172" t="inlineStr">
        <is>
          <t>Prix ajouté le 07/08/2026. prix au test: $139; conversion indicative au taux ECB du 29/07/2026 (1 € = 1.1380 USD), soit ≈ 122 €.
Source : https://headfonics.com/hidizs-dh80s-review/
Repère comparatif : MSRP/prix de lancement ou prix au moment de la review, pas nécessairement le meilleur prix de vente actuel.</t>
        </is>
      </c>
    </row>
    <row r="138">
      <c r="A138" s="167" t="inlineStr">
        <is>
          <t>Questyle</t>
        </is>
      </c>
      <c r="B138" s="167" t="inlineStr">
        <is>
          <t>M12</t>
        </is>
      </c>
      <c r="C138" s="168" t="n">
        <v>123</v>
      </c>
      <c r="D138" s="41" t="inlineStr">
        <is>
          <t>https://headfonics.com/questyle-m12-review/</t>
        </is>
      </c>
      <c r="E138" s="169" t="inlineStr">
        <is>
          <t>Prix ajouté le 07/08/2026. prix au test: $139.99; conversion indicative au taux ECB du 29/07/2026 (1 € = 1.1380 USD), soit ≈ 123 €.
Source : https://headfonics.com/questyle-m12-review/
Repère comparatif : MSRP/prix de lancement ou prix au moment de la review, pas nécessairement le meilleur prix de vente actuel.</t>
        </is>
      </c>
    </row>
    <row r="139">
      <c r="A139" s="170" t="inlineStr">
        <is>
          <t>FiiO</t>
        </is>
      </c>
      <c r="B139" s="170" t="inlineStr">
        <is>
          <t>E10K TC</t>
        </is>
      </c>
      <c r="C139" s="171" t="n">
        <v>67</v>
      </c>
      <c r="D139" s="41" t="inlineStr">
        <is>
          <t>https://headfonics.com/fiio-e10k-tc-review/</t>
        </is>
      </c>
      <c r="E139" s="172" t="inlineStr">
        <is>
          <t>Prix ajouté le 07/08/2026. prix au test: $75.99; conversion indicative au taux ECB du 29/07/2026 (1 € = 1.1380 USD), soit ≈ 67 €.
Source : https://headfonics.com/fiio-e10k-tc-review/
Repère comparatif : MSRP/prix de lancement ou prix au moment de la review, pas nécessairement le meilleur prix de vente actuel.</t>
        </is>
      </c>
    </row>
    <row r="140">
      <c r="A140" s="167" t="inlineStr">
        <is>
          <t>Shanling</t>
        </is>
      </c>
      <c r="B140" s="167" t="inlineStr">
        <is>
          <t>UA2</t>
        </is>
      </c>
      <c r="C140" s="168" t="n">
        <v>75</v>
      </c>
      <c r="D140" s="41" t="inlineStr">
        <is>
          <t>https://headfonics.com/shanling-ua2-review/</t>
        </is>
      </c>
      <c r="E140" s="169" t="inlineStr">
        <is>
          <t>Prix ajouté le 07/08/2026. prix au test: $85; conversion indicative au taux ECB du 29/07/2026 (1 € = 1.1380 USD), soit ≈ 75 €.
Source : https://headfonics.com/shanling-ua2-review/
Repère comparatif : MSRP/prix de lancement ou prix au moment de la review, pas nécessairement le meilleur prix de vente actuel.</t>
        </is>
      </c>
    </row>
    <row r="141">
      <c r="A141" s="170" t="inlineStr">
        <is>
          <t>FiiO</t>
        </is>
      </c>
      <c r="B141" s="170" t="inlineStr">
        <is>
          <t>New K3</t>
        </is>
      </c>
      <c r="C141" s="171" t="n">
        <v>105</v>
      </c>
      <c r="D141" s="41" t="inlineStr">
        <is>
          <t>https://headfonics.com/fiio-new-k3-review/</t>
        </is>
      </c>
      <c r="E141" s="172" t="inlineStr">
        <is>
          <t>Prix ajouté le 07/08/2026. prix au test: $119.99; conversion indicative au taux ECB du 29/07/2026 (1 € = 1.1380 USD), soit ≈ 105 €.
Source : https://headfonics.com/fiio-new-k3-review/
Repère comparatif : MSRP/prix de lancement ou prix au moment de la review, pas nécessairement le meilleur prix de vente actuel.</t>
        </is>
      </c>
    </row>
    <row r="142">
      <c r="A142" s="167" t="inlineStr">
        <is>
          <t>ddHiFi</t>
        </is>
      </c>
      <c r="B142" s="167" t="inlineStr">
        <is>
          <t>TC35 Pro Tetris</t>
        </is>
      </c>
      <c r="C142" s="168" t="n">
        <v>83</v>
      </c>
      <c r="D142" s="41" t="inlineStr">
        <is>
          <t>https://headfonics.com/ddhifi-tc35-pro-tetris-review/</t>
        </is>
      </c>
      <c r="E142" s="169" t="inlineStr">
        <is>
          <t>Prix ajouté le 07/08/2026. prix au test: $94.99; conversion indicative au taux ECB du 29/07/2026 (1 € = 1.1380 USD), soit ≈ 83 €.
Source : https://headfonics.com/ddhifi-tc35-pro-tetris-review/
Repère comparatif : MSRP/prix de lancement ou prix au moment de la review, pas nécessairement le meilleur prix de vente actuel.</t>
        </is>
      </c>
    </row>
    <row r="143">
      <c r="A143" s="170" t="inlineStr">
        <is>
          <t>Helm Audio</t>
        </is>
      </c>
      <c r="B143" s="170" t="inlineStr">
        <is>
          <t>Bolt</t>
        </is>
      </c>
      <c r="C143" s="171" t="n">
        <v>88</v>
      </c>
      <c r="D143" s="41" t="inlineStr">
        <is>
          <t>https://headfonics.com/helm-audio-bolt-review/</t>
        </is>
      </c>
      <c r="E143" s="172" t="inlineStr">
        <is>
          <t>Prix ajouté le 07/08/2026. prix au test: $99.99; conversion indicative au taux ECB du 29/07/2026 (1 € = 1.1380 USD), soit ≈ 88 €.
Source : https://headfonics.com/helm-audio-bolt-review/
Repère comparatif : MSRP/prix de lancement ou prix au moment de la review, pas nécessairement le meilleur prix de vente actuel.</t>
        </is>
      </c>
    </row>
    <row r="144">
      <c r="A144" s="167" t="inlineStr">
        <is>
          <t>Luxury &amp; Precision</t>
        </is>
      </c>
      <c r="B144" s="167" t="inlineStr">
        <is>
          <t>W2</t>
        </is>
      </c>
      <c r="C144" s="168" t="n">
        <v>263</v>
      </c>
      <c r="D144" s="41" t="inlineStr">
        <is>
          <t>https://headfonics.com/luxury-precision-w2-review/</t>
        </is>
      </c>
      <c r="E144" s="169" t="inlineStr">
        <is>
          <t>Prix ajouté le 07/08/2026. prix au test: $299; conversion indicative au taux ECB du 29/07/2026 (1 € = 1.1380 USD), soit ≈ 263 €.
Source : https://headfonics.com/luxury-precision-w2-review/
Repère comparatif : MSRP/prix de lancement ou prix au moment de la review, pas nécessairement le meilleur prix de vente actuel.</t>
        </is>
      </c>
    </row>
    <row r="145">
      <c r="A145" s="170" t="inlineStr">
        <is>
          <t>Hidizs</t>
        </is>
      </c>
      <c r="B145" s="170" t="inlineStr">
        <is>
          <t>S9 Pro</t>
        </is>
      </c>
      <c r="C145" s="171" t="n">
        <v>99</v>
      </c>
      <c r="D145" s="41" t="inlineStr">
        <is>
          <t>https://headfonics.com/hidizs-s9-pro-review/</t>
        </is>
      </c>
      <c r="E145" s="172" t="inlineStr">
        <is>
          <t>Prix ajouté le 07/08/2026. prix au test: $113; conversion indicative au taux ECB du 29/07/2026 (1 € = 1.1380 USD), soit ≈ 99 €.
Source : https://headfonics.com/hidizs-s9-pro-review/
Repère comparatif : MSRP/prix de lancement ou prix au moment de la review, pas nécessairement le meilleur prix de vente actuel.</t>
        </is>
      </c>
    </row>
    <row r="146">
      <c r="A146" s="167" t="inlineStr">
        <is>
          <t>Hidizs</t>
        </is>
      </c>
      <c r="B146" s="167" t="inlineStr">
        <is>
          <t>S3 Pro</t>
        </is>
      </c>
      <c r="C146" s="168" t="n">
        <v>61</v>
      </c>
      <c r="D146" s="41" t="inlineStr">
        <is>
          <t>https://headfonics.com/hidizs-s3-pro-review/</t>
        </is>
      </c>
      <c r="E146" s="169" t="inlineStr">
        <is>
          <t>Prix ajouté le 07/08/2026. SRP: $69; conversion indicative au taux ECB du 29/07/2026 (1 € = 1.1380 USD), soit ≈ 61 €.
Source : https://headfonics.com/hidizs-s3-pro-review/
Repère comparatif : MSRP/prix de lancement ou prix au moment de la review, pas nécessairement le meilleur prix de vente actuel.</t>
        </is>
      </c>
    </row>
    <row r="147">
      <c r="A147" s="170" t="inlineStr">
        <is>
          <t>iFi audio</t>
        </is>
      </c>
      <c r="B147" s="170" t="inlineStr">
        <is>
          <t>iDSD Diablo</t>
        </is>
      </c>
      <c r="C147" s="171" t="n">
        <v>790</v>
      </c>
      <c r="D147" s="41" t="inlineStr">
        <is>
          <t>https://headfonics.com/ifi-audio-idsd-diablo-review/</t>
        </is>
      </c>
      <c r="E147" s="172" t="inlineStr">
        <is>
          <t>Prix ajouté le 07/08/2026. prix au test: $899; conversion indicative au taux ECB du 29/07/2026 (1 € = 1.1380 USD), soit ≈ 790 €.
Source : https://headfonics.com/ifi-audio-idsd-diablo-review/
Repère comparatif : MSRP/prix de lancement ou prix au moment de la review, pas nécessairement le meilleur prix de vente actuel.</t>
        </is>
      </c>
    </row>
    <row r="148">
      <c r="A148" s="167" t="inlineStr">
        <is>
          <t>Phatlab</t>
        </is>
      </c>
      <c r="B148" s="167" t="inlineStr">
        <is>
          <t>Chimera</t>
        </is>
      </c>
      <c r="C148" s="168" t="n">
        <v>787</v>
      </c>
      <c r="D148" s="41" t="inlineStr">
        <is>
          <t>https://headfonics.com/phatlab-chimera-review/</t>
        </is>
      </c>
      <c r="E148" s="169" t="inlineStr">
        <is>
          <t>Prix ajouté le 07/08/2026. prix au test: $895.09; conversion indicative au taux ECB du 29/07/2026 (1 € = 1.1380 USD), soit ≈ 787 €.
Source : https://headfonics.com/phatlab-chimera-review/
Repère comparatif : MSRP/prix de lancement ou prix au moment de la review, pas nécessairement le meilleur prix de vente actuel.</t>
        </is>
      </c>
    </row>
    <row r="149">
      <c r="A149" s="170" t="inlineStr">
        <is>
          <t>HiBy</t>
        </is>
      </c>
      <c r="B149" s="170" t="inlineStr">
        <is>
          <t>FC3</t>
        </is>
      </c>
      <c r="C149" s="171" t="n">
        <v>61</v>
      </c>
      <c r="D149" s="41" t="inlineStr">
        <is>
          <t>https://headfonics.com/hiby-fc3-review/</t>
        </is>
      </c>
      <c r="E149" s="172" t="inlineStr">
        <is>
          <t>Prix ajouté le 07/08/2026. prix au test: $69; conversion indicative au taux ECB du 29/07/2026 (1 € = 1.1380 USD), soit ≈ 61 €.
Source : https://headfonics.com/hiby-fc3-review/
Repère comparatif : MSRP/prix de lancement ou prix au moment de la review, pas nécessairement le meilleur prix de vente actuel.</t>
        </is>
      </c>
    </row>
    <row r="150">
      <c r="A150" s="167" t="inlineStr">
        <is>
          <t>Khadas</t>
        </is>
      </c>
      <c r="B150" s="167" t="inlineStr">
        <is>
          <t>Tone2 Pro</t>
        </is>
      </c>
      <c r="C150" s="168" t="n">
        <v>176</v>
      </c>
      <c r="D150" s="41" t="inlineStr">
        <is>
          <t>https://headfonics.com/khadas-tone2-pro-review/</t>
        </is>
      </c>
      <c r="E150" s="169" t="inlineStr">
        <is>
          <t>Prix ajouté le 07/08/2026. prix au test: $199.9; conversion indicative au taux ECB du 29/07/2026 (1 € = 1.1380 USD), soit ≈ 176 €.
Source : https://headfonics.com/khadas-tone2-pro-review/
Repère comparatif : MSRP/prix de lancement ou prix au moment de la review, pas nécessairement le meilleur prix de vente actuel.</t>
        </is>
      </c>
    </row>
    <row r="151">
      <c r="A151" s="170" t="inlineStr">
        <is>
          <t>Hidizs</t>
        </is>
      </c>
      <c r="B151" s="170" t="inlineStr">
        <is>
          <t>DH80</t>
        </is>
      </c>
      <c r="C151" s="171" t="n">
        <v>122</v>
      </c>
      <c r="D151" s="41" t="inlineStr">
        <is>
          <t>https://headfonics.com/hidizs-dh80-review/</t>
        </is>
      </c>
      <c r="E151" s="172" t="inlineStr">
        <is>
          <t>Prix ajouté le 07/08/2026. MSRP: $139; conversion indicative au taux ECB du 29/07/2026 (1 € = 1.1380 USD), soit ≈ 122 €.
Source : https://headfonics.com/hidizs-dh80-review/
Repère comparatif : MSRP/prix de lancement ou prix au moment de la review, pas nécessairement le meilleur prix de vente actuel.</t>
        </is>
      </c>
    </row>
    <row r="152">
      <c r="A152" s="167" t="inlineStr">
        <is>
          <t>iBasso</t>
        </is>
      </c>
      <c r="B152" s="167" t="inlineStr">
        <is>
          <t>DC04</t>
        </is>
      </c>
      <c r="C152" s="168" t="n">
        <v>66</v>
      </c>
      <c r="D152" s="41" t="inlineStr">
        <is>
          <t>https://headfonics.com/ibasso-dc04-review/</t>
        </is>
      </c>
      <c r="E152" s="169" t="inlineStr">
        <is>
          <t>Prix ajouté le 07/08/2026. prix au test: $74.99; conversion indicative au taux ECB du 29/07/2026 (1 € = 1.1380 USD), soit ≈ 66 €.
Source : https://headfonics.com/ibasso-dc04-review/
Repère comparatif : MSRP/prix de lancement ou prix au moment de la review, pas nécessairement le meilleur prix de vente actuel.</t>
        </is>
      </c>
    </row>
    <row r="153">
      <c r="A153" s="170" t="inlineStr">
        <is>
          <t>HiBy</t>
        </is>
      </c>
      <c r="B153" s="170" t="inlineStr">
        <is>
          <t>FD1 &amp; Beans</t>
        </is>
      </c>
      <c r="C153" s="171" t="n">
        <v>52</v>
      </c>
      <c r="D153" s="41" t="inlineStr">
        <is>
          <t>https://headfonics.com/hiby-fd1-beans-review/</t>
        </is>
      </c>
      <c r="E153" s="172" t="inlineStr">
        <is>
          <t>Prix ajouté le 07/08/2026. prix du DAC/amp FD1 (Beans IEM exclu): $59; conversion indicative au taux ECB du 29/07/2026 (1 € = 1.1380 USD), soit ≈ 52 €.
Source : https://headfonics.com/hiby-fd1-beans-review/
Repère comparatif : MSRP/prix de lancement ou prix au moment de la review, pas nécessairement le meilleur prix de vente actuel.</t>
        </is>
      </c>
    </row>
    <row r="154">
      <c r="A154" s="167" t="inlineStr">
        <is>
          <t>iFi audio</t>
        </is>
      </c>
      <c r="B154" s="167" t="inlineStr">
        <is>
          <t>iDSD Valkyrie</t>
        </is>
      </c>
      <c r="C154" s="168" t="n">
        <v>1669</v>
      </c>
      <c r="D154" s="41" t="inlineStr">
        <is>
          <t>https://www.audiophonics.fr/fr/dac-portables/ifi-audio-idsd-valkyrie-noir-p-21756.html</t>
        </is>
      </c>
      <c r="E154" s="169" t="inlineStr">
        <is>
          <t>prix indicatif déjà consolidé. Instantané du jeu de données au 07/08/2026; ce prix peut évoluer.
Source : https://www.audiophonics.fr/fr/dac-portables/ifi-audio-idsd-valkyrie-noir-p-21756.html</t>
        </is>
      </c>
    </row>
    <row r="155">
      <c r="A155" s="170" t="inlineStr">
        <is>
          <t>FangSound</t>
        </is>
      </c>
      <c r="B155" s="170" t="inlineStr">
        <is>
          <t>Prometheus</t>
        </is>
      </c>
      <c r="C155" s="171" t="n">
        <v>559</v>
      </c>
      <c r="D155" s="41" t="inlineStr">
        <is>
          <t>https://www.audiophonics.fr/fr/dac-portables/fangsound-prometheus-p-21765.html</t>
        </is>
      </c>
      <c r="E155" s="172" t="inlineStr">
        <is>
          <t>prix indicatif déjà consolidé. Instantané du jeu de données au 07/08/2026; ce prix peut évoluer.
Source : https://www.audiophonics.fr/fr/dac-portables/fangsound-prometheus-p-21765.html</t>
        </is>
      </c>
    </row>
    <row r="156">
      <c r="A156" s="167" t="inlineStr">
        <is>
          <t>xDuoo</t>
        </is>
      </c>
      <c r="B156" s="167" t="inlineStr">
        <is>
          <t>XD05T</t>
        </is>
      </c>
      <c r="C156" s="168" t="n">
        <v>549</v>
      </c>
      <c r="D156" s="41" t="inlineStr">
        <is>
          <t>https://www.audiophonics.fr/fr/amplificateurs-casque-mobiles/xduoo-xd05t-p-20232.html</t>
        </is>
      </c>
      <c r="E156" s="169" t="inlineStr">
        <is>
          <t>prix indicatif déjà consolidé. Instantané du jeu de données au 07/08/2026; ce prix peut évoluer.
Source : https://www.audiophonics.fr/fr/amplificateurs-casque-mobiles/xduoo-xd05t-p-20232.html</t>
        </is>
      </c>
    </row>
    <row r="157">
      <c r="A157" s="170" t="inlineStr">
        <is>
          <t>iFi audio</t>
        </is>
      </c>
      <c r="B157" s="170" t="inlineStr">
        <is>
          <t>iDSD GR 2</t>
        </is>
      </c>
      <c r="C157" s="171" t="n">
        <v>549</v>
      </c>
      <c r="D157" s="41" t="inlineStr">
        <is>
          <t>https://www.audiophonics.fr/fr/dac-portables-c-6399.html?orderby=price&amp;orderway=desc&amp;orderway=desc</t>
        </is>
      </c>
      <c r="E157" s="172" t="inlineStr">
        <is>
          <t>prix indicatif déjà consolidé. Instantané du jeu de données au 07/08/2026; ce prix peut évoluer.
Source : https://www.audiophonics.fr/fr/dac-portables-c-6399.html?orderby=price&amp;orderway=desc&amp;orderway=desc</t>
        </is>
      </c>
    </row>
    <row r="158">
      <c r="A158" s="167" t="inlineStr">
        <is>
          <t>xDuoo</t>
        </is>
      </c>
      <c r="B158" s="167" t="inlineStr">
        <is>
          <t>XD05 BAL</t>
        </is>
      </c>
      <c r="C158" s="168" t="n">
        <v>399</v>
      </c>
      <c r="D158" s="41" t="inlineStr">
        <is>
          <t>https://www.audiophonics.fr/fr/amplificateurs-casque-mobiles/xduoo-xd05-bal-amplificateur-casque-portable-symetrique-2x-es9038q2m-xmos-bluetooth-50-32bit-768khz-dsd512-argent-p-15104.html</t>
        </is>
      </c>
      <c r="E158" s="169" t="inlineStr">
        <is>
          <t>prix indicatif déjà consolidé. Instantané du jeu de données au 07/08/2026; ce prix peut évoluer.
Source : https://www.audiophonics.fr/fr/amplificateurs-casque-mobiles/xduoo-xd05-bal-amplificateur-casque-portable-symetrique-2x-es9038q2m-xmos-bluetooth-50-32bit-768khz-dsd512-argent-p-15104.html</t>
        </is>
      </c>
    </row>
    <row r="159">
      <c r="A159" s="170" t="inlineStr">
        <is>
          <t>FiiO</t>
        </is>
      </c>
      <c r="B159" s="170" t="inlineStr">
        <is>
          <t>BTR7</t>
        </is>
      </c>
      <c r="C159" s="171" t="n">
        <v>209</v>
      </c>
      <c r="D159" s="41" t="inlineStr">
        <is>
          <t>https://www.audiophonics.fr/fr/amplificateurs-casque-mobiles/fiio-btr7-amplificateur-casque-dac-portable-2x-thx-aaa-28-2x-es9219c-bluetooth-51-aptx-hd-ldac-32bit-384khz-dsd256-p-16614.html</t>
        </is>
      </c>
      <c r="E159" s="172" t="inlineStr">
        <is>
          <t>prix indicatif déjà consolidé. Instantané du jeu de données au 07/08/2026; ce prix peut évoluer.
Source : https://www.audiophonics.fr/fr/amplificateurs-casque-mobiles/fiio-btr7-amplificateur-casque-dac-portable-2x-thx-aaa-28-2x-es9219c-bluetooth-51-aptx-hd-ldac-32bit-384khz-dsd256-p-16614.html</t>
        </is>
      </c>
    </row>
    <row r="160">
      <c r="A160" s="167" t="inlineStr">
        <is>
          <t>E1DA</t>
        </is>
      </c>
      <c r="B160" s="167" t="inlineStr">
        <is>
          <t>9039S</t>
        </is>
      </c>
      <c r="C160" s="168" t="n">
        <v>179</v>
      </c>
      <c r="D160" s="41" t="inlineStr">
        <is>
          <t>https://www.audiophonics.fr/fr/dac-portables/e1da-9039s-p-20971.html</t>
        </is>
      </c>
      <c r="E160" s="169" t="inlineStr">
        <is>
          <t>prix indicatif déjà consolidé. Instantané du jeu de données au 07/08/2026; ce prix peut évoluer.
Source : https://www.audiophonics.fr/fr/dac-portables/e1da-9039s-p-20971.html</t>
        </is>
      </c>
    </row>
    <row r="161">
      <c r="A161" s="170" t="inlineStr">
        <is>
          <t>Aune</t>
        </is>
      </c>
      <c r="B161" s="170" t="inlineStr">
        <is>
          <t>Yuki</t>
        </is>
      </c>
      <c r="C161" s="171" t="n">
        <v>169</v>
      </c>
      <c r="D161" s="41" t="inlineStr">
        <is>
          <t>https://www.audiophonics.fr/fr/dac-portables/aune-yuki-p-18617.html</t>
        </is>
      </c>
      <c r="E161" s="172" t="inlineStr">
        <is>
          <t>prix indicatif déjà consolidé. Instantané du jeu de données au 07/08/2026; ce prix peut évoluer.
Source : https://www.audiophonics.fr/fr/dac-portables/aune-yuki-p-18617.html</t>
        </is>
      </c>
    </row>
    <row r="162">
      <c r="A162" s="167" t="inlineStr">
        <is>
          <t>E1DA</t>
        </is>
      </c>
      <c r="B162" s="167" t="inlineStr">
        <is>
          <t>9038D6K</t>
        </is>
      </c>
      <c r="C162" s="168" t="n">
        <v>169</v>
      </c>
      <c r="D162" s="41" t="inlineStr">
        <is>
          <t>https://www.audiophonics.fr/fr/amplificateurs-casque-mobiles/e1da-9038d6k-amplificateur-casque-dac-usb-es9038q2m-ad8397-32bit-384khz-dsd256-p-17305.html</t>
        </is>
      </c>
      <c r="E162" s="169" t="inlineStr">
        <is>
          <t>prix indicatif déjà consolidé. Instantané du jeu de données au 07/08/2026; ce prix peut évoluer.
Source : https://www.audiophonics.fr/fr/amplificateurs-casque-mobiles/e1da-9038d6k-amplificateur-casque-dac-usb-es9038q2m-ad8397-32bit-384khz-dsd256-p-17305.html</t>
        </is>
      </c>
    </row>
    <row r="163">
      <c r="A163" s="170" t="inlineStr">
        <is>
          <t>iFi audio</t>
        </is>
      </c>
      <c r="B163" s="170" t="inlineStr">
        <is>
          <t>GO Blu Air</t>
        </is>
      </c>
      <c r="C163" s="171" t="n">
        <v>149</v>
      </c>
      <c r="D163" s="41" t="inlineStr">
        <is>
          <t>https://www.audiophonics.fr/fr/dac-portables-c-6399.html?orderby=price&amp;orderway=desc&amp;orderway=desc&amp;p=2</t>
        </is>
      </c>
      <c r="E163" s="172" t="inlineStr">
        <is>
          <t>prix indicatif déjà consolidé. Instantané du jeu de données au 07/08/2026; ce prix peut évoluer.
Source : https://www.audiophonics.fr/fr/dac-portables-c-6399.html?orderby=price&amp;orderway=desc&amp;orderway=desc&amp;p=2</t>
        </is>
      </c>
    </row>
    <row r="164">
      <c r="A164" s="167" t="inlineStr">
        <is>
          <t>E1DA</t>
        </is>
      </c>
      <c r="B164" s="167" t="inlineStr">
        <is>
          <t>9038S Gen 3</t>
        </is>
      </c>
      <c r="C164" s="168" t="n">
        <v>139</v>
      </c>
      <c r="D164" s="41" t="inlineStr">
        <is>
          <t>https://www.audiophonics.fr/fr/amplificateurs-casque-mobiles/e1da-9038s-gen-3-amplificateur-casque-symetrique-dac-usb-es9038q2m-ad8397-32bit-384khz-dsd256-p-14638.html</t>
        </is>
      </c>
      <c r="E164" s="169" t="inlineStr">
        <is>
          <t>prix indicatif déjà consolidé. Instantané du jeu de données au 07/08/2026; ce prix peut évoluer.
Source : https://www.audiophonics.fr/fr/amplificateurs-casque-mobiles/e1da-9038s-gen-3-amplificateur-casque-symetrique-dac-usb-es9038q2m-ad8397-32bit-384khz-dsd256-p-14638.html</t>
        </is>
      </c>
    </row>
    <row r="165">
      <c r="A165" s="170" t="inlineStr">
        <is>
          <t>iBasso</t>
        </is>
      </c>
      <c r="B165" s="170" t="inlineStr">
        <is>
          <t>DC04U Ultra</t>
        </is>
      </c>
      <c r="C165" s="171" t="n">
        <v>119</v>
      </c>
      <c r="D165" s="41" t="inlineStr">
        <is>
          <t>https://www.audiophonics.fr/fr/dac-portables/ibasso-dc04u-p-21828.html</t>
        </is>
      </c>
      <c r="E165" s="172" t="inlineStr">
        <is>
          <t>prix indicatif déjà consolidé. Instantané du jeu de données au 07/08/2026; ce prix peut évoluer.
Source : https://www.audiophonics.fr/fr/dac-portables/ibasso-dc04u-p-21828.html</t>
        </is>
      </c>
    </row>
    <row r="166">
      <c r="A166" s="167" t="inlineStr">
        <is>
          <t>Aiyima</t>
        </is>
      </c>
      <c r="B166" s="167" t="inlineStr">
        <is>
          <t>H4</t>
        </is>
      </c>
      <c r="C166" s="168" t="n">
        <v>109</v>
      </c>
      <c r="D166" s="41" t="inlineStr">
        <is>
          <t>https://www.audiophonics.fr/fr/dac-portables/aiyima-h4-p-21905.html</t>
        </is>
      </c>
      <c r="E166" s="169" t="inlineStr">
        <is>
          <t>prix indicatif déjà consolidé. Instantané du jeu de données au 07/08/2026; ce prix peut évoluer.
Source : https://www.audiophonics.fr/fr/dac-portables/aiyima-h4-p-21905.html</t>
        </is>
      </c>
    </row>
    <row r="167">
      <c r="A167" s="170" t="inlineStr">
        <is>
          <t>Aune</t>
        </is>
      </c>
      <c r="B167" s="170" t="inlineStr">
        <is>
          <t>Yuki SE</t>
        </is>
      </c>
      <c r="C167" s="171" t="n">
        <v>109</v>
      </c>
      <c r="D167" s="41" t="inlineStr">
        <is>
          <t>https://www.audiophonics.fr/fr/dac-portables/aune-yuki-se-p-19868.html</t>
        </is>
      </c>
      <c r="E167" s="172" t="inlineStr">
        <is>
          <t>prix indicatif déjà consolidé. Instantané du jeu de données au 07/08/2026; ce prix peut évoluer.
Source : https://www.audiophonics.fr/fr/dac-portables/aune-yuki-se-p-19868.html</t>
        </is>
      </c>
    </row>
    <row r="168">
      <c r="A168" s="167" t="inlineStr">
        <is>
          <t>Tanchjim</t>
        </is>
      </c>
      <c r="B168" s="167" t="inlineStr">
        <is>
          <t>Space Pro</t>
        </is>
      </c>
      <c r="C168" s="168" t="n">
        <v>99</v>
      </c>
      <c r="D168" s="41" t="inlineStr">
        <is>
          <t>https://www.audiophonics.fr/fr/dac-portables/tanchjim-space-pro-p-21768.html</t>
        </is>
      </c>
      <c r="E168" s="169" t="inlineStr">
        <is>
          <t>prix indicatif déjà consolidé. Instantané du jeu de données au 07/08/2026; ce prix peut évoluer.
Source : https://www.audiophonics.fr/fr/dac-portables/tanchjim-space-pro-p-21768.html</t>
        </is>
      </c>
    </row>
    <row r="169">
      <c r="A169" s="170" t="inlineStr">
        <is>
          <t>Fosi Audio</t>
        </is>
      </c>
      <c r="B169" s="170" t="inlineStr">
        <is>
          <t>DS3</t>
        </is>
      </c>
      <c r="C169" s="171" t="n">
        <v>93.48999999999999</v>
      </c>
      <c r="D169" s="41" t="inlineStr">
        <is>
          <t>https://www.audiophonics.fr/fr/dac-portables-c-6399.html?orderby=price&amp;orderway=desc&amp;orderway=desc&amp;p=2</t>
        </is>
      </c>
      <c r="E169" s="172" t="inlineStr">
        <is>
          <t>prix indicatif déjà consolidé. Instantané du jeu de données au 07/08/2026; ce prix peut évoluer.
Source : https://www.audiophonics.fr/fr/dac-portables-c-6399.html?orderby=price&amp;orderway=desc&amp;orderway=desc&amp;p=2</t>
        </is>
      </c>
    </row>
    <row r="170">
      <c r="A170" s="167" t="inlineStr">
        <is>
          <t>Fosi Audio</t>
        </is>
      </c>
      <c r="B170" s="167" t="inlineStr">
        <is>
          <t>SK02</t>
        </is>
      </c>
      <c r="C170" s="168" t="n">
        <v>93.48999999999999</v>
      </c>
      <c r="D170" s="41" t="inlineStr">
        <is>
          <t>https://www.audiophonics.fr/fr/amplificateurs-casque-sedentaires/fosi-audio-sk02-p-18861.html</t>
        </is>
      </c>
      <c r="E170" s="169" t="inlineStr">
        <is>
          <t>prix indicatif déjà consolidé. Instantané du jeu de données au 07/08/2026; ce prix peut évoluer.
Source : https://www.audiophonics.fr/fr/amplificateurs-casque-sedentaires/fosi-audio-sk02-p-18861.html</t>
        </is>
      </c>
    </row>
    <row r="171">
      <c r="A171" s="170" t="inlineStr">
        <is>
          <t>CrinEar</t>
        </is>
      </c>
      <c r="B171" s="170" t="inlineStr">
        <is>
          <t>Protocol Max</t>
        </is>
      </c>
      <c r="C171" s="171" t="n">
        <v>89.90000000000001</v>
      </c>
      <c r="D171" s="41" t="inlineStr">
        <is>
          <t>https://www.audiophonics.fr/fr/dac-portables/crinear-protocol-max-p-21200.html</t>
        </is>
      </c>
      <c r="E171" s="172" t="inlineStr">
        <is>
          <t>prix indicatif déjà consolidé. Instantané du jeu de données au 07/08/2026; ce prix peut évoluer.
Source : https://www.audiophonics.fr/fr/dac-portables/crinear-protocol-max-p-21200.html</t>
        </is>
      </c>
    </row>
    <row r="172">
      <c r="A172" s="167" t="inlineStr">
        <is>
          <t>ROSESELSA</t>
        </is>
      </c>
      <c r="B172" s="167" t="inlineStr">
        <is>
          <t>RS9029</t>
        </is>
      </c>
      <c r="C172" s="168" t="n">
        <v>89</v>
      </c>
      <c r="D172" s="41" t="inlineStr">
        <is>
          <t>https://www.audiophonics.fr/fr/dac-portables-c-6399.html?orderby=price&amp;orderway=desc&amp;orderway=desc&amp;p=2</t>
        </is>
      </c>
      <c r="E172" s="169" t="inlineStr">
        <is>
          <t>prix indicatif déjà consolidé. Instantané du jeu de données au 07/08/2026; ce prix peut évoluer.
Source : https://www.audiophonics.fr/fr/dac-portables-c-6399.html?orderby=price&amp;orderway=desc&amp;orderway=desc&amp;p=2</t>
        </is>
      </c>
    </row>
    <row r="173">
      <c r="A173" s="170" t="inlineStr">
        <is>
          <t>iFi audio</t>
        </is>
      </c>
      <c r="B173" s="170" t="inlineStr">
        <is>
          <t>GO Link 2 Max</t>
        </is>
      </c>
      <c r="C173" s="171" t="n">
        <v>89</v>
      </c>
      <c r="D173" s="41" t="inlineStr">
        <is>
          <t>https://www.audiophonics.fr/fr/dac-portables-c-6399.html?orderby=price&amp;orderway=desc&amp;orderway=desc&amp;p=2</t>
        </is>
      </c>
      <c r="E173" s="172" t="inlineStr">
        <is>
          <t>prix indicatif déjà consolidé. Instantané du jeu de données au 07/08/2026; ce prix peut évoluer.
Source : https://www.audiophonics.fr/fr/dac-portables-c-6399.html?orderby=price&amp;orderway=desc&amp;orderway=desc&amp;p=2</t>
        </is>
      </c>
    </row>
    <row r="174">
      <c r="A174" s="167" t="inlineStr">
        <is>
          <t>Fosi Audio</t>
        </is>
      </c>
      <c r="B174" s="167" t="inlineStr">
        <is>
          <t>DS1</t>
        </is>
      </c>
      <c r="C174" s="168" t="n">
        <v>75.65000000000001</v>
      </c>
      <c r="D174" s="41" t="inlineStr">
        <is>
          <t>https://www.audiophonics.fr/fr/amplificateurs-casque-mobiles/fosi-audio-ds1-amplificateur-casque-dac-portable-2x-es9038q2m-symetrique-32bit-768khz-dsd512-p-16996.html</t>
        </is>
      </c>
      <c r="E174" s="169" t="inlineStr">
        <is>
          <t>prix indicatif déjà consolidé. Instantané du jeu de données au 07/08/2026; ce prix peut évoluer.
Source : https://www.audiophonics.fr/fr/amplificateurs-casque-mobiles/fosi-audio-ds1-amplificateur-casque-dac-portable-2x-es9038q2m-symetrique-32bit-768khz-dsd512-p-16996.html</t>
        </is>
      </c>
    </row>
    <row r="175">
      <c r="A175" s="170" t="inlineStr">
        <is>
          <t>Tanchjim</t>
        </is>
      </c>
      <c r="B175" s="170" t="inlineStr">
        <is>
          <t>Space</t>
        </is>
      </c>
      <c r="C175" s="171" t="n">
        <v>72.90000000000001</v>
      </c>
      <c r="D175" s="41" t="inlineStr">
        <is>
          <t>https://www.audiophonics.fr/fr/dac-portables/tanchjim-space-dac-usb-portable-2x-cs43131-symetrique-32bit-384khz-dsd256-p-17668.html</t>
        </is>
      </c>
      <c r="E175" s="172" t="inlineStr">
        <is>
          <t>prix indicatif déjà consolidé. Instantané du jeu de données au 07/08/2026; ce prix peut évoluer.
Source : https://www.audiophonics.fr/fr/dac-portables/tanchjim-space-dac-usb-portable-2x-cs43131-symetrique-32bit-384khz-dsd256-p-17668.html</t>
        </is>
      </c>
    </row>
    <row r="176">
      <c r="A176" t="inlineStr">
        <is>
          <t>Qudelix</t>
        </is>
      </c>
      <c r="B176" t="inlineStr">
        <is>
          <t>5K</t>
        </is>
      </c>
      <c r="C176" t="n">
        <v>110</v>
      </c>
      <c r="D176" t="inlineStr">
        <is>
          <t>https://www.headphonesty.com/2023/03/review-qudelix-5k/</t>
        </is>
      </c>
      <c r="E176" t="inlineStr">
        <is>
          <t>prix indicatif consolidé. Instantané du jeu de données.</t>
        </is>
      </c>
    </row>
    <row r="177">
      <c r="A177" t="inlineStr">
        <is>
          <t>AudioQuest</t>
        </is>
      </c>
      <c r="B177" t="inlineStr">
        <is>
          <t>DragonFly Cobalt</t>
        </is>
      </c>
      <c r="C177" t="n">
        <v>300</v>
      </c>
      <c r="D177" t="inlineStr">
        <is>
          <t>https://www.headfonia.com/audioquest-dragonfly-cobalt-review/</t>
        </is>
      </c>
      <c r="E177" t="inlineStr">
        <is>
          <t>prix indicatif consolidé. Instantané du jeu de données.</t>
        </is>
      </c>
    </row>
    <row r="178">
      <c r="A178" t="inlineStr">
        <is>
          <t>AudioQuest</t>
        </is>
      </c>
      <c r="B178" t="inlineStr">
        <is>
          <t>DragonFly Red</t>
        </is>
      </c>
      <c r="C178" t="n">
        <v>229</v>
      </c>
      <c r="D178" t="inlineStr">
        <is>
          <t>https://www.headfonia.com/review-audioquest-dragonfly-red-black/</t>
        </is>
      </c>
      <c r="E178" t="inlineStr">
        <is>
          <t>prix indicatif consolidé. Instantané du jeu de données.</t>
        </is>
      </c>
    </row>
    <row r="179">
      <c r="A179" t="inlineStr">
        <is>
          <t>Truthear</t>
        </is>
      </c>
      <c r="B179" t="inlineStr">
        <is>
          <t>SHIO</t>
        </is>
      </c>
      <c r="C179" t="n">
        <v>70</v>
      </c>
      <c r="D179" t="inlineStr">
        <is>
          <t>https://www.headphonesty.com/2023/02/review-truthear-shio/</t>
        </is>
      </c>
      <c r="E179" t="inlineStr">
        <is>
          <t>prix indicatif consolidé. Instantané du jeu de données.</t>
        </is>
      </c>
    </row>
    <row r="180">
      <c r="A180" t="inlineStr">
        <is>
          <t>Simgot</t>
        </is>
      </c>
      <c r="B180" t="inlineStr">
        <is>
          <t>Dew4x</t>
        </is>
      </c>
      <c r="C180" t="n">
        <v>79</v>
      </c>
      <c r="D180" t="inlineStr">
        <is>
          <t>https://mobileaudiophile.com/dacs/simgot-dew4x-review/</t>
        </is>
      </c>
      <c r="E180" t="inlineStr">
        <is>
          <t>prix indicatif consolidé. Instantané du jeu de données.</t>
        </is>
      </c>
    </row>
    <row r="181">
      <c r="A181" t="inlineStr">
        <is>
          <t>iBasso</t>
        </is>
      </c>
      <c r="B181" t="inlineStr">
        <is>
          <t>DC01</t>
        </is>
      </c>
      <c r="C181" t="n">
        <v>49</v>
      </c>
      <c r="D181" t="inlineStr">
        <is>
          <t>https://www.headfonia.com/ibasso-dc01-first-look-sunday/</t>
        </is>
      </c>
      <c r="E181" t="inlineStr">
        <is>
          <t>prix indicatif consolidé. Instantané du jeu de données.</t>
        </is>
      </c>
    </row>
    <row r="182">
      <c r="A182" t="inlineStr">
        <is>
          <t>Kiwi Ears</t>
        </is>
      </c>
      <c r="B182" t="inlineStr">
        <is>
          <t>Allegro Pro</t>
        </is>
      </c>
      <c r="C182" t="n">
        <v>60</v>
      </c>
      <c r="D182" t="inlineStr">
        <is>
          <t>https://kiwiears.com/products/kiwi-ears-allegro-pro</t>
        </is>
      </c>
      <c r="E182" t="inlineStr">
        <is>
          <t>prix indicatif consolidé. Instantané du jeu de données.</t>
        </is>
      </c>
    </row>
    <row r="183">
      <c r="A183" t="inlineStr">
        <is>
          <t>EPZ</t>
        </is>
      </c>
      <c r="B183" t="inlineStr">
        <is>
          <t>TP35 Pro</t>
        </is>
      </c>
      <c r="C183" t="n">
        <v>88</v>
      </c>
      <c r="D183" t="inlineStr">
        <is>
          <t>https://mobileaudiophile.com/dacs/dongle/epz-tp35-pro-review/</t>
        </is>
      </c>
      <c r="E183" t="inlineStr">
        <is>
          <t>prix indicatif consolidé. Instantané du jeu de données.</t>
        </is>
      </c>
    </row>
    <row r="184">
      <c r="A184" t="inlineStr">
        <is>
          <t>EPZ</t>
        </is>
      </c>
      <c r="B184" t="inlineStr">
        <is>
          <t>TP20 Pro</t>
        </is>
      </c>
      <c r="C184" t="n">
        <v>80</v>
      </c>
      <c r="D184" t="inlineStr">
        <is>
          <t>https://mobileaudiophile.com/dacs/dongle/epz-tp20-pro-review/</t>
        </is>
      </c>
      <c r="E184" t="inlineStr">
        <is>
          <t>prix indicatif consolidé. Instantané du jeu de données.</t>
        </is>
      </c>
    </row>
    <row r="185">
      <c r="A185" t="inlineStr">
        <is>
          <t>EPZ</t>
        </is>
      </c>
      <c r="B185" t="inlineStr">
        <is>
          <t>TP50</t>
        </is>
      </c>
      <c r="C185" t="n">
        <v>100</v>
      </c>
      <c r="D185" t="inlineStr">
        <is>
          <t>https://mobileaudiophile.com/dacs/dongle/epz-tp50-review/</t>
        </is>
      </c>
      <c r="E185" t="inlineStr">
        <is>
          <t>prix indicatif consolidé. Instantané du jeu de données.</t>
        </is>
      </c>
    </row>
    <row r="186">
      <c r="A186" t="inlineStr">
        <is>
          <t>Rose Technics</t>
        </is>
      </c>
      <c r="B186" t="inlineStr">
        <is>
          <t>RS9039</t>
        </is>
      </c>
      <c r="C186" t="n">
        <v>65</v>
      </c>
      <c r="D186" t="inlineStr">
        <is>
          <t>https://mobileaudiophile.com/dacs/dongle/roseselsa-rs9039-review/</t>
        </is>
      </c>
      <c r="E186" t="inlineStr">
        <is>
          <t>prix indicatif consolidé. Instantané du jeu de données.</t>
        </is>
      </c>
    </row>
    <row r="187">
      <c r="A187" t="inlineStr">
        <is>
          <t>AFUL</t>
        </is>
      </c>
      <c r="B187" t="inlineStr">
        <is>
          <t>SnowyNight</t>
        </is>
      </c>
      <c r="C187" t="n">
        <v>100</v>
      </c>
      <c r="D187" t="inlineStr">
        <is>
          <t>https://mobileaudiophile.com/dacs/dongle/aful-snowynight-review/</t>
        </is>
      </c>
      <c r="E187" t="inlineStr">
        <is>
          <t>prix indicatif consolidé. Instantané du jeu de données.</t>
        </is>
      </c>
    </row>
    <row r="188">
      <c r="A188" t="inlineStr">
        <is>
          <t>iKKO</t>
        </is>
      </c>
      <c r="B188" t="inlineStr">
        <is>
          <t>Zerda ITM01</t>
        </is>
      </c>
      <c r="C188" t="n">
        <v>55</v>
      </c>
      <c r="D188" t="inlineStr">
        <is>
          <t>https://hiendportable.com/ikko-zerda-itm01-english-review/</t>
        </is>
      </c>
      <c r="E188" t="inlineStr">
        <is>
          <t>prix indicatif consolidé. Instantané du jeu de données.</t>
        </is>
      </c>
    </row>
    <row r="189">
      <c r="A189" t="inlineStr">
        <is>
          <t>EarMen</t>
        </is>
      </c>
      <c r="B189" t="inlineStr">
        <is>
          <t>Eagle</t>
        </is>
      </c>
      <c r="C189" t="n">
        <v>120</v>
      </c>
      <c r="D189" t="inlineStr">
        <is>
          <t>https://www.audioreviews.org/earmen-eagle-review/</t>
        </is>
      </c>
      <c r="E189" t="inlineStr">
        <is>
          <t>prix indicatif consolidé. Instantané du jeu de données.</t>
        </is>
      </c>
    </row>
    <row r="190">
      <c r="A190" t="inlineStr">
        <is>
          <t>EarMen</t>
        </is>
      </c>
      <c r="B190" t="inlineStr">
        <is>
          <t>Sparrow</t>
        </is>
      </c>
      <c r="C190" t="n">
        <v>185</v>
      </c>
      <c r="D190" t="inlineStr">
        <is>
          <t>https://www.audioreviews.org/earmen-sparrow-review/</t>
        </is>
      </c>
      <c r="E190" t="inlineStr">
        <is>
          <t>prix indicatif consolidé. Instantané du jeu de données.</t>
        </is>
      </c>
    </row>
    <row r="191">
      <c r="A191" t="inlineStr">
        <is>
          <t>Audirect</t>
        </is>
      </c>
      <c r="B191" t="inlineStr">
        <is>
          <t>Atom 2</t>
        </is>
      </c>
      <c r="C191" t="n">
        <v>70</v>
      </c>
      <c r="D191" t="inlineStr">
        <is>
          <t>https://www.audioreviews.org/audirect-atom-2-review/</t>
        </is>
      </c>
      <c r="E191" t="inlineStr">
        <is>
          <t>prix indicatif consolidé. Instantané du jeu de données.</t>
        </is>
      </c>
    </row>
    <row r="192">
      <c r="A192" t="inlineStr">
        <is>
          <t>Audirect</t>
        </is>
      </c>
      <c r="B192" t="inlineStr">
        <is>
          <t>Atom 3</t>
        </is>
      </c>
      <c r="C192" t="n">
        <v>44</v>
      </c>
      <c r="D192" t="inlineStr">
        <is>
          <t>https://www.audioreviews.org/audirect-atom-3-review/</t>
        </is>
      </c>
      <c r="E192" t="inlineStr">
        <is>
          <t>prix indicatif consolidé. Instantané du jeu de données.</t>
        </is>
      </c>
    </row>
    <row r="193">
      <c r="A193" t="inlineStr">
        <is>
          <t>Audirect</t>
        </is>
      </c>
      <c r="B193" t="inlineStr">
        <is>
          <t>Team 1</t>
        </is>
      </c>
      <c r="C193" t="n">
        <v>300</v>
      </c>
      <c r="D193" t="inlineStr">
        <is>
          <t>https://www.audioreviews.org/audirect-team-1-review/</t>
        </is>
      </c>
      <c r="E193" t="inlineStr">
        <is>
          <t>prix indicatif consolidé. Instantané du jeu de données.</t>
        </is>
      </c>
    </row>
    <row r="194">
      <c r="A194" t="inlineStr">
        <is>
          <t>Venture Electronics</t>
        </is>
      </c>
      <c r="B194" t="inlineStr">
        <is>
          <t>Odyssey HD</t>
        </is>
      </c>
      <c r="C194" t="n">
        <v>9</v>
      </c>
      <c r="D194" t="inlineStr">
        <is>
          <t>https://www.soundphilereview.com/reviews/venture-electronics-odyssey-hd-review-4580/</t>
        </is>
      </c>
      <c r="E194" t="inlineStr">
        <is>
          <t>prix indicatif consolidé. Instantané du jeu de données.</t>
        </is>
      </c>
    </row>
    <row r="195">
      <c r="A195" t="inlineStr">
        <is>
          <t>TempoTec</t>
        </is>
      </c>
      <c r="B195" t="inlineStr">
        <is>
          <t>Sonata HD II</t>
        </is>
      </c>
      <c r="C195" t="n">
        <v>80</v>
      </c>
      <c r="D195" t="inlineStr">
        <is>
          <t>https://www.audiophile-heaven.com/2022/05/tempotec-sonata-hd-ii-music-tail.html</t>
        </is>
      </c>
      <c r="E195" t="inlineStr">
        <is>
          <t>prix indicatif consolidé. Instantané du jeu de données.</t>
        </is>
      </c>
    </row>
    <row r="196">
      <c r="A196" t="inlineStr">
        <is>
          <t>BGVP</t>
        </is>
      </c>
      <c r="B196" t="inlineStr">
        <is>
          <t>T01s</t>
        </is>
      </c>
      <c r="C196" t="n">
        <v>16</v>
      </c>
      <c r="D196" t="inlineStr">
        <is>
          <t>https://www.audioreviews.org/bgvp-t01s-review/</t>
        </is>
      </c>
      <c r="E196" t="inlineStr">
        <is>
          <t>prix indicatif consolidé. Instantané du jeu de données.</t>
        </is>
      </c>
    </row>
    <row r="197">
      <c r="A197" t="inlineStr">
        <is>
          <t>Campfire Audio</t>
        </is>
      </c>
      <c r="B197" t="inlineStr">
        <is>
          <t>Relay</t>
        </is>
      </c>
      <c r="C197" t="n">
        <v>210</v>
      </c>
      <c r="D197" t="inlineStr">
        <is>
          <t>https://majorhifi.com/campfire-audio-relay-review/</t>
        </is>
      </c>
      <c r="E197" t="inlineStr">
        <is>
          <t>prix indicatif consolidé. Instantané du jeu de données.</t>
        </is>
      </c>
    </row>
    <row r="198">
      <c r="A198" t="inlineStr">
        <is>
          <t>Cozoy</t>
        </is>
      </c>
      <c r="B198" t="inlineStr">
        <is>
          <t>Takt-C</t>
        </is>
      </c>
      <c r="C198" t="n">
        <v>60</v>
      </c>
      <c r="D198" t="inlineStr">
        <is>
          <t>https://www.audioreviews.org/cozoy-takt-c-review/</t>
        </is>
      </c>
      <c r="E198" t="inlineStr">
        <is>
          <t>prix indicatif consolidé. Instantané du jeu de données.</t>
        </is>
      </c>
    </row>
    <row r="199">
      <c r="A199" t="inlineStr">
        <is>
          <t>Celest</t>
        </is>
      </c>
      <c r="B199" t="inlineStr">
        <is>
          <t>CD-2</t>
        </is>
      </c>
      <c r="C199" t="n">
        <v>23</v>
      </c>
      <c r="D199" t="inlineStr">
        <is>
          <t>https://www.audioreviews.org/celest-cd-2-review/</t>
        </is>
      </c>
      <c r="E199" t="inlineStr">
        <is>
          <t>prix indicatif consolidé. Instantané du jeu de données.</t>
        </is>
      </c>
    </row>
    <row r="200">
      <c r="A200" t="inlineStr">
        <is>
          <t>Apogee</t>
        </is>
      </c>
      <c r="B200" t="inlineStr">
        <is>
          <t>Groove</t>
        </is>
      </c>
      <c r="C200" t="n">
        <v>180</v>
      </c>
      <c r="D200" t="inlineStr">
        <is>
          <t>https://www.audioreviews.org/apogee-groove-review-ap/</t>
        </is>
      </c>
      <c r="E200" t="inlineStr">
        <is>
          <t>prix indicatif consolidé. Instantané du jeu de données.</t>
        </is>
      </c>
    </row>
    <row r="201">
      <c r="A201" t="inlineStr">
        <is>
          <t>SMSL</t>
        </is>
      </c>
      <c r="B201" t="inlineStr">
        <is>
          <t>C200</t>
        </is>
      </c>
      <c r="C201" t="n">
        <v>200</v>
      </c>
      <c r="D201" t="inlineStr">
        <is>
          <t>https://www.audioreviews.org/aoshida-audio-smsl-c200-review-dw/</t>
        </is>
      </c>
      <c r="E201" t="inlineStr">
        <is>
          <t>prix indicatif consolidé. Instantané du jeu de données.</t>
        </is>
      </c>
    </row>
    <row r="202">
      <c r="A202" t="inlineStr">
        <is>
          <t>NuPrime</t>
        </is>
      </c>
      <c r="B202" t="inlineStr">
        <is>
          <t>Hi-mDAC</t>
        </is>
      </c>
      <c r="C202" t="n">
        <v>139</v>
      </c>
      <c r="D202" t="inlineStr">
        <is>
          <t>https://www.headfonia.com/nuprime-hi-mdac-review/</t>
        </is>
      </c>
      <c r="E202" t="inlineStr">
        <is>
          <t>prix indicatif consolidé. Instantané du jeu de données.</t>
        </is>
      </c>
    </row>
    <row r="203">
      <c r="A203" t="inlineStr">
        <is>
          <t>Apos Audio</t>
        </is>
      </c>
      <c r="B203" t="inlineStr">
        <is>
          <t>Druid</t>
        </is>
      </c>
      <c r="C203" t="n">
        <v>150</v>
      </c>
      <c r="D203" t="inlineStr">
        <is>
          <t>https://www.headfonia.com/apos-druid-review/</t>
        </is>
      </c>
      <c r="E203" t="inlineStr">
        <is>
          <t>prix indicatif consolidé. Instantané du jeu de données.</t>
        </is>
      </c>
    </row>
    <row r="204">
      <c r="A204" t="inlineStr">
        <is>
          <t>EarMen</t>
        </is>
      </c>
      <c r="B204" t="inlineStr">
        <is>
          <t>TR-Amp</t>
        </is>
      </c>
      <c r="C204" t="n">
        <v>260</v>
      </c>
      <c r="D204" t="inlineStr">
        <is>
          <t>https://www.headfonia.com/earmen-tr-amp-review/</t>
        </is>
      </c>
      <c r="E204" t="inlineStr">
        <is>
          <t>prix indicatif consolidé. Instantané du jeu de données.</t>
        </is>
      </c>
    </row>
    <row r="205">
      <c r="A205" t="inlineStr">
        <is>
          <t>Radsone</t>
        </is>
      </c>
      <c r="B205" t="inlineStr">
        <is>
          <t>Earstudio HUD100 MK2</t>
        </is>
      </c>
      <c r="C205" t="n">
        <v>110</v>
      </c>
      <c r="D205" t="inlineStr">
        <is>
          <t>https://www.audioreviews.org/earstudio-hud100-review-jk/</t>
        </is>
      </c>
      <c r="E205" t="inlineStr">
        <is>
          <t>prix indicatif consolidé. Instantané du jeu de données.</t>
        </is>
      </c>
    </row>
    <row r="206">
      <c r="A206" t="inlineStr">
        <is>
          <t>iKKO</t>
        </is>
      </c>
      <c r="B206" t="inlineStr">
        <is>
          <t>Heimdalir ITB03</t>
        </is>
      </c>
      <c r="C206" t="n">
        <v>138</v>
      </c>
      <c r="D206" t="inlineStr">
        <is>
          <t>https://www.audioreviews.org/ikko-itb03-review-kazi/</t>
        </is>
      </c>
      <c r="E206" t="inlineStr">
        <is>
          <t>prix indicatif consolidé. Instantané du jeu de données.</t>
        </is>
      </c>
    </row>
    <row r="207">
      <c r="A207" t="inlineStr">
        <is>
          <t>TimeEar</t>
        </is>
      </c>
      <c r="B207" t="inlineStr">
        <is>
          <t>BTE-9</t>
        </is>
      </c>
      <c r="C207" t="n">
        <v>73</v>
      </c>
      <c r="D207" t="inlineStr">
        <is>
          <t>https://moonstarreviews.net/timeear-bte-9-review/</t>
        </is>
      </c>
      <c r="E207" t="inlineStr">
        <is>
          <t>prix indicatif consolidé. Instantané du jeu de données.</t>
        </is>
      </c>
    </row>
  </sheetData>
  <autoFilter ref="A1:E175"/>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10"/>
  <sheetViews>
    <sheetView showGridLines="0" workbookViewId="0">
      <pane ySplit="4" topLeftCell="A5" activePane="bottomLeft" state="frozen"/>
      <selection pane="bottomLeft" activeCell="A1" sqref="A1"/>
    </sheetView>
  </sheetViews>
  <sheetFormatPr baseColWidth="8" defaultRowHeight="15"/>
  <cols>
    <col width="20" customWidth="1" min="1" max="1"/>
    <col width="34" customWidth="1" min="2" max="2"/>
    <col width="20" customWidth="1" min="3" max="3"/>
    <col width="52" customWidth="1" min="4" max="4"/>
    <col width="32" customWidth="1" min="5" max="5"/>
    <col width="12" customWidth="1" min="6" max="6"/>
  </cols>
  <sheetData>
    <row r="1">
      <c r="A1" s="173" t="inlineStr">
        <is>
          <t>Classification par format — règles appliquées</t>
        </is>
      </c>
    </row>
    <row r="2">
      <c r="A2" s="174" t="inlineStr">
        <is>
          <t>La colonne « Type » du Comparatif range 126 produits sur 174 sous la même étiquette : inutilisable pour segmenter. Le format ci-dessous est déduit du Type quand il est précis, sinon du résumé Headfonics, sinon de la note de nomadisme. Les lignes marquées À VALIDER ou « À classer » n'ont pas de signal fiable : corrige-les à la main, la colonne C de « Classement » les reprend.</t>
        </is>
      </c>
    </row>
    <row r="4">
      <c r="A4" s="183" t="inlineStr">
        <is>
          <t>Marque</t>
        </is>
      </c>
      <c r="B4" s="183" t="inlineStr">
        <is>
          <t>Modèle</t>
        </is>
      </c>
      <c r="C4" s="183" t="inlineStr">
        <is>
          <t>Format retenu</t>
        </is>
      </c>
      <c r="D4" s="183" t="inlineStr">
        <is>
          <t>Motif de la règle</t>
        </is>
      </c>
      <c r="E4" s="183" t="inlineStr">
        <is>
          <t>Type d'origine</t>
        </is>
      </c>
      <c r="F4" s="183" t="inlineStr">
        <is>
          <t>Nomadisme</t>
        </is>
      </c>
    </row>
    <row r="5">
      <c r="A5" s="184" t="inlineStr">
        <is>
          <t>Audirect</t>
        </is>
      </c>
      <c r="B5" s="184" t="inlineStr">
        <is>
          <t>Beam 3 PRO</t>
        </is>
      </c>
      <c r="C5" s="184" t="inlineStr">
        <is>
          <t>Dongle</t>
        </is>
      </c>
      <c r="D5" s="184" t="inlineStr">
        <is>
          <t>Nomadisme 9.5 ≥ 9,0 — aucun autre signal (À VALIDER)</t>
        </is>
      </c>
      <c r="E5" s="184" t="inlineStr">
        <is>
          <t>Portable Amp/DAC (Headfonics)</t>
        </is>
      </c>
      <c r="F5" s="184" t="n">
        <v>9.5</v>
      </c>
    </row>
    <row r="6">
      <c r="A6" s="184" t="inlineStr">
        <is>
          <t>Aune</t>
        </is>
      </c>
      <c r="B6" s="184" t="inlineStr">
        <is>
          <t>Yuki SE</t>
        </is>
      </c>
      <c r="C6" s="184" t="inlineStr">
        <is>
          <t>Dongle</t>
        </is>
      </c>
      <c r="D6" s="184" t="inlineStr">
        <is>
          <t>Nomadisme 9.5 ≥ 9,0 — aucun autre signal (À VALIDER)</t>
        </is>
      </c>
      <c r="E6" s="184" t="inlineStr">
        <is>
          <t>DAC / ampli portable</t>
        </is>
      </c>
      <c r="F6" s="184" t="n">
        <v>9.5</v>
      </c>
    </row>
    <row r="7">
      <c r="A7" s="184" t="inlineStr">
        <is>
          <t>CrinEar</t>
        </is>
      </c>
      <c r="B7" s="184" t="inlineStr">
        <is>
          <t>Protocol Max</t>
        </is>
      </c>
      <c r="C7" s="184" t="inlineStr">
        <is>
          <t>Dongle</t>
        </is>
      </c>
      <c r="D7" s="184" t="inlineStr">
        <is>
          <t>Nomadisme 9.5 ≥ 9,0 — aucun autre signal (À VALIDER)</t>
        </is>
      </c>
      <c r="E7" s="184" t="inlineStr">
        <is>
          <t>DAC / ampli portable</t>
        </is>
      </c>
      <c r="F7" s="184" t="n">
        <v>9.5</v>
      </c>
    </row>
    <row r="8">
      <c r="A8" s="184" t="inlineStr">
        <is>
          <t>FangSound</t>
        </is>
      </c>
      <c r="B8" s="184" t="inlineStr">
        <is>
          <t>Prometheus</t>
        </is>
      </c>
      <c r="C8" s="184" t="inlineStr">
        <is>
          <t>Dongle</t>
        </is>
      </c>
      <c r="D8" s="184" t="inlineStr">
        <is>
          <t>Nomadisme 9.3 ≥ 9,0 — aucun autre signal (À VALIDER)</t>
        </is>
      </c>
      <c r="E8" s="184" t="inlineStr">
        <is>
          <t>DAC / ampli portable</t>
        </is>
      </c>
      <c r="F8" s="184" t="n">
        <v>9.300000000000001</v>
      </c>
    </row>
    <row r="9">
      <c r="A9" s="184" t="inlineStr">
        <is>
          <t>Fosi Audio</t>
        </is>
      </c>
      <c r="B9" s="184" t="inlineStr">
        <is>
          <t>DS3</t>
        </is>
      </c>
      <c r="C9" s="184" t="inlineStr">
        <is>
          <t>Dongle</t>
        </is>
      </c>
      <c r="D9" s="184" t="inlineStr">
        <is>
          <t>Nomadisme 9.5 ≥ 9,0 — aucun autre signal (À VALIDER)</t>
        </is>
      </c>
      <c r="E9" s="184" t="inlineStr">
        <is>
          <t>DAC / ampli portable</t>
        </is>
      </c>
      <c r="F9" s="184" t="n">
        <v>9.5</v>
      </c>
    </row>
    <row r="10">
      <c r="A10" s="184" t="inlineStr">
        <is>
          <t>Tanchjim</t>
        </is>
      </c>
      <c r="B10" s="184" t="inlineStr">
        <is>
          <t>Space Pro</t>
        </is>
      </c>
      <c r="C10" s="184" t="inlineStr">
        <is>
          <t>Dongle</t>
        </is>
      </c>
      <c r="D10" s="184" t="inlineStr">
        <is>
          <t>Nomadisme 9.5 ≥ 9,0 — aucun autre signal (À VALIDER)</t>
        </is>
      </c>
      <c r="E10" s="184" t="inlineStr">
        <is>
          <t>DAC / ampli portable</t>
        </is>
      </c>
      <c r="F10" s="184" t="n">
        <v>9.5</v>
      </c>
    </row>
    <row r="11">
      <c r="A11" s="184" t="inlineStr">
        <is>
          <t>Tanchjim</t>
        </is>
      </c>
      <c r="B11" s="184" t="inlineStr">
        <is>
          <t>Space</t>
        </is>
      </c>
      <c r="C11" s="184" t="inlineStr">
        <is>
          <t>Dongle</t>
        </is>
      </c>
      <c r="D11" s="184" t="inlineStr">
        <is>
          <t>Nomadisme 9.5 ≥ 9,0 — aucun autre signal (À VALIDER)</t>
        </is>
      </c>
      <c r="E11" s="184" t="inlineStr">
        <is>
          <t>DAC / ampli portable</t>
        </is>
      </c>
      <c r="F11" s="184" t="n">
        <v>9.5</v>
      </c>
    </row>
    <row r="12">
      <c r="A12" s="184" t="inlineStr">
        <is>
          <t>ddHiFi</t>
        </is>
      </c>
      <c r="B12" s="184" t="inlineStr">
        <is>
          <t>TC44A Lightning DAC</t>
        </is>
      </c>
      <c r="C12" s="184" t="inlineStr">
        <is>
          <t>Dongle</t>
        </is>
      </c>
      <c r="D12" s="184" t="inlineStr">
        <is>
          <t>Nomadisme 9.6 ≥ 9,0 — aucun autre signal (À VALIDER)</t>
        </is>
      </c>
      <c r="E12" s="184" t="inlineStr">
        <is>
          <t>Portable Amp/DAC (Headfonics)</t>
        </is>
      </c>
      <c r="F12" s="184" t="n">
        <v>9.6</v>
      </c>
    </row>
    <row r="13">
      <c r="A13" s="184" t="inlineStr">
        <is>
          <t>iBasso</t>
        </is>
      </c>
      <c r="B13" s="184" t="inlineStr">
        <is>
          <t>DC04U Ultra</t>
        </is>
      </c>
      <c r="C13" s="184" t="inlineStr">
        <is>
          <t>Dongle</t>
        </is>
      </c>
      <c r="D13" s="184" t="inlineStr">
        <is>
          <t>Nomadisme 9.5 ≥ 9,0 — aucun autre signal (À VALIDER)</t>
        </is>
      </c>
      <c r="E13" s="184" t="inlineStr">
        <is>
          <t>DAC / ampli portable</t>
        </is>
      </c>
      <c r="F13" s="184" t="n">
        <v>9.5</v>
      </c>
    </row>
    <row r="14">
      <c r="A14" s="184" t="inlineStr">
        <is>
          <t>xDuoo</t>
        </is>
      </c>
      <c r="B14" s="184" t="inlineStr">
        <is>
          <t>Link10</t>
        </is>
      </c>
      <c r="C14" s="184" t="inlineStr">
        <is>
          <t>Dongle</t>
        </is>
      </c>
      <c r="D14" s="184" t="inlineStr">
        <is>
          <t>Nomadisme 9.5 ≥ 9,0 — aucun autre signal (À VALIDER)</t>
        </is>
      </c>
      <c r="E14" s="184" t="inlineStr">
        <is>
          <t>Portable Amp/DAC (Headfonics)</t>
        </is>
      </c>
      <c r="F14" s="184" t="n">
        <v>9.5</v>
      </c>
    </row>
    <row r="15">
      <c r="A15" s="184" t="inlineStr">
        <is>
          <t>MUSE HiFi</t>
        </is>
      </c>
      <c r="B15" s="184" t="inlineStr">
        <is>
          <t>M6 Double</t>
        </is>
      </c>
      <c r="C15" s="184" t="inlineStr">
        <is>
          <t>Portable batterie</t>
        </is>
      </c>
      <c r="D15" s="184" t="inlineStr">
        <is>
          <t>Nomadisme 6.5 ≤ 7,0 — aucun autre signal (À VALIDER)</t>
        </is>
      </c>
      <c r="E15" s="184" t="inlineStr">
        <is>
          <t>DAC/amp portable hybride</t>
        </is>
      </c>
      <c r="F15" s="184" t="n">
        <v>6.5</v>
      </c>
    </row>
    <row r="16">
      <c r="A16" s="184" t="inlineStr">
        <is>
          <t>Phatlab</t>
        </is>
      </c>
      <c r="B16" s="184" t="inlineStr">
        <is>
          <t>Chimera</t>
        </is>
      </c>
      <c r="C16" s="184" t="inlineStr">
        <is>
          <t>Portable batterie</t>
        </is>
      </c>
      <c r="D16" s="184" t="inlineStr">
        <is>
          <t>Nomadisme 6.5 ≤ 7,0 — aucun autre signal (À VALIDER)</t>
        </is>
      </c>
      <c r="E16" s="184" t="inlineStr">
        <is>
          <t>Portable Amp/DAC (Headfonics)</t>
        </is>
      </c>
      <c r="F16" s="184" t="n">
        <v>6.5</v>
      </c>
    </row>
    <row r="17">
      <c r="A17" s="184" t="inlineStr">
        <is>
          <t>iFi audio</t>
        </is>
      </c>
      <c r="B17" s="184" t="inlineStr">
        <is>
          <t>UNO</t>
        </is>
      </c>
      <c r="C17" s="184" t="inlineStr">
        <is>
          <t>Portable batterie</t>
        </is>
      </c>
      <c r="D17" s="184" t="inlineStr">
        <is>
          <t>Nomadisme 6.5 ≤ 7,0 — aucun autre signal (À VALIDER)</t>
        </is>
      </c>
      <c r="E17" s="184" t="inlineStr">
        <is>
          <t>Portable Amp/DAC (Headfonics)</t>
        </is>
      </c>
      <c r="F17" s="184" t="n">
        <v>6.5</v>
      </c>
    </row>
    <row r="18">
      <c r="A18" s="184" t="inlineStr">
        <is>
          <t>iFi audio</t>
        </is>
      </c>
      <c r="B18" s="184" t="inlineStr">
        <is>
          <t>iDSD Valkyrie</t>
        </is>
      </c>
      <c r="C18" s="184" t="inlineStr">
        <is>
          <t>Portable batterie</t>
        </is>
      </c>
      <c r="D18" s="184" t="inlineStr">
        <is>
          <t>Nomadisme 6.5 ≤ 7,0 — aucun autre signal (À VALIDER)</t>
        </is>
      </c>
      <c r="E18" s="184" t="inlineStr">
        <is>
          <t>DAC / ampli portable</t>
        </is>
      </c>
      <c r="F18" s="184" t="n">
        <v>6.5</v>
      </c>
    </row>
    <row r="19">
      <c r="A19" s="184" t="inlineStr">
        <is>
          <t>iFi audio</t>
        </is>
      </c>
      <c r="B19" s="184" t="inlineStr">
        <is>
          <t>iDSD GR 2</t>
        </is>
      </c>
      <c r="C19" s="184" t="inlineStr">
        <is>
          <t>Portable batterie</t>
        </is>
      </c>
      <c r="D19" s="184" t="inlineStr">
        <is>
          <t>Nomadisme 6.5 ≤ 7,0 — aucun autre signal (À VALIDER)</t>
        </is>
      </c>
      <c r="E19" s="184" t="inlineStr">
        <is>
          <t>DAC / ampli portable</t>
        </is>
      </c>
      <c r="F19" s="184" t="n">
        <v>6.5</v>
      </c>
    </row>
    <row r="20">
      <c r="A20" s="184" t="inlineStr">
        <is>
          <t>xDuoo</t>
        </is>
      </c>
      <c r="B20" s="184" t="inlineStr">
        <is>
          <t>XD05 BAL</t>
        </is>
      </c>
      <c r="C20" s="184" t="inlineStr">
        <is>
          <t>Portable batterie</t>
        </is>
      </c>
      <c r="D20" s="184" t="inlineStr">
        <is>
          <t>Nomadisme 6.5 ≤ 7,0 — aucun autre signal (À VALIDER)</t>
        </is>
      </c>
      <c r="E20" s="184" t="inlineStr">
        <is>
          <t>DAC / ampli portable</t>
        </is>
      </c>
      <c r="F20" s="184" t="n">
        <v>6.5</v>
      </c>
    </row>
    <row r="21">
      <c r="A21" s="184" t="inlineStr">
        <is>
          <t>Aiyima</t>
        </is>
      </c>
      <c r="B21" s="184" t="inlineStr">
        <is>
          <t>H4</t>
        </is>
      </c>
      <c r="C21" s="184" t="inlineStr">
        <is>
          <t>À classer</t>
        </is>
      </c>
      <c r="D21" s="184" t="inlineStr">
        <is>
          <t>aucun signal exploitable — à renseigner à la main</t>
        </is>
      </c>
      <c r="E21" s="184" t="inlineStr">
        <is>
          <t>DAC / ampli portable</t>
        </is>
      </c>
      <c r="F21" s="184" t="n">
        <v>7.8</v>
      </c>
    </row>
    <row r="22">
      <c r="A22" s="184" t="inlineStr">
        <is>
          <t>Audirect</t>
        </is>
      </c>
      <c r="B22" s="184" t="inlineStr">
        <is>
          <t>Beam 4</t>
        </is>
      </c>
      <c r="C22" s="184" t="inlineStr">
        <is>
          <t>À classer</t>
        </is>
      </c>
      <c r="D22" s="184" t="inlineStr">
        <is>
          <t>aucun signal exploitable — à renseigner à la main</t>
        </is>
      </c>
      <c r="E22" s="184" t="inlineStr">
        <is>
          <t>Portable Amp/DAC (Headfonics)</t>
        </is>
      </c>
      <c r="F22" s="184" t="n">
        <v>8</v>
      </c>
    </row>
    <row r="23">
      <c r="A23" s="184" t="inlineStr">
        <is>
          <t>Audirect</t>
        </is>
      </c>
      <c r="B23" s="184" t="inlineStr">
        <is>
          <t>Beam 3 Plus</t>
        </is>
      </c>
      <c r="C23" s="184" t="inlineStr">
        <is>
          <t>À classer</t>
        </is>
      </c>
      <c r="D23" s="184" t="inlineStr">
        <is>
          <t>aucun signal exploitable — à renseigner à la main</t>
        </is>
      </c>
      <c r="E23" s="184" t="inlineStr">
        <is>
          <t>Portable Amp/DAC (Headfonics)</t>
        </is>
      </c>
      <c r="F23" s="184" t="n">
        <v>8</v>
      </c>
    </row>
    <row r="24">
      <c r="A24" s="184" t="inlineStr">
        <is>
          <t>Aune</t>
        </is>
      </c>
      <c r="B24" s="184" t="inlineStr">
        <is>
          <t>Yuki</t>
        </is>
      </c>
      <c r="C24" s="184" t="inlineStr">
        <is>
          <t>À classer</t>
        </is>
      </c>
      <c r="D24" s="184" t="inlineStr">
        <is>
          <t>aucun signal exploitable — à renseigner à la main</t>
        </is>
      </c>
      <c r="E24" s="184" t="inlineStr">
        <is>
          <t>DAC / ampli portable</t>
        </is>
      </c>
      <c r="F24" s="184" t="n">
        <v>8</v>
      </c>
    </row>
    <row r="25">
      <c r="A25" s="184" t="inlineStr">
        <is>
          <t>E1DA</t>
        </is>
      </c>
      <c r="B25" s="184" t="inlineStr">
        <is>
          <t>9039S</t>
        </is>
      </c>
      <c r="C25" s="184" t="inlineStr">
        <is>
          <t>À classer</t>
        </is>
      </c>
      <c r="D25" s="184" t="inlineStr">
        <is>
          <t>aucun signal exploitable — à renseigner à la main</t>
        </is>
      </c>
      <c r="E25" s="184" t="inlineStr">
        <is>
          <t>DAC / ampli portable</t>
        </is>
      </c>
      <c r="F25" s="184" t="n">
        <v>7.8</v>
      </c>
    </row>
    <row r="26">
      <c r="A26" s="184" t="inlineStr">
        <is>
          <t>E1DA</t>
        </is>
      </c>
      <c r="B26" s="184" t="inlineStr">
        <is>
          <t>9038D6K</t>
        </is>
      </c>
      <c r="C26" s="184" t="inlineStr">
        <is>
          <t>À classer</t>
        </is>
      </c>
      <c r="D26" s="184" t="inlineStr">
        <is>
          <t>aucun signal exploitable — à renseigner à la main</t>
        </is>
      </c>
      <c r="E26" s="184" t="inlineStr">
        <is>
          <t>DAC / ampli portable</t>
        </is>
      </c>
      <c r="F26" s="184" t="n">
        <v>8</v>
      </c>
    </row>
    <row r="27">
      <c r="A27" s="184" t="inlineStr">
        <is>
          <t>E1DA</t>
        </is>
      </c>
      <c r="B27" s="184" t="inlineStr">
        <is>
          <t>9038S Gen 3</t>
        </is>
      </c>
      <c r="C27" s="184" t="inlineStr">
        <is>
          <t>À classer</t>
        </is>
      </c>
      <c r="D27" s="184" t="inlineStr">
        <is>
          <t>aucun signal exploitable — à renseigner à la main</t>
        </is>
      </c>
      <c r="E27" s="184" t="inlineStr">
        <is>
          <t>DAC / ampli portable</t>
        </is>
      </c>
      <c r="F27" s="184" t="n">
        <v>8</v>
      </c>
    </row>
    <row r="28">
      <c r="A28" s="184" t="inlineStr">
        <is>
          <t>FiiO</t>
        </is>
      </c>
      <c r="B28" s="184" t="inlineStr">
        <is>
          <t>Q15</t>
        </is>
      </c>
      <c r="C28" s="184" t="inlineStr">
        <is>
          <t>À classer</t>
        </is>
      </c>
      <c r="D28" s="184" t="inlineStr">
        <is>
          <t>aucun signal exploitable — à renseigner à la main</t>
        </is>
      </c>
      <c r="E28" s="184" t="inlineStr">
        <is>
          <t>Portable Amp/DAC (Headfonics)</t>
        </is>
      </c>
      <c r="F28" s="184" t="n">
        <v>8</v>
      </c>
    </row>
    <row r="29">
      <c r="A29" s="184" t="inlineStr">
        <is>
          <t>FiiO</t>
        </is>
      </c>
      <c r="B29" s="184" t="inlineStr">
        <is>
          <t>E10K TC</t>
        </is>
      </c>
      <c r="C29" s="184" t="inlineStr">
        <is>
          <t>À classer</t>
        </is>
      </c>
      <c r="D29" s="184" t="inlineStr">
        <is>
          <t>aucun signal exploitable — à renseigner à la main</t>
        </is>
      </c>
      <c r="E29" s="184" t="inlineStr">
        <is>
          <t>Portable Amp/DAC (Headfonics)</t>
        </is>
      </c>
      <c r="F29" s="184" t="n">
        <v>8</v>
      </c>
    </row>
    <row r="30">
      <c r="A30" s="184" t="inlineStr">
        <is>
          <t>FiiO</t>
        </is>
      </c>
      <c r="B30" s="184" t="inlineStr">
        <is>
          <t>New K3</t>
        </is>
      </c>
      <c r="C30" s="184" t="inlineStr">
        <is>
          <t>À classer</t>
        </is>
      </c>
      <c r="D30" s="184" t="inlineStr">
        <is>
          <t>aucun signal exploitable — à renseigner à la main</t>
        </is>
      </c>
      <c r="E30" s="184" t="inlineStr">
        <is>
          <t>Portable Amp/DAC (Headfonics)</t>
        </is>
      </c>
      <c r="F30" s="184" t="n">
        <v>8</v>
      </c>
    </row>
    <row r="31">
      <c r="A31" s="184" t="inlineStr">
        <is>
          <t>FiiO</t>
        </is>
      </c>
      <c r="B31" s="184" t="inlineStr">
        <is>
          <t>BTR7</t>
        </is>
      </c>
      <c r="C31" s="184" t="inlineStr">
        <is>
          <t>À classer</t>
        </is>
      </c>
      <c r="D31" s="184" t="inlineStr">
        <is>
          <t>aucun signal exploitable — à renseigner à la main</t>
        </is>
      </c>
      <c r="E31" s="184" t="inlineStr">
        <is>
          <t>DAC / ampli portable</t>
        </is>
      </c>
      <c r="F31" s="184" t="n">
        <v>7.8</v>
      </c>
    </row>
    <row r="32">
      <c r="A32" s="184" t="inlineStr">
        <is>
          <t>Fosi Audio</t>
        </is>
      </c>
      <c r="B32" s="184" t="inlineStr">
        <is>
          <t>MD3</t>
        </is>
      </c>
      <c r="C32" s="184" t="inlineStr">
        <is>
          <t>À classer</t>
        </is>
      </c>
      <c r="D32" s="184" t="inlineStr">
        <is>
          <t>aucun signal exploitable — à renseigner à la main</t>
        </is>
      </c>
      <c r="E32" s="184" t="inlineStr">
        <is>
          <t>Portable Amp/DAC (Headfonics)</t>
        </is>
      </c>
      <c r="F32" s="184" t="n">
        <v>8</v>
      </c>
    </row>
    <row r="33">
      <c r="A33" s="184" t="inlineStr">
        <is>
          <t>Fosi Audio</t>
        </is>
      </c>
      <c r="B33" s="184" t="inlineStr">
        <is>
          <t>DS1</t>
        </is>
      </c>
      <c r="C33" s="184" t="inlineStr">
        <is>
          <t>À classer</t>
        </is>
      </c>
      <c r="D33" s="184" t="inlineStr">
        <is>
          <t>aucun signal exploitable — à renseigner à la main</t>
        </is>
      </c>
      <c r="E33" s="184" t="inlineStr">
        <is>
          <t>DAC / ampli portable</t>
        </is>
      </c>
      <c r="F33" s="184" t="n">
        <v>8</v>
      </c>
    </row>
    <row r="34">
      <c r="A34" s="184" t="inlineStr">
        <is>
          <t>HiBy</t>
        </is>
      </c>
      <c r="B34" s="184" t="inlineStr">
        <is>
          <t>FD1 &amp; Beans</t>
        </is>
      </c>
      <c r="C34" s="184" t="inlineStr">
        <is>
          <t>À classer</t>
        </is>
      </c>
      <c r="D34" s="184" t="inlineStr">
        <is>
          <t>aucun signal exploitable — à renseigner à la main</t>
        </is>
      </c>
      <c r="E34" s="184" t="inlineStr">
        <is>
          <t>Portable Amp/DAC (Headfonics)</t>
        </is>
      </c>
      <c r="F34" s="184" t="n">
        <v>8</v>
      </c>
    </row>
    <row r="35">
      <c r="A35" s="184" t="inlineStr">
        <is>
          <t>Khadas</t>
        </is>
      </c>
      <c r="B35" s="184" t="inlineStr">
        <is>
          <t>Tea</t>
        </is>
      </c>
      <c r="C35" s="184" t="inlineStr">
        <is>
          <t>À classer</t>
        </is>
      </c>
      <c r="D35" s="184" t="inlineStr">
        <is>
          <t>aucun signal exploitable — à renseigner à la main</t>
        </is>
      </c>
      <c r="E35" s="184" t="inlineStr">
        <is>
          <t>Portable Amp/DAC (Headfonics)</t>
        </is>
      </c>
      <c r="F35" s="184" t="n">
        <v>8</v>
      </c>
    </row>
    <row r="36">
      <c r="A36" s="184" t="inlineStr">
        <is>
          <t>Khadas</t>
        </is>
      </c>
      <c r="B36" s="184" t="inlineStr">
        <is>
          <t>Tone2 Pro</t>
        </is>
      </c>
      <c r="C36" s="184" t="inlineStr">
        <is>
          <t>À classer</t>
        </is>
      </c>
      <c r="D36" s="184" t="inlineStr">
        <is>
          <t>aucun signal exploitable — à renseigner à la main</t>
        </is>
      </c>
      <c r="E36" s="184" t="inlineStr">
        <is>
          <t>Portable Amp/DAC (Headfonics)</t>
        </is>
      </c>
      <c r="F36" s="184" t="n">
        <v>8</v>
      </c>
    </row>
    <row r="37">
      <c r="A37" s="184" t="inlineStr">
        <is>
          <t>MUSE HiFi</t>
        </is>
      </c>
      <c r="B37" s="184" t="inlineStr">
        <is>
          <t>M3 Ultra</t>
        </is>
      </c>
      <c r="C37" s="184" t="inlineStr">
        <is>
          <t>À classer</t>
        </is>
      </c>
      <c r="D37" s="184" t="inlineStr">
        <is>
          <t>aucun signal exploitable — à renseigner à la main</t>
        </is>
      </c>
      <c r="E37" s="184" t="inlineStr">
        <is>
          <t>Portable Amp/DAC (Headfonics)</t>
        </is>
      </c>
      <c r="F37" s="184" t="n">
        <v>8</v>
      </c>
    </row>
    <row r="38">
      <c r="A38" s="184" t="inlineStr">
        <is>
          <t>NiPO</t>
        </is>
      </c>
      <c r="B38" s="184" t="inlineStr">
        <is>
          <t>A100</t>
        </is>
      </c>
      <c r="C38" s="184" t="inlineStr">
        <is>
          <t>À classer</t>
        </is>
      </c>
      <c r="D38" s="184" t="inlineStr">
        <is>
          <t>aucun signal exploitable — à renseigner à la main</t>
        </is>
      </c>
      <c r="E38" s="184" t="inlineStr">
        <is>
          <t>Portable Amp/DAC (Headfonics)</t>
        </is>
      </c>
      <c r="F38" s="184" t="n">
        <v>8</v>
      </c>
    </row>
    <row r="39">
      <c r="A39" s="184" t="inlineStr">
        <is>
          <t>ROSESELSA</t>
        </is>
      </c>
      <c r="B39" s="184" t="inlineStr">
        <is>
          <t>RS9029</t>
        </is>
      </c>
      <c r="C39" s="184" t="inlineStr">
        <is>
          <t>À classer</t>
        </is>
      </c>
      <c r="D39" s="184" t="inlineStr">
        <is>
          <t>aucun signal exploitable — à renseigner à la main</t>
        </is>
      </c>
      <c r="E39" s="184" t="inlineStr">
        <is>
          <t>DAC / ampli portable</t>
        </is>
      </c>
      <c r="F39" s="184" t="n"/>
    </row>
    <row r="40">
      <c r="A40" s="184" t="inlineStr">
        <is>
          <t>SMSL</t>
        </is>
      </c>
      <c r="B40" s="184" t="inlineStr">
        <is>
          <t>DS20</t>
        </is>
      </c>
      <c r="C40" s="184" t="inlineStr">
        <is>
          <t>À classer</t>
        </is>
      </c>
      <c r="D40" s="184" t="inlineStr">
        <is>
          <t>aucun signal exploitable — à renseigner à la main</t>
        </is>
      </c>
      <c r="E40" s="184" t="inlineStr">
        <is>
          <t>DAC/amp portable</t>
        </is>
      </c>
      <c r="F40" s="184" t="n">
        <v>8.300000000000001</v>
      </c>
    </row>
    <row r="41">
      <c r="A41" s="184" t="inlineStr">
        <is>
          <t>Swan Song Audio</t>
        </is>
      </c>
      <c r="B41" s="184" t="inlineStr">
        <is>
          <t>Mini Black</t>
        </is>
      </c>
      <c r="C41" s="184" t="inlineStr">
        <is>
          <t>À classer</t>
        </is>
      </c>
      <c r="D41" s="184" t="inlineStr">
        <is>
          <t>aucun signal exploitable — à renseigner à la main</t>
        </is>
      </c>
      <c r="E41" s="184" t="inlineStr">
        <is>
          <t>Portable Amp/DAC (Headfonics)</t>
        </is>
      </c>
      <c r="F41" s="184" t="n">
        <v>8</v>
      </c>
    </row>
    <row r="42">
      <c r="A42" s="184" t="inlineStr">
        <is>
          <t>Topping</t>
        </is>
      </c>
      <c r="B42" s="184" t="inlineStr">
        <is>
          <t>NX7</t>
        </is>
      </c>
      <c r="C42" s="184" t="inlineStr">
        <is>
          <t>À classer</t>
        </is>
      </c>
      <c r="D42" s="184" t="inlineStr">
        <is>
          <t>aucun signal exploitable — à renseigner à la main</t>
        </is>
      </c>
      <c r="E42" s="184" t="inlineStr">
        <is>
          <t>Portable Amp/DAC (Headfonics)</t>
        </is>
      </c>
      <c r="F42" s="184" t="n">
        <v>8</v>
      </c>
    </row>
    <row r="43">
      <c r="A43" s="184" t="inlineStr">
        <is>
          <t>Venture Electronics</t>
        </is>
      </c>
      <c r="B43" s="184" t="inlineStr">
        <is>
          <t>Megatron</t>
        </is>
      </c>
      <c r="C43" s="184" t="inlineStr">
        <is>
          <t>À classer</t>
        </is>
      </c>
      <c r="D43" s="184" t="inlineStr">
        <is>
          <t>aucun signal exploitable — à renseigner à la main</t>
        </is>
      </c>
      <c r="E43" s="184" t="inlineStr">
        <is>
          <t>Portable Amp/DAC (Headfonics)</t>
        </is>
      </c>
      <c r="F43" s="184" t="n">
        <v>8</v>
      </c>
    </row>
    <row r="44">
      <c r="A44" s="184" t="inlineStr">
        <is>
          <t>iBasso</t>
        </is>
      </c>
      <c r="B44" s="184" t="inlineStr">
        <is>
          <t>D17 Atheris</t>
        </is>
      </c>
      <c r="C44" s="184" t="inlineStr">
        <is>
          <t>À classer</t>
        </is>
      </c>
      <c r="D44" s="184" t="inlineStr">
        <is>
          <t>aucun signal exploitable — à renseigner à la main</t>
        </is>
      </c>
      <c r="E44" s="184" t="inlineStr">
        <is>
          <t>Portable Amp/DAC (Headfonics)</t>
        </is>
      </c>
      <c r="F44" s="184" t="n">
        <v>8</v>
      </c>
    </row>
    <row r="45">
      <c r="A45" s="184" t="inlineStr">
        <is>
          <t>iBasso</t>
        </is>
      </c>
      <c r="B45" s="184" t="inlineStr">
        <is>
          <t>PB5 Osprey</t>
        </is>
      </c>
      <c r="C45" s="184" t="inlineStr">
        <is>
          <t>À classer</t>
        </is>
      </c>
      <c r="D45" s="184" t="inlineStr">
        <is>
          <t>aucun signal exploitable — à renseigner à la main</t>
        </is>
      </c>
      <c r="E45" s="184" t="inlineStr">
        <is>
          <t>Portable Amp/DAC (Headfonics)</t>
        </is>
      </c>
      <c r="F45" s="184" t="n">
        <v>7.2</v>
      </c>
    </row>
    <row r="46">
      <c r="A46" s="184" t="inlineStr">
        <is>
          <t>iBasso</t>
        </is>
      </c>
      <c r="B46" s="184" t="inlineStr">
        <is>
          <t>D16 Taipan</t>
        </is>
      </c>
      <c r="C46" s="184" t="inlineStr">
        <is>
          <t>À classer</t>
        </is>
      </c>
      <c r="D46" s="184" t="inlineStr">
        <is>
          <t>aucun signal exploitable — à renseigner à la main</t>
        </is>
      </c>
      <c r="E46" s="184" t="inlineStr">
        <is>
          <t>Portable Amp/DAC (Headfonics)</t>
        </is>
      </c>
      <c r="F46" s="184" t="n">
        <v>8</v>
      </c>
    </row>
    <row r="47">
      <c r="A47" s="184" t="inlineStr">
        <is>
          <t>iFi audio</t>
        </is>
      </c>
      <c r="B47" s="184" t="inlineStr">
        <is>
          <t>GO Link 2 Max</t>
        </is>
      </c>
      <c r="C47" s="184" t="inlineStr">
        <is>
          <t>À classer</t>
        </is>
      </c>
      <c r="D47" s="184" t="inlineStr">
        <is>
          <t>aucun signal exploitable — à renseigner à la main</t>
        </is>
      </c>
      <c r="E47" s="184" t="inlineStr">
        <is>
          <t>DAC / ampli portable</t>
        </is>
      </c>
      <c r="F47" s="184" t="n"/>
    </row>
    <row r="48">
      <c r="A48" t="inlineStr">
        <is>
          <t>Dethonray</t>
        </is>
      </c>
      <c r="B48" t="inlineStr">
        <is>
          <t>Pegasus SG1</t>
        </is>
      </c>
      <c r="C48" t="inlineStr">
        <is>
          <t>Bluetooth</t>
        </is>
      </c>
      <c r="D48" t="inlineStr">
        <is>
          <t>Type = récepteur Bluetooth</t>
        </is>
      </c>
      <c r="E48" t="inlineStr">
        <is>
          <t>Récepteur Bluetooth DAC/amp</t>
        </is>
      </c>
      <c r="F48" t="n">
        <v>7.5</v>
      </c>
    </row>
    <row r="49">
      <c r="A49" t="inlineStr">
        <is>
          <t>FiiO</t>
        </is>
      </c>
      <c r="B49" t="inlineStr">
        <is>
          <t>BTR17</t>
        </is>
      </c>
      <c r="C49" t="inlineStr">
        <is>
          <t>Bluetooth</t>
        </is>
      </c>
      <c r="D49" t="inlineStr">
        <is>
          <t>Type = récepteur Bluetooth</t>
        </is>
      </c>
      <c r="E49" t="inlineStr">
        <is>
          <t>Bluetooth DAC/amp</t>
        </is>
      </c>
      <c r="F49" t="n">
        <v>9.800000000000001</v>
      </c>
    </row>
    <row r="50">
      <c r="A50" t="inlineStr">
        <is>
          <t>HiBy</t>
        </is>
      </c>
      <c r="B50" t="inlineStr">
        <is>
          <t>W4</t>
        </is>
      </c>
      <c r="C50" t="inlineStr">
        <is>
          <t>Bluetooth</t>
        </is>
      </c>
      <c r="D50" t="inlineStr">
        <is>
          <t>mention wireless/Bluetooth, sans « dongle »</t>
        </is>
      </c>
      <c r="E50" t="inlineStr">
        <is>
          <t>Portable Amp/DAC (Headfonics)</t>
        </is>
      </c>
      <c r="F50" t="n">
        <v>8</v>
      </c>
    </row>
    <row r="51">
      <c r="A51" t="inlineStr">
        <is>
          <t>Khadas</t>
        </is>
      </c>
      <c r="B51" t="inlineStr">
        <is>
          <t>Tea Pro</t>
        </is>
      </c>
      <c r="C51" t="inlineStr">
        <is>
          <t>Bluetooth</t>
        </is>
      </c>
      <c r="D51" t="inlineStr">
        <is>
          <t>mention wireless/Bluetooth, sans « dongle »</t>
        </is>
      </c>
      <c r="E51" t="inlineStr">
        <is>
          <t>Portable Amp/DAC (Headfonics)</t>
        </is>
      </c>
      <c r="F51" t="n">
        <v>8</v>
      </c>
    </row>
    <row r="52">
      <c r="A52" t="inlineStr">
        <is>
          <t>MUSE HiFi</t>
        </is>
      </c>
      <c r="B52" t="inlineStr">
        <is>
          <t>M5 Ultra</t>
        </is>
      </c>
      <c r="C52" t="inlineStr">
        <is>
          <t>Bluetooth</t>
        </is>
      </c>
      <c r="D52" t="inlineStr">
        <is>
          <t>mention wireless/Bluetooth, sans « dongle »</t>
        </is>
      </c>
      <c r="E52" t="inlineStr">
        <is>
          <t>DAC/amp portable hybride</t>
        </is>
      </c>
      <c r="F52" t="n">
        <v>7</v>
      </c>
    </row>
    <row r="53">
      <c r="A53" t="inlineStr">
        <is>
          <t>Questyle</t>
        </is>
      </c>
      <c r="B53" t="inlineStr">
        <is>
          <t>M18i Max</t>
        </is>
      </c>
      <c r="C53" t="inlineStr">
        <is>
          <t>Bluetooth</t>
        </is>
      </c>
      <c r="D53" t="inlineStr">
        <is>
          <t>mention wireless/Bluetooth, sans « dongle »</t>
        </is>
      </c>
      <c r="E53" t="inlineStr">
        <is>
          <t>Portable Amp/DAC (Headfonics)</t>
        </is>
      </c>
      <c r="F53" t="n">
        <v>8</v>
      </c>
    </row>
    <row r="54">
      <c r="A54" t="inlineStr">
        <is>
          <t>Questyle</t>
        </is>
      </c>
      <c r="B54" t="inlineStr">
        <is>
          <t>SIGMA Pro</t>
        </is>
      </c>
      <c r="C54" t="inlineStr">
        <is>
          <t>Bluetooth</t>
        </is>
      </c>
      <c r="D54" t="inlineStr">
        <is>
          <t>mention wireless/Bluetooth, sans « dongle »</t>
        </is>
      </c>
      <c r="E54" t="inlineStr">
        <is>
          <t>Portable Amp/DAC (Headfonics)</t>
        </is>
      </c>
      <c r="F54" t="n">
        <v>8</v>
      </c>
    </row>
    <row r="55">
      <c r="A55" t="inlineStr">
        <is>
          <t>Shanling</t>
        </is>
      </c>
      <c r="B55" t="inlineStr">
        <is>
          <t>UP6</t>
        </is>
      </c>
      <c r="C55" t="inlineStr">
        <is>
          <t>Bluetooth</t>
        </is>
      </c>
      <c r="D55" t="inlineStr">
        <is>
          <t>mention wireless/Bluetooth, sans « dongle »</t>
        </is>
      </c>
      <c r="E55" t="inlineStr">
        <is>
          <t>Portable Amp/DAC (Headfonics)</t>
        </is>
      </c>
      <c r="F55" t="n">
        <v>8</v>
      </c>
    </row>
    <row r="56">
      <c r="A56" t="inlineStr">
        <is>
          <t>Shanling</t>
        </is>
      </c>
      <c r="B56" t="inlineStr">
        <is>
          <t>H2</t>
        </is>
      </c>
      <c r="C56" t="inlineStr">
        <is>
          <t>Bluetooth</t>
        </is>
      </c>
      <c r="D56" t="inlineStr">
        <is>
          <t>mention wireless/Bluetooth, sans « dongle »</t>
        </is>
      </c>
      <c r="E56" t="inlineStr">
        <is>
          <t>Portable Amp/DAC (Headfonics)</t>
        </is>
      </c>
      <c r="F56" t="n">
        <v>9.300000000000001</v>
      </c>
    </row>
    <row r="57">
      <c r="A57" t="inlineStr">
        <is>
          <t>iFi audio</t>
        </is>
      </c>
      <c r="B57" t="inlineStr">
        <is>
          <t>GO Blu Air</t>
        </is>
      </c>
      <c r="C57" t="inlineStr">
        <is>
          <t>Bluetooth</t>
        </is>
      </c>
      <c r="D57" t="inlineStr">
        <is>
          <t>mention wireless/Bluetooth, sans « dongle »</t>
        </is>
      </c>
      <c r="E57" t="inlineStr">
        <is>
          <t>DAC / ampli portable</t>
        </is>
      </c>
      <c r="F57" t="n">
        <v>9.6</v>
      </c>
    </row>
    <row r="58">
      <c r="A58" t="inlineStr">
        <is>
          <t>xDuoo</t>
        </is>
      </c>
      <c r="B58" t="inlineStr">
        <is>
          <t>XP-2 Bal</t>
        </is>
      </c>
      <c r="C58" t="inlineStr">
        <is>
          <t>Bluetooth</t>
        </is>
      </c>
      <c r="D58" t="inlineStr">
        <is>
          <t>mention wireless/Bluetooth, sans « dongle »</t>
        </is>
      </c>
      <c r="E58" t="inlineStr">
        <is>
          <t>Portable Amp/DAC (Headfonics)</t>
        </is>
      </c>
      <c r="F58" t="n">
        <v>8</v>
      </c>
    </row>
    <row r="59">
      <c r="A59" t="inlineStr">
        <is>
          <t>xDuoo</t>
        </is>
      </c>
      <c r="B59" t="inlineStr">
        <is>
          <t>XD05 Basic2</t>
        </is>
      </c>
      <c r="C59" t="inlineStr">
        <is>
          <t>Bluetooth</t>
        </is>
      </c>
      <c r="D59" t="inlineStr">
        <is>
          <t>mention wireless/Bluetooth, sans « dongle »</t>
        </is>
      </c>
      <c r="E59" t="inlineStr">
        <is>
          <t>Portable Amp/DAC (Headfonics)</t>
        </is>
      </c>
      <c r="F59" t="n">
        <v>8</v>
      </c>
    </row>
    <row r="60">
      <c r="A60" t="inlineStr">
        <is>
          <t>Cayin</t>
        </is>
      </c>
      <c r="B60" t="inlineStr">
        <is>
          <t>N7</t>
        </is>
      </c>
      <c r="C60" t="inlineStr">
        <is>
          <t>DAP</t>
        </is>
      </c>
      <c r="D60" t="inlineStr">
        <is>
          <t>Type = DAP</t>
        </is>
      </c>
      <c r="E60" t="inlineStr">
        <is>
          <t>DAP / référence</t>
        </is>
      </c>
      <c r="F60" t="n">
        <v>6.5</v>
      </c>
    </row>
    <row r="61">
      <c r="A61" t="inlineStr">
        <is>
          <t>Topping</t>
        </is>
      </c>
      <c r="B61" t="inlineStr">
        <is>
          <t>L70</t>
        </is>
      </c>
      <c r="C61" t="inlineStr">
        <is>
          <t>Desktop / secteur</t>
        </is>
      </c>
      <c r="D61" t="inlineStr">
        <is>
          <t>Type contient « desktop »</t>
        </is>
      </c>
      <c r="E61" t="inlineStr">
        <is>
          <t>Ampli casque desktop / référence</t>
        </is>
      </c>
      <c r="F61" t="n">
        <v>1</v>
      </c>
    </row>
    <row r="62">
      <c r="A62" t="inlineStr">
        <is>
          <t>7Hz</t>
        </is>
      </c>
      <c r="B62" t="inlineStr">
        <is>
          <t>Artemis39</t>
        </is>
      </c>
      <c r="C62" t="inlineStr">
        <is>
          <t>Dongle</t>
        </is>
      </c>
      <c r="D62" t="inlineStr">
        <is>
          <t>« dongle » dans le résumé Headfonics</t>
        </is>
      </c>
      <c r="E62" t="inlineStr">
        <is>
          <t>Portable Amp/DAC (Headfonics)</t>
        </is>
      </c>
      <c r="F62" t="n">
        <v>8</v>
      </c>
    </row>
    <row r="63">
      <c r="A63" t="inlineStr">
        <is>
          <t>7Hz</t>
        </is>
      </c>
      <c r="B63" t="inlineStr">
        <is>
          <t>SEVENHERTZ 71</t>
        </is>
      </c>
      <c r="C63" t="inlineStr">
        <is>
          <t>Dongle</t>
        </is>
      </c>
      <c r="D63" t="inlineStr">
        <is>
          <t>« dongle » dans le résumé Headfonics</t>
        </is>
      </c>
      <c r="E63" t="inlineStr">
        <is>
          <t>Portable Amp/DAC (Headfonics)</t>
        </is>
      </c>
      <c r="F63" t="n">
        <v>9.5</v>
      </c>
    </row>
    <row r="64">
      <c r="A64" t="inlineStr">
        <is>
          <t>AFUL</t>
        </is>
      </c>
      <c r="B64" t="inlineStr">
        <is>
          <t>ICEBORNE</t>
        </is>
      </c>
      <c r="C64" t="inlineStr">
        <is>
          <t>Dongle</t>
        </is>
      </c>
      <c r="D64" t="inlineStr">
        <is>
          <t>« dongle » dans le résumé Headfonics</t>
        </is>
      </c>
      <c r="E64" t="inlineStr">
        <is>
          <t>Portable Amp/DAC (Headfonics)</t>
        </is>
      </c>
      <c r="F64" t="n">
        <v>9.5</v>
      </c>
    </row>
    <row r="65">
      <c r="A65" t="inlineStr">
        <is>
          <t>Astell&amp;Kern</t>
        </is>
      </c>
      <c r="B65" t="inlineStr">
        <is>
          <t>USB-C Dual DAC Cable PEE51</t>
        </is>
      </c>
      <c r="C65" t="inlineStr">
        <is>
          <t>Dongle</t>
        </is>
      </c>
      <c r="D65" t="inlineStr">
        <is>
          <t>décrit comme câble/convertisseur USB-C</t>
        </is>
      </c>
      <c r="E65" t="inlineStr">
        <is>
          <t>Portable Amp/DAC (Headfonics)</t>
        </is>
      </c>
      <c r="F65" t="n">
        <v>8</v>
      </c>
    </row>
    <row r="66">
      <c r="A66" t="inlineStr">
        <is>
          <t>Cayin</t>
        </is>
      </c>
      <c r="B66" t="inlineStr">
        <is>
          <t>RU7</t>
        </is>
      </c>
      <c r="C66" t="inlineStr">
        <is>
          <t>Dongle</t>
        </is>
      </c>
      <c r="D66" t="inlineStr">
        <is>
          <t>Type contient « dongle »</t>
        </is>
      </c>
      <c r="E66" t="inlineStr">
        <is>
          <t>Dongle DAC/amp R-2R/1-bit</t>
        </is>
      </c>
      <c r="F66" t="n">
        <v>9.300000000000001</v>
      </c>
    </row>
    <row r="67">
      <c r="A67" t="inlineStr">
        <is>
          <t>Cayin</t>
        </is>
      </c>
      <c r="B67" t="inlineStr">
        <is>
          <t>RU3</t>
        </is>
      </c>
      <c r="C67" t="inlineStr">
        <is>
          <t>Dongle</t>
        </is>
      </c>
      <c r="D67" t="inlineStr">
        <is>
          <t>« dongle » dans le résumé Headfonics</t>
        </is>
      </c>
      <c r="E67" t="inlineStr">
        <is>
          <t>Portable Amp/DAC (Headfonics)</t>
        </is>
      </c>
      <c r="F67" t="n">
        <v>9.5</v>
      </c>
    </row>
    <row r="68">
      <c r="A68" t="inlineStr">
        <is>
          <t>Cayin</t>
        </is>
      </c>
      <c r="B68" t="inlineStr">
        <is>
          <t>RU9</t>
        </is>
      </c>
      <c r="C68" t="inlineStr">
        <is>
          <t>Dongle</t>
        </is>
      </c>
      <c r="D68" t="inlineStr">
        <is>
          <t>« dongle » dans le résumé Headfonics</t>
        </is>
      </c>
      <c r="E68" t="inlineStr">
        <is>
          <t>Portable Amp/DAC (Headfonics)</t>
        </is>
      </c>
      <c r="F68" t="n">
        <v>6.5</v>
      </c>
    </row>
    <row r="69">
      <c r="A69" t="inlineStr">
        <is>
          <t>Cayin</t>
        </is>
      </c>
      <c r="B69" t="inlineStr">
        <is>
          <t>RU6</t>
        </is>
      </c>
      <c r="C69" t="inlineStr">
        <is>
          <t>Dongle</t>
        </is>
      </c>
      <c r="D69" t="inlineStr">
        <is>
          <t>« dongle » dans le résumé Headfonics</t>
        </is>
      </c>
      <c r="E69" t="inlineStr">
        <is>
          <t>Portable Amp/DAC (Headfonics)</t>
        </is>
      </c>
      <c r="F69" t="n">
        <v>8</v>
      </c>
    </row>
    <row r="70">
      <c r="A70" t="inlineStr">
        <is>
          <t>Colorfly</t>
        </is>
      </c>
      <c r="B70" t="inlineStr">
        <is>
          <t>CDA-M2</t>
        </is>
      </c>
      <c r="C70" t="inlineStr">
        <is>
          <t>Dongle</t>
        </is>
      </c>
      <c r="D70" t="inlineStr">
        <is>
          <t>« dongle » dans le résumé Headfonics</t>
        </is>
      </c>
      <c r="E70" t="inlineStr">
        <is>
          <t>Portable Amp/DAC (Headfonics)</t>
        </is>
      </c>
      <c r="F70" t="n">
        <v>9.300000000000001</v>
      </c>
    </row>
    <row r="71">
      <c r="A71" t="inlineStr">
        <is>
          <t>Colorfly</t>
        </is>
      </c>
      <c r="B71" t="inlineStr">
        <is>
          <t>CDA-M1P</t>
        </is>
      </c>
      <c r="C71" t="inlineStr">
        <is>
          <t>Dongle</t>
        </is>
      </c>
      <c r="D71" t="inlineStr">
        <is>
          <t>« dongle » dans le résumé Headfonics</t>
        </is>
      </c>
      <c r="E71" t="inlineStr">
        <is>
          <t>Portable Amp/DAC (Headfonics)</t>
        </is>
      </c>
      <c r="F71" t="n">
        <v>9.300000000000001</v>
      </c>
    </row>
    <row r="72">
      <c r="A72" t="inlineStr">
        <is>
          <t>Colorfly</t>
        </is>
      </c>
      <c r="B72" t="inlineStr">
        <is>
          <t>CDA M1</t>
        </is>
      </c>
      <c r="C72" t="inlineStr">
        <is>
          <t>Dongle</t>
        </is>
      </c>
      <c r="D72" t="inlineStr">
        <is>
          <t>« dongle » dans le résumé Headfonics</t>
        </is>
      </c>
      <c r="E72" t="inlineStr">
        <is>
          <t>Portable Amp/DAC (Headfonics)</t>
        </is>
      </c>
      <c r="F72" t="n">
        <v>9.5</v>
      </c>
    </row>
    <row r="73">
      <c r="A73" t="inlineStr">
        <is>
          <t>EarMen</t>
        </is>
      </c>
      <c r="B73" t="inlineStr">
        <is>
          <t>L-Amp</t>
        </is>
      </c>
      <c r="C73" t="inlineStr">
        <is>
          <t>Dongle</t>
        </is>
      </c>
      <c r="D73" t="inlineStr">
        <is>
          <t>« dongle » dans le résumé Headfonics</t>
        </is>
      </c>
      <c r="E73" t="inlineStr">
        <is>
          <t>Portable Amp/DAC (Headfonics)</t>
        </is>
      </c>
      <c r="F73" t="n">
        <v>6.5</v>
      </c>
    </row>
    <row r="74">
      <c r="A74" t="inlineStr">
        <is>
          <t>EarMen</t>
        </is>
      </c>
      <c r="B74" t="inlineStr">
        <is>
          <t>Colibri</t>
        </is>
      </c>
      <c r="C74" t="inlineStr">
        <is>
          <t>Dongle</t>
        </is>
      </c>
      <c r="D74" t="inlineStr">
        <is>
          <t>« dongle » dans le résumé Headfonics</t>
        </is>
      </c>
      <c r="E74" t="inlineStr">
        <is>
          <t>Portable Amp/DAC (Headfonics)</t>
        </is>
      </c>
      <c r="F74" t="n">
        <v>6.5</v>
      </c>
    </row>
    <row r="75">
      <c r="A75" t="inlineStr">
        <is>
          <t>FiiO</t>
        </is>
      </c>
      <c r="B75" t="inlineStr">
        <is>
          <t>QX13</t>
        </is>
      </c>
      <c r="C75" t="inlineStr">
        <is>
          <t>Dongle</t>
        </is>
      </c>
      <c r="D75" t="inlineStr">
        <is>
          <t>Type contient « dongle »</t>
        </is>
      </c>
      <c r="E75" t="inlineStr">
        <is>
          <t>Dongle DAC/amp</t>
        </is>
      </c>
      <c r="F75" t="n">
        <v>9.199999999999999</v>
      </c>
    </row>
    <row r="76">
      <c r="A76" t="inlineStr">
        <is>
          <t>FiiO</t>
        </is>
      </c>
      <c r="B76" t="inlineStr">
        <is>
          <t>SNOWSKY Tiny</t>
        </is>
      </c>
      <c r="C76" t="inlineStr">
        <is>
          <t>Dongle</t>
        </is>
      </c>
      <c r="D76" t="inlineStr">
        <is>
          <t>« dongle » dans le résumé Headfonics</t>
        </is>
      </c>
      <c r="E76" t="inlineStr">
        <is>
          <t>Portable Amp/DAC (Headfonics)</t>
        </is>
      </c>
      <c r="F76" t="n">
        <v>9.4</v>
      </c>
    </row>
    <row r="77">
      <c r="A77" t="inlineStr">
        <is>
          <t>FiiO</t>
        </is>
      </c>
      <c r="B77" t="inlineStr">
        <is>
          <t>JIEZI</t>
        </is>
      </c>
      <c r="C77" t="inlineStr">
        <is>
          <t>Dongle</t>
        </is>
      </c>
      <c r="D77" t="inlineStr">
        <is>
          <t>« dongle » dans le résumé Headfonics</t>
        </is>
      </c>
      <c r="E77" t="inlineStr">
        <is>
          <t>Portable Amp/DAC (Headfonics)</t>
        </is>
      </c>
      <c r="F77" t="n">
        <v>9.5</v>
      </c>
    </row>
    <row r="78">
      <c r="A78" t="inlineStr">
        <is>
          <t>FiiO</t>
        </is>
      </c>
      <c r="B78" t="inlineStr">
        <is>
          <t>SNOWSKY Melody</t>
        </is>
      </c>
      <c r="C78" t="inlineStr">
        <is>
          <t>Dongle</t>
        </is>
      </c>
      <c r="D78" t="inlineStr">
        <is>
          <t>« dongle » dans le résumé Headfonics</t>
        </is>
      </c>
      <c r="E78" t="inlineStr">
        <is>
          <t>Portable Amp/DAC (Headfonics)</t>
        </is>
      </c>
      <c r="F78" t="n">
        <v>9.5</v>
      </c>
    </row>
    <row r="79">
      <c r="A79" t="inlineStr">
        <is>
          <t>FiiO</t>
        </is>
      </c>
      <c r="B79" t="inlineStr">
        <is>
          <t>RR11</t>
        </is>
      </c>
      <c r="C79" t="inlineStr">
        <is>
          <t>Dongle</t>
        </is>
      </c>
      <c r="D79" t="inlineStr">
        <is>
          <t>« dongle » dans le résumé Headfonics</t>
        </is>
      </c>
      <c r="E79" t="inlineStr">
        <is>
          <t>Portable Amp/DAC (Headfonics)</t>
        </is>
      </c>
      <c r="F79" t="n">
        <v>9.5</v>
      </c>
    </row>
    <row r="80">
      <c r="A80" t="inlineStr">
        <is>
          <t>FiiO</t>
        </is>
      </c>
      <c r="B80" t="inlineStr">
        <is>
          <t>SNOWSKY RETRO NANO</t>
        </is>
      </c>
      <c r="C80" t="inlineStr">
        <is>
          <t>Dongle</t>
        </is>
      </c>
      <c r="D80" t="inlineStr">
        <is>
          <t>« dongle » dans le résumé Headfonics</t>
        </is>
      </c>
      <c r="E80" t="inlineStr">
        <is>
          <t>Portable Amp/DAC (Headfonics)</t>
        </is>
      </c>
      <c r="F80" t="n">
        <v>8</v>
      </c>
    </row>
    <row r="81">
      <c r="A81" t="inlineStr">
        <is>
          <t>FiiO</t>
        </is>
      </c>
      <c r="B81" t="inlineStr">
        <is>
          <t>KA15</t>
        </is>
      </c>
      <c r="C81" t="inlineStr">
        <is>
          <t>Dongle</t>
        </is>
      </c>
      <c r="D81" t="inlineStr">
        <is>
          <t>« dongle » dans le résumé Headfonics</t>
        </is>
      </c>
      <c r="E81" t="inlineStr">
        <is>
          <t>Portable Amp/DAC (Headfonics)</t>
        </is>
      </c>
      <c r="F81" t="n">
        <v>9.5</v>
      </c>
    </row>
    <row r="82">
      <c r="A82" t="inlineStr">
        <is>
          <t>FiiO</t>
        </is>
      </c>
      <c r="B82" t="inlineStr">
        <is>
          <t>JA11</t>
        </is>
      </c>
      <c r="C82" t="inlineStr">
        <is>
          <t>Dongle</t>
        </is>
      </c>
      <c r="D82" t="inlineStr">
        <is>
          <t>« dongle » dans le résumé Headfonics</t>
        </is>
      </c>
      <c r="E82" t="inlineStr">
        <is>
          <t>Portable Amp/DAC (Headfonics)</t>
        </is>
      </c>
      <c r="F82" t="n">
        <v>8</v>
      </c>
    </row>
    <row r="83">
      <c r="A83" t="inlineStr">
        <is>
          <t>FiiO</t>
        </is>
      </c>
      <c r="B83" t="inlineStr">
        <is>
          <t>KA11</t>
        </is>
      </c>
      <c r="C83" t="inlineStr">
        <is>
          <t>Dongle</t>
        </is>
      </c>
      <c r="D83" t="inlineStr">
        <is>
          <t>« dongle » dans le résumé Headfonics</t>
        </is>
      </c>
      <c r="E83" t="inlineStr">
        <is>
          <t>Portable Amp/DAC (Headfonics)</t>
        </is>
      </c>
      <c r="F83" t="n">
        <v>9.5</v>
      </c>
    </row>
    <row r="84">
      <c r="A84" t="inlineStr">
        <is>
          <t>FiiO</t>
        </is>
      </c>
      <c r="B84" t="inlineStr">
        <is>
          <t>KA17</t>
        </is>
      </c>
      <c r="C84" t="inlineStr">
        <is>
          <t>Dongle</t>
        </is>
      </c>
      <c r="D84" t="inlineStr">
        <is>
          <t>« dongle » dans le résumé Headfonics</t>
        </is>
      </c>
      <c r="E84" t="inlineStr">
        <is>
          <t>Portable Amp/DAC (Headfonics)</t>
        </is>
      </c>
      <c r="F84" t="n">
        <v>9.300000000000001</v>
      </c>
    </row>
    <row r="85">
      <c r="A85" t="inlineStr">
        <is>
          <t>FiiO</t>
        </is>
      </c>
      <c r="B85" t="inlineStr">
        <is>
          <t>KA13</t>
        </is>
      </c>
      <c r="C85" t="inlineStr">
        <is>
          <t>Dongle</t>
        </is>
      </c>
      <c r="D85" t="inlineStr">
        <is>
          <t>« dongle » dans le résumé Headfonics</t>
        </is>
      </c>
      <c r="E85" t="inlineStr">
        <is>
          <t>Portable Amp/DAC (Headfonics)</t>
        </is>
      </c>
      <c r="F85" t="n">
        <v>9.5</v>
      </c>
    </row>
    <row r="86">
      <c r="A86" t="inlineStr">
        <is>
          <t>FiiO</t>
        </is>
      </c>
      <c r="B86" t="inlineStr">
        <is>
          <t>KA5</t>
        </is>
      </c>
      <c r="C86" t="inlineStr">
        <is>
          <t>Dongle</t>
        </is>
      </c>
      <c r="D86" t="inlineStr">
        <is>
          <t>« dongle » dans le résumé Headfonics</t>
        </is>
      </c>
      <c r="E86" t="inlineStr">
        <is>
          <t>Portable Amp/DAC (Headfonics)</t>
        </is>
      </c>
      <c r="F86" t="n">
        <v>9.300000000000001</v>
      </c>
    </row>
    <row r="87">
      <c r="A87" t="inlineStr">
        <is>
          <t>FiiO</t>
        </is>
      </c>
      <c r="B87" t="inlineStr">
        <is>
          <t>KA2</t>
        </is>
      </c>
      <c r="C87" t="inlineStr">
        <is>
          <t>Dongle</t>
        </is>
      </c>
      <c r="D87" t="inlineStr">
        <is>
          <t>« dongle » dans le résumé Headfonics</t>
        </is>
      </c>
      <c r="E87" t="inlineStr">
        <is>
          <t>Portable Amp/DAC (Headfonics)</t>
        </is>
      </c>
      <c r="F87" t="n">
        <v>9.5</v>
      </c>
    </row>
    <row r="88">
      <c r="A88" t="inlineStr">
        <is>
          <t>FiiO</t>
        </is>
      </c>
      <c r="B88" t="inlineStr">
        <is>
          <t>KA1</t>
        </is>
      </c>
      <c r="C88" t="inlineStr">
        <is>
          <t>Dongle</t>
        </is>
      </c>
      <c r="D88" t="inlineStr">
        <is>
          <t>« dongle » dans le résumé Headfonics</t>
        </is>
      </c>
      <c r="E88" t="inlineStr">
        <is>
          <t>Portable Amp/DAC (Headfonics)</t>
        </is>
      </c>
      <c r="F88" t="n">
        <v>9.6</v>
      </c>
    </row>
    <row r="89">
      <c r="A89" t="inlineStr">
        <is>
          <t>FiiO</t>
        </is>
      </c>
      <c r="B89" t="inlineStr">
        <is>
          <t>KA3</t>
        </is>
      </c>
      <c r="C89" t="inlineStr">
        <is>
          <t>Dongle</t>
        </is>
      </c>
      <c r="D89" t="inlineStr">
        <is>
          <t>« dongle » dans le résumé Headfonics</t>
        </is>
      </c>
      <c r="E89" t="inlineStr">
        <is>
          <t>Portable Amp/DAC (Headfonics)</t>
        </is>
      </c>
      <c r="F89" t="n">
        <v>9.5</v>
      </c>
    </row>
    <row r="90">
      <c r="A90" t="inlineStr">
        <is>
          <t>Heartfield</t>
        </is>
      </c>
      <c r="B90" t="inlineStr">
        <is>
          <t>R1</t>
        </is>
      </c>
      <c r="C90" t="inlineStr">
        <is>
          <t>Dongle</t>
        </is>
      </c>
      <c r="D90" t="inlineStr">
        <is>
          <t>« dongle » dans le résumé Headfonics</t>
        </is>
      </c>
      <c r="E90" t="inlineStr">
        <is>
          <t>Portable Amp/DAC (Headfonics)</t>
        </is>
      </c>
      <c r="F90" t="n">
        <v>8</v>
      </c>
    </row>
    <row r="91">
      <c r="A91" t="inlineStr">
        <is>
          <t>Helm Audio</t>
        </is>
      </c>
      <c r="B91" t="inlineStr">
        <is>
          <t>Bolt</t>
        </is>
      </c>
      <c r="C91" t="inlineStr">
        <is>
          <t>Dongle</t>
        </is>
      </c>
      <c r="D91" t="inlineStr">
        <is>
          <t>« dongle » dans le résumé Headfonics</t>
        </is>
      </c>
      <c r="E91" t="inlineStr">
        <is>
          <t>Portable Amp/DAC (Headfonics)</t>
        </is>
      </c>
      <c r="F91" t="n">
        <v>9.5</v>
      </c>
    </row>
    <row r="92">
      <c r="A92" t="inlineStr">
        <is>
          <t>HiBy</t>
        </is>
      </c>
      <c r="B92" t="inlineStr">
        <is>
          <t>FC6</t>
        </is>
      </c>
      <c r="C92" t="inlineStr">
        <is>
          <t>Dongle</t>
        </is>
      </c>
      <c r="D92" t="inlineStr">
        <is>
          <t>« dongle » dans le résumé Headfonics</t>
        </is>
      </c>
      <c r="E92" t="inlineStr">
        <is>
          <t>Portable Amp/DAC (Headfonics)</t>
        </is>
      </c>
      <c r="F92" t="n">
        <v>8</v>
      </c>
    </row>
    <row r="93">
      <c r="A93" t="inlineStr">
        <is>
          <t>HiBy</t>
        </is>
      </c>
      <c r="B93" t="inlineStr">
        <is>
          <t>FC4</t>
        </is>
      </c>
      <c r="C93" t="inlineStr">
        <is>
          <t>Dongle</t>
        </is>
      </c>
      <c r="D93" t="inlineStr">
        <is>
          <t>« dongle » dans le résumé Headfonics</t>
        </is>
      </c>
      <c r="E93" t="inlineStr">
        <is>
          <t>Portable Amp/DAC (Headfonics)</t>
        </is>
      </c>
      <c r="F93" t="n">
        <v>9.5</v>
      </c>
    </row>
    <row r="94">
      <c r="A94" t="inlineStr">
        <is>
          <t>HiBy</t>
        </is>
      </c>
      <c r="B94" t="inlineStr">
        <is>
          <t>FC5</t>
        </is>
      </c>
      <c r="C94" t="inlineStr">
        <is>
          <t>Dongle</t>
        </is>
      </c>
      <c r="D94" t="inlineStr">
        <is>
          <t>« dongle » dans le résumé Headfonics</t>
        </is>
      </c>
      <c r="E94" t="inlineStr">
        <is>
          <t>Portable Amp/DAC (Headfonics)</t>
        </is>
      </c>
      <c r="F94" t="n">
        <v>9.5</v>
      </c>
    </row>
    <row r="95">
      <c r="A95" t="inlineStr">
        <is>
          <t>HiBy</t>
        </is>
      </c>
      <c r="B95" t="inlineStr">
        <is>
          <t>FC3</t>
        </is>
      </c>
      <c r="C95" t="inlineStr">
        <is>
          <t>Dongle</t>
        </is>
      </c>
      <c r="D95" t="inlineStr">
        <is>
          <t>« dongle » dans le résumé Headfonics</t>
        </is>
      </c>
      <c r="E95" t="inlineStr">
        <is>
          <t>Portable Amp/DAC (Headfonics)</t>
        </is>
      </c>
      <c r="F95" t="n">
        <v>9.5</v>
      </c>
    </row>
    <row r="96">
      <c r="A96" t="inlineStr">
        <is>
          <t>Hidizs</t>
        </is>
      </c>
      <c r="B96" t="inlineStr">
        <is>
          <t>S8 Pro Robin</t>
        </is>
      </c>
      <c r="C96" t="inlineStr">
        <is>
          <t>Dongle</t>
        </is>
      </c>
      <c r="D96" t="inlineStr">
        <is>
          <t>« dongle » dans le résumé Headfonics</t>
        </is>
      </c>
      <c r="E96" t="inlineStr">
        <is>
          <t>Portable Amp/DAC (Headfonics)</t>
        </is>
      </c>
      <c r="F96" t="n">
        <v>8</v>
      </c>
    </row>
    <row r="97">
      <c r="A97" t="inlineStr">
        <is>
          <t>Hidizs</t>
        </is>
      </c>
      <c r="B97" t="inlineStr">
        <is>
          <t>SD2</t>
        </is>
      </c>
      <c r="C97" t="inlineStr">
        <is>
          <t>Dongle</t>
        </is>
      </c>
      <c r="D97" t="inlineStr">
        <is>
          <t>« dongle » dans le résumé Headfonics</t>
        </is>
      </c>
      <c r="E97" t="inlineStr">
        <is>
          <t>Portable Amp/DAC (Headfonics)</t>
        </is>
      </c>
      <c r="F97" t="n">
        <v>9.5</v>
      </c>
    </row>
    <row r="98">
      <c r="A98" t="inlineStr">
        <is>
          <t>Hidizs</t>
        </is>
      </c>
      <c r="B98" t="inlineStr">
        <is>
          <t>S9 Pro Plus Martha</t>
        </is>
      </c>
      <c r="C98" t="inlineStr">
        <is>
          <t>Dongle</t>
        </is>
      </c>
      <c r="D98" t="inlineStr">
        <is>
          <t>« dongle » dans le résumé Headfonics</t>
        </is>
      </c>
      <c r="E98" t="inlineStr">
        <is>
          <t>Portable Amp/DAC (Headfonics)</t>
        </is>
      </c>
      <c r="F98" t="n">
        <v>9.6</v>
      </c>
    </row>
    <row r="99">
      <c r="A99" t="inlineStr">
        <is>
          <t>Hidizs</t>
        </is>
      </c>
      <c r="B99" t="inlineStr">
        <is>
          <t>XO</t>
        </is>
      </c>
      <c r="C99" t="inlineStr">
        <is>
          <t>Dongle</t>
        </is>
      </c>
      <c r="D99" t="inlineStr">
        <is>
          <t>« dongle » dans le résumé Headfonics</t>
        </is>
      </c>
      <c r="E99" t="inlineStr">
        <is>
          <t>Portable Amp/DAC (Headfonics)</t>
        </is>
      </c>
      <c r="F99" t="n">
        <v>9.5</v>
      </c>
    </row>
    <row r="100">
      <c r="A100" t="inlineStr">
        <is>
          <t>Hidizs</t>
        </is>
      </c>
      <c r="B100" t="inlineStr">
        <is>
          <t>S9 Pro Copper</t>
        </is>
      </c>
      <c r="C100" t="inlineStr">
        <is>
          <t>Dongle</t>
        </is>
      </c>
      <c r="D100" t="inlineStr">
        <is>
          <t>« dongle » dans le résumé Headfonics</t>
        </is>
      </c>
      <c r="E100" t="inlineStr">
        <is>
          <t>Portable Amp/DAC (Headfonics)</t>
        </is>
      </c>
      <c r="F100" t="n">
        <v>8</v>
      </c>
    </row>
    <row r="101">
      <c r="A101" t="inlineStr">
        <is>
          <t>Hidizs</t>
        </is>
      </c>
      <c r="B101" t="inlineStr">
        <is>
          <t>S9 Pro</t>
        </is>
      </c>
      <c r="C101" t="inlineStr">
        <is>
          <t>Dongle</t>
        </is>
      </c>
      <c r="D101" t="inlineStr">
        <is>
          <t>« dongle » dans le résumé Headfonics</t>
        </is>
      </c>
      <c r="E101" t="inlineStr">
        <is>
          <t>Portable Amp/DAC (Headfonics)</t>
        </is>
      </c>
      <c r="F101" t="n">
        <v>9.5</v>
      </c>
    </row>
    <row r="102">
      <c r="A102" t="inlineStr">
        <is>
          <t>Hidizs</t>
        </is>
      </c>
      <c r="B102" t="inlineStr">
        <is>
          <t>S3 Pro</t>
        </is>
      </c>
      <c r="C102" t="inlineStr">
        <is>
          <t>Dongle</t>
        </is>
      </c>
      <c r="D102" t="inlineStr">
        <is>
          <t>« dongle » dans le résumé Headfonics</t>
        </is>
      </c>
      <c r="E102" t="inlineStr">
        <is>
          <t>Portable Amp/DAC (Headfonics)</t>
        </is>
      </c>
      <c r="F102" t="n">
        <v>8</v>
      </c>
    </row>
    <row r="103">
      <c r="A103" t="inlineStr">
        <is>
          <t>Kiwi Ears</t>
        </is>
      </c>
      <c r="B103" t="inlineStr">
        <is>
          <t>Allegro</t>
        </is>
      </c>
      <c r="C103" t="inlineStr">
        <is>
          <t>Dongle</t>
        </is>
      </c>
      <c r="D103" t="inlineStr">
        <is>
          <t>« dongle » dans le résumé Headfonics</t>
        </is>
      </c>
      <c r="E103" t="inlineStr">
        <is>
          <t>Portable Amp/DAC (Headfonics)</t>
        </is>
      </c>
      <c r="F103" t="n">
        <v>9.5</v>
      </c>
    </row>
    <row r="104">
      <c r="A104" t="inlineStr">
        <is>
          <t>LETSHUOER</t>
        </is>
      </c>
      <c r="B104" t="inlineStr">
        <is>
          <t>DT03</t>
        </is>
      </c>
      <c r="C104" t="inlineStr">
        <is>
          <t>Dongle</t>
        </is>
      </c>
      <c r="D104" t="inlineStr">
        <is>
          <t>« dongle » dans le résumé Headfonics</t>
        </is>
      </c>
      <c r="E104" t="inlineStr">
        <is>
          <t>Portable Amp/DAC (Headfonics)</t>
        </is>
      </c>
      <c r="F104" t="n">
        <v>9.5</v>
      </c>
    </row>
    <row r="105">
      <c r="A105" t="inlineStr">
        <is>
          <t>Luxury &amp; Precision</t>
        </is>
      </c>
      <c r="B105" t="inlineStr">
        <is>
          <t>W2</t>
        </is>
      </c>
      <c r="C105" t="inlineStr">
        <is>
          <t>Dongle</t>
        </is>
      </c>
      <c r="D105" t="inlineStr">
        <is>
          <t>« dongle » dans le résumé Headfonics</t>
        </is>
      </c>
      <c r="E105" t="inlineStr">
        <is>
          <t>Portable Amp/DAC (Headfonics)</t>
        </is>
      </c>
      <c r="F105" t="n">
        <v>9.5</v>
      </c>
    </row>
    <row r="106">
      <c r="A106" t="inlineStr">
        <is>
          <t>Moondrop</t>
        </is>
      </c>
      <c r="B106" t="inlineStr">
        <is>
          <t>Moonriver 3</t>
        </is>
      </c>
      <c r="C106" t="inlineStr">
        <is>
          <t>Dongle</t>
        </is>
      </c>
      <c r="D106" t="inlineStr">
        <is>
          <t>Type contient « dongle »</t>
        </is>
      </c>
      <c r="E106" t="inlineStr">
        <is>
          <t>Dongle DAC/amp</t>
        </is>
      </c>
      <c r="F106" t="n">
        <v>9</v>
      </c>
    </row>
    <row r="107">
      <c r="A107" t="inlineStr">
        <is>
          <t>Moondrop</t>
        </is>
      </c>
      <c r="B107" t="inlineStr">
        <is>
          <t>Dawn Pro</t>
        </is>
      </c>
      <c r="C107" t="inlineStr">
        <is>
          <t>Dongle</t>
        </is>
      </c>
      <c r="D107" t="inlineStr">
        <is>
          <t>« dongle » dans le résumé Headfonics</t>
        </is>
      </c>
      <c r="E107" t="inlineStr">
        <is>
          <t>Portable Amp/DAC (Headfonics)</t>
        </is>
      </c>
      <c r="F107" t="n">
        <v>9.5</v>
      </c>
    </row>
    <row r="108">
      <c r="A108" t="inlineStr">
        <is>
          <t>Moondrop</t>
        </is>
      </c>
      <c r="B108" t="inlineStr">
        <is>
          <t>MoonRiver 2: Ti</t>
        </is>
      </c>
      <c r="C108" t="inlineStr">
        <is>
          <t>Dongle</t>
        </is>
      </c>
      <c r="D108" t="inlineStr">
        <is>
          <t>« dongle » dans le résumé Headfonics</t>
        </is>
      </c>
      <c r="E108" t="inlineStr">
        <is>
          <t>Portable Amp/DAC (Headfonics)</t>
        </is>
      </c>
      <c r="F108" t="n">
        <v>7.8</v>
      </c>
    </row>
    <row r="109">
      <c r="A109" t="inlineStr">
        <is>
          <t>Moondrop</t>
        </is>
      </c>
      <c r="B109" t="inlineStr">
        <is>
          <t>Dawn</t>
        </is>
      </c>
      <c r="C109" t="inlineStr">
        <is>
          <t>Dongle</t>
        </is>
      </c>
      <c r="D109" t="inlineStr">
        <is>
          <t>« dongle » dans le résumé Headfonics</t>
        </is>
      </c>
      <c r="E109" t="inlineStr">
        <is>
          <t>Portable Amp/DAC (Headfonics)</t>
        </is>
      </c>
      <c r="F109" t="n">
        <v>9.5</v>
      </c>
    </row>
    <row r="110">
      <c r="A110" t="inlineStr">
        <is>
          <t>Moondrop</t>
        </is>
      </c>
      <c r="B110" t="inlineStr">
        <is>
          <t>MoonRiver 2</t>
        </is>
      </c>
      <c r="C110" t="inlineStr">
        <is>
          <t>Dongle</t>
        </is>
      </c>
      <c r="D110" t="inlineStr">
        <is>
          <t>« dongle » dans le résumé Headfonics</t>
        </is>
      </c>
      <c r="E110" t="inlineStr">
        <is>
          <t>Portable Amp/DAC (Headfonics)</t>
        </is>
      </c>
      <c r="F110" t="n">
        <v>9.5</v>
      </c>
    </row>
    <row r="111">
      <c r="A111" t="inlineStr">
        <is>
          <t>ONIX</t>
        </is>
      </c>
      <c r="B111" t="inlineStr">
        <is>
          <t>Beta XI2</t>
        </is>
      </c>
      <c r="C111" t="inlineStr">
        <is>
          <t>Dongle</t>
        </is>
      </c>
      <c r="D111" t="inlineStr">
        <is>
          <t>« dongle » dans le résumé Headfonics</t>
        </is>
      </c>
      <c r="E111" t="inlineStr">
        <is>
          <t>DAC/amp portable hybride</t>
        </is>
      </c>
      <c r="F111" t="n">
        <v>6.8</v>
      </c>
    </row>
    <row r="112">
      <c r="A112" t="inlineStr">
        <is>
          <t>ONIX</t>
        </is>
      </c>
      <c r="B112" t="inlineStr">
        <is>
          <t>Alpha XI1</t>
        </is>
      </c>
      <c r="C112" t="inlineStr">
        <is>
          <t>Dongle</t>
        </is>
      </c>
      <c r="D112" t="inlineStr">
        <is>
          <t>Type contient « dongle »</t>
        </is>
      </c>
      <c r="E112" t="inlineStr">
        <is>
          <t>Dongle DAC/amp</t>
        </is>
      </c>
      <c r="F112" t="n">
        <v>9.4</v>
      </c>
    </row>
    <row r="113">
      <c r="A113" t="inlineStr">
        <is>
          <t>Periodic Audio</t>
        </is>
      </c>
      <c r="B113" t="inlineStr">
        <is>
          <t>Rhodium DAC</t>
        </is>
      </c>
      <c r="C113" t="inlineStr">
        <is>
          <t>Dongle</t>
        </is>
      </c>
      <c r="D113" t="inlineStr">
        <is>
          <t>« dongle » dans le résumé Headfonics</t>
        </is>
      </c>
      <c r="E113" t="inlineStr">
        <is>
          <t>Portable Amp/DAC (Headfonics)</t>
        </is>
      </c>
      <c r="F113" t="n">
        <v>9.5</v>
      </c>
    </row>
    <row r="114">
      <c r="A114" t="inlineStr">
        <is>
          <t>Questyle</t>
        </is>
      </c>
      <c r="B114" t="inlineStr">
        <is>
          <t>M15i</t>
        </is>
      </c>
      <c r="C114" t="inlineStr">
        <is>
          <t>Dongle</t>
        </is>
      </c>
      <c r="D114" t="inlineStr">
        <is>
          <t>Type contient « dongle »</t>
        </is>
      </c>
      <c r="E114" t="inlineStr">
        <is>
          <t>Dongle DAC/amp</t>
        </is>
      </c>
      <c r="F114" t="n">
        <v>9.6</v>
      </c>
    </row>
    <row r="115">
      <c r="A115" t="inlineStr">
        <is>
          <t>Questyle</t>
        </is>
      </c>
      <c r="B115" t="inlineStr">
        <is>
          <t>M15C</t>
        </is>
      </c>
      <c r="C115" t="inlineStr">
        <is>
          <t>Dongle</t>
        </is>
      </c>
      <c r="D115" t="inlineStr">
        <is>
          <t>Type contient « dongle »</t>
        </is>
      </c>
      <c r="E115" t="inlineStr">
        <is>
          <t>Dongle DAC/amp</t>
        </is>
      </c>
      <c r="F115" t="n">
        <v>9.699999999999999</v>
      </c>
    </row>
    <row r="116">
      <c r="A116" t="inlineStr">
        <is>
          <t>Questyle</t>
        </is>
      </c>
      <c r="B116" t="inlineStr">
        <is>
          <t>M18i</t>
        </is>
      </c>
      <c r="C116" t="inlineStr">
        <is>
          <t>Dongle</t>
        </is>
      </c>
      <c r="D116" t="inlineStr">
        <is>
          <t>« dongle » dans le résumé Headfonics</t>
        </is>
      </c>
      <c r="E116" t="inlineStr">
        <is>
          <t>Portable Amp/DAC (Headfonics)</t>
        </is>
      </c>
      <c r="F116" t="n">
        <v>9.5</v>
      </c>
    </row>
    <row r="117">
      <c r="A117" t="inlineStr">
        <is>
          <t>Questyle</t>
        </is>
      </c>
      <c r="B117" t="inlineStr">
        <is>
          <t>M15</t>
        </is>
      </c>
      <c r="C117" t="inlineStr">
        <is>
          <t>Dongle</t>
        </is>
      </c>
      <c r="D117" t="inlineStr">
        <is>
          <t>« dongle » dans le résumé Headfonics</t>
        </is>
      </c>
      <c r="E117" t="inlineStr">
        <is>
          <t>Portable Amp/DAC (Headfonics)</t>
        </is>
      </c>
      <c r="F117" t="n">
        <v>9.5</v>
      </c>
    </row>
    <row r="118">
      <c r="A118" t="inlineStr">
        <is>
          <t>Questyle</t>
        </is>
      </c>
      <c r="B118" t="inlineStr">
        <is>
          <t>M12</t>
        </is>
      </c>
      <c r="C118" t="inlineStr">
        <is>
          <t>Dongle</t>
        </is>
      </c>
      <c r="D118" t="inlineStr">
        <is>
          <t>« dongle » dans le résumé Headfonics</t>
        </is>
      </c>
      <c r="E118" t="inlineStr">
        <is>
          <t>Portable Amp/DAC (Headfonics)</t>
        </is>
      </c>
      <c r="F118" t="n">
        <v>9.5</v>
      </c>
    </row>
    <row r="119">
      <c r="A119" t="inlineStr">
        <is>
          <t>Quloos</t>
        </is>
      </c>
      <c r="B119" t="inlineStr">
        <is>
          <t>QLS MC01</t>
        </is>
      </c>
      <c r="C119" t="inlineStr">
        <is>
          <t>Dongle</t>
        </is>
      </c>
      <c r="D119" t="inlineStr">
        <is>
          <t>« dongle » dans le résumé Headfonics</t>
        </is>
      </c>
      <c r="E119" t="inlineStr">
        <is>
          <t>Portable Amp/DAC (Headfonics)</t>
        </is>
      </c>
      <c r="F119" t="n">
        <v>9.5</v>
      </c>
    </row>
    <row r="120">
      <c r="A120" t="inlineStr">
        <is>
          <t>SMSL</t>
        </is>
      </c>
      <c r="B120" t="inlineStr">
        <is>
          <t>D10</t>
        </is>
      </c>
      <c r="C120" t="inlineStr">
        <is>
          <t>Dongle</t>
        </is>
      </c>
      <c r="D120" t="inlineStr">
        <is>
          <t>« dongle » dans le résumé Headfonics</t>
        </is>
      </c>
      <c r="E120" t="inlineStr">
        <is>
          <t>Portable Amp/DAC (Headfonics)</t>
        </is>
      </c>
      <c r="F120" t="n">
        <v>9.5</v>
      </c>
    </row>
    <row r="121">
      <c r="A121" t="inlineStr">
        <is>
          <t>Shanling</t>
        </is>
      </c>
      <c r="B121" t="inlineStr">
        <is>
          <t>UA7</t>
        </is>
      </c>
      <c r="C121" t="inlineStr">
        <is>
          <t>Dongle</t>
        </is>
      </c>
      <c r="D121" t="inlineStr">
        <is>
          <t>Type contient « dongle »</t>
        </is>
      </c>
      <c r="E121" t="inlineStr">
        <is>
          <t>Dongle DAC/amp hybride</t>
        </is>
      </c>
      <c r="F121" t="n">
        <v>8.5</v>
      </c>
    </row>
    <row r="122">
      <c r="A122" t="inlineStr">
        <is>
          <t>Shanling</t>
        </is>
      </c>
      <c r="B122" t="inlineStr">
        <is>
          <t>UA6 II</t>
        </is>
      </c>
      <c r="C122" t="inlineStr">
        <is>
          <t>Dongle</t>
        </is>
      </c>
      <c r="D122" t="inlineStr">
        <is>
          <t>Type contient « dongle »</t>
        </is>
      </c>
      <c r="E122" t="inlineStr">
        <is>
          <t>Dongle DAC/amp</t>
        </is>
      </c>
      <c r="F122" t="n">
        <v>9.5</v>
      </c>
    </row>
    <row r="123">
      <c r="A123" t="inlineStr">
        <is>
          <t>Shanling</t>
        </is>
      </c>
      <c r="B123" t="inlineStr">
        <is>
          <t>UA6</t>
        </is>
      </c>
      <c r="C123" t="inlineStr">
        <is>
          <t>Dongle</t>
        </is>
      </c>
      <c r="D123" t="inlineStr">
        <is>
          <t>Type contient « dongle »</t>
        </is>
      </c>
      <c r="E123" t="inlineStr">
        <is>
          <t>Dongle DAC/amp</t>
        </is>
      </c>
      <c r="F123" t="n">
        <v>9.5</v>
      </c>
    </row>
    <row r="124">
      <c r="A124" t="inlineStr">
        <is>
          <t>Shanling</t>
        </is>
      </c>
      <c r="B124" t="inlineStr">
        <is>
          <t>UA4</t>
        </is>
      </c>
      <c r="C124" t="inlineStr">
        <is>
          <t>Dongle</t>
        </is>
      </c>
      <c r="D124" t="inlineStr">
        <is>
          <t>« dongle » dans le résumé Headfonics</t>
        </is>
      </c>
      <c r="E124" t="inlineStr">
        <is>
          <t>Portable Amp/DAC (Headfonics)</t>
        </is>
      </c>
      <c r="F124" t="n">
        <v>9.5</v>
      </c>
    </row>
    <row r="125">
      <c r="A125" t="inlineStr">
        <is>
          <t>Shanling</t>
        </is>
      </c>
      <c r="B125" t="inlineStr">
        <is>
          <t>UA1 Plus</t>
        </is>
      </c>
      <c r="C125" t="inlineStr">
        <is>
          <t>Dongle</t>
        </is>
      </c>
      <c r="D125" t="inlineStr">
        <is>
          <t>« dongle » dans le résumé Headfonics</t>
        </is>
      </c>
      <c r="E125" t="inlineStr">
        <is>
          <t>Portable Amp/DAC (Headfonics)</t>
        </is>
      </c>
      <c r="F125" t="n">
        <v>9.5</v>
      </c>
    </row>
    <row r="126">
      <c r="A126" t="inlineStr">
        <is>
          <t>Shanling</t>
        </is>
      </c>
      <c r="B126" t="inlineStr">
        <is>
          <t>UA3</t>
        </is>
      </c>
      <c r="C126" t="inlineStr">
        <is>
          <t>Dongle</t>
        </is>
      </c>
      <c r="D126" t="inlineStr">
        <is>
          <t>« dongle » dans le résumé Headfonics</t>
        </is>
      </c>
      <c r="E126" t="inlineStr">
        <is>
          <t>Portable Amp/DAC (Headfonics)</t>
        </is>
      </c>
      <c r="F126" t="n">
        <v>9.5</v>
      </c>
    </row>
    <row r="127">
      <c r="A127" t="inlineStr">
        <is>
          <t>Shanling</t>
        </is>
      </c>
      <c r="B127" t="inlineStr">
        <is>
          <t>UA5</t>
        </is>
      </c>
      <c r="C127" t="inlineStr">
        <is>
          <t>Dongle</t>
        </is>
      </c>
      <c r="D127" t="inlineStr">
        <is>
          <t>« dongle » dans le résumé Headfonics</t>
        </is>
      </c>
      <c r="E127" t="inlineStr">
        <is>
          <t>Portable Amp/DAC (Headfonics)</t>
        </is>
      </c>
      <c r="F127" t="n">
        <v>9.5</v>
      </c>
    </row>
    <row r="128">
      <c r="A128" t="inlineStr">
        <is>
          <t>Shanling</t>
        </is>
      </c>
      <c r="B128" t="inlineStr">
        <is>
          <t>UA2</t>
        </is>
      </c>
      <c r="C128" t="inlineStr">
        <is>
          <t>Dongle</t>
        </is>
      </c>
      <c r="D128" t="inlineStr">
        <is>
          <t>« dongle » dans le résumé Headfonics</t>
        </is>
      </c>
      <c r="E128" t="inlineStr">
        <is>
          <t>Portable Amp/DAC (Headfonics)</t>
        </is>
      </c>
      <c r="F128" t="n">
        <v>9.5</v>
      </c>
    </row>
    <row r="129">
      <c r="A129" t="inlineStr">
        <is>
          <t>TempoTec</t>
        </is>
      </c>
      <c r="B129" t="inlineStr">
        <is>
          <t>Sonata BHD Pro</t>
        </is>
      </c>
      <c r="C129" t="inlineStr">
        <is>
          <t>Dongle</t>
        </is>
      </c>
      <c r="D129" t="inlineStr">
        <is>
          <t>« dongle » dans le résumé Headfonics</t>
        </is>
      </c>
      <c r="E129" t="inlineStr">
        <is>
          <t>Portable Amp/DAC (Headfonics)</t>
        </is>
      </c>
      <c r="F129" t="n">
        <v>9.5</v>
      </c>
    </row>
    <row r="130">
      <c r="A130" t="inlineStr">
        <is>
          <t>TempoTec</t>
        </is>
      </c>
      <c r="B130" t="inlineStr">
        <is>
          <t>Sonata E35</t>
        </is>
      </c>
      <c r="C130" t="inlineStr">
        <is>
          <t>Dongle</t>
        </is>
      </c>
      <c r="D130" t="inlineStr">
        <is>
          <t>« dongle » dans le résumé Headfonics</t>
        </is>
      </c>
      <c r="E130" t="inlineStr">
        <is>
          <t>Portable Amp/DAC (Headfonics)</t>
        </is>
      </c>
      <c r="F130" t="n">
        <v>6.5</v>
      </c>
    </row>
    <row r="131">
      <c r="A131" t="inlineStr">
        <is>
          <t>ddHiFi</t>
        </is>
      </c>
      <c r="B131" t="inlineStr">
        <is>
          <t>TC44Grip</t>
        </is>
      </c>
      <c r="C131" t="inlineStr">
        <is>
          <t>Dongle</t>
        </is>
      </c>
      <c r="D131" t="inlineStr">
        <is>
          <t>« dongle » dans le résumé Headfonics</t>
        </is>
      </c>
      <c r="E131" t="inlineStr">
        <is>
          <t>Portable Amp/DAC (Headfonics)</t>
        </is>
      </c>
      <c r="F131" t="n">
        <v>8</v>
      </c>
    </row>
    <row r="132">
      <c r="A132" t="inlineStr">
        <is>
          <t>ddHiFi</t>
        </is>
      </c>
      <c r="B132" t="inlineStr">
        <is>
          <t>TC44 Pro E3</t>
        </is>
      </c>
      <c r="C132" t="inlineStr">
        <is>
          <t>Dongle</t>
        </is>
      </c>
      <c r="D132" t="inlineStr">
        <is>
          <t>« dongle » dans le résumé Headfonics</t>
        </is>
      </c>
      <c r="E132" t="inlineStr">
        <is>
          <t>Portable Amp/DAC (Headfonics)</t>
        </is>
      </c>
      <c r="F132" t="n">
        <v>9.5</v>
      </c>
    </row>
    <row r="133">
      <c r="A133" t="inlineStr">
        <is>
          <t>ddHiFi</t>
        </is>
      </c>
      <c r="B133" t="inlineStr">
        <is>
          <t>TC44Pro M3</t>
        </is>
      </c>
      <c r="C133" t="inlineStr">
        <is>
          <t>Dongle</t>
        </is>
      </c>
      <c r="D133" t="inlineStr">
        <is>
          <t>« dongle » dans le résumé Headfonics</t>
        </is>
      </c>
      <c r="E133" t="inlineStr">
        <is>
          <t>Portable Amp/DAC (Headfonics)</t>
        </is>
      </c>
      <c r="F133" t="n">
        <v>7.2</v>
      </c>
    </row>
    <row r="134">
      <c r="A134" t="inlineStr">
        <is>
          <t>ddHiFi</t>
        </is>
      </c>
      <c r="B134" t="inlineStr">
        <is>
          <t>TC35M2</t>
        </is>
      </c>
      <c r="C134" t="inlineStr">
        <is>
          <t>Dongle</t>
        </is>
      </c>
      <c r="D134" t="inlineStr">
        <is>
          <t>décrit comme câble/convertisseur USB-C</t>
        </is>
      </c>
      <c r="E134" t="inlineStr">
        <is>
          <t>Portable Amp/DAC (Headfonics)</t>
        </is>
      </c>
      <c r="F134" t="n">
        <v>8</v>
      </c>
    </row>
    <row r="135">
      <c r="A135" t="inlineStr">
        <is>
          <t>ddHiFi</t>
        </is>
      </c>
      <c r="B135" t="inlineStr">
        <is>
          <t>TC44Pro E2</t>
        </is>
      </c>
      <c r="C135" t="inlineStr">
        <is>
          <t>Dongle</t>
        </is>
      </c>
      <c r="D135" t="inlineStr">
        <is>
          <t>« dongle » dans le résumé Headfonics</t>
        </is>
      </c>
      <c r="E135" t="inlineStr">
        <is>
          <t>Portable Amp/DAC (Headfonics)</t>
        </is>
      </c>
      <c r="F135" t="n">
        <v>9.5</v>
      </c>
    </row>
    <row r="136">
      <c r="A136" t="inlineStr">
        <is>
          <t>ddHiFi</t>
        </is>
      </c>
      <c r="B136" t="inlineStr">
        <is>
          <t>TC35Pro Eye2 &amp; Mountain2</t>
        </is>
      </c>
      <c r="C136" t="inlineStr">
        <is>
          <t>Dongle</t>
        </is>
      </c>
      <c r="D136" t="inlineStr">
        <is>
          <t>décrit comme câble/convertisseur USB-C</t>
        </is>
      </c>
      <c r="E136" t="inlineStr">
        <is>
          <t>Portable Amp/DAC (Headfonics)</t>
        </is>
      </c>
      <c r="F136" t="n">
        <v>9.5</v>
      </c>
    </row>
    <row r="137">
      <c r="A137" t="inlineStr">
        <is>
          <t>ddHiFi</t>
        </is>
      </c>
      <c r="B137" t="inlineStr">
        <is>
          <t>TC44Pro</t>
        </is>
      </c>
      <c r="C137" t="inlineStr">
        <is>
          <t>Dongle</t>
        </is>
      </c>
      <c r="D137" t="inlineStr">
        <is>
          <t>« dongle » dans le résumé Headfonics</t>
        </is>
      </c>
      <c r="E137" t="inlineStr">
        <is>
          <t>Portable Amp/DAC (Headfonics)</t>
        </is>
      </c>
      <c r="F137" t="n">
        <v>9.5</v>
      </c>
    </row>
    <row r="138">
      <c r="A138" t="inlineStr">
        <is>
          <t>ddHiFi</t>
        </is>
      </c>
      <c r="B138" t="inlineStr">
        <is>
          <t>TC35C</t>
        </is>
      </c>
      <c r="C138" t="inlineStr">
        <is>
          <t>Dongle</t>
        </is>
      </c>
      <c r="D138" t="inlineStr">
        <is>
          <t>décrit comme câble/convertisseur USB-C</t>
        </is>
      </c>
      <c r="E138" t="inlineStr">
        <is>
          <t>Portable Amp/DAC (Headfonics)</t>
        </is>
      </c>
      <c r="F138" t="n">
        <v>9.5</v>
      </c>
    </row>
    <row r="139">
      <c r="A139" t="inlineStr">
        <is>
          <t>ddHiFi</t>
        </is>
      </c>
      <c r="B139" t="inlineStr">
        <is>
          <t>TC44C</t>
        </is>
      </c>
      <c r="C139" t="inlineStr">
        <is>
          <t>Dongle</t>
        </is>
      </c>
      <c r="D139" t="inlineStr">
        <is>
          <t>« dongle » dans le résumé Headfonics</t>
        </is>
      </c>
      <c r="E139" t="inlineStr">
        <is>
          <t>Portable Amp/DAC (Headfonics)</t>
        </is>
      </c>
      <c r="F139" t="n">
        <v>8</v>
      </c>
    </row>
    <row r="140">
      <c r="A140" t="inlineStr">
        <is>
          <t>ddHiFi</t>
        </is>
      </c>
      <c r="B140" t="inlineStr">
        <is>
          <t>TC35 Pro Tetris</t>
        </is>
      </c>
      <c r="C140" t="inlineStr">
        <is>
          <t>Dongle</t>
        </is>
      </c>
      <c r="D140" t="inlineStr">
        <is>
          <t>« dongle » dans le résumé Headfonics</t>
        </is>
      </c>
      <c r="E140" t="inlineStr">
        <is>
          <t>Portable Amp/DAC (Headfonics)</t>
        </is>
      </c>
      <c r="F140" t="n">
        <v>9.5</v>
      </c>
    </row>
    <row r="141">
      <c r="A141" t="inlineStr">
        <is>
          <t>iBasso</t>
        </is>
      </c>
      <c r="B141" t="inlineStr">
        <is>
          <t>DC-Elite</t>
        </is>
      </c>
      <c r="C141" t="inlineStr">
        <is>
          <t>Dongle</t>
        </is>
      </c>
      <c r="D141" t="inlineStr">
        <is>
          <t>Type contient « dongle »</t>
        </is>
      </c>
      <c r="E141" t="inlineStr">
        <is>
          <t>Dongle DAC/amp</t>
        </is>
      </c>
      <c r="F141" t="n">
        <v>9</v>
      </c>
    </row>
    <row r="142">
      <c r="A142" t="inlineStr">
        <is>
          <t>iBasso</t>
        </is>
      </c>
      <c r="B142" t="inlineStr">
        <is>
          <t>DC07PRO</t>
        </is>
      </c>
      <c r="C142" t="inlineStr">
        <is>
          <t>Dongle</t>
        </is>
      </c>
      <c r="D142" t="inlineStr">
        <is>
          <t>Type contient « dongle »</t>
        </is>
      </c>
      <c r="E142" t="inlineStr">
        <is>
          <t>Dongle DAC/amp</t>
        </is>
      </c>
      <c r="F142" t="n">
        <v>9.5</v>
      </c>
    </row>
    <row r="143">
      <c r="A143" t="inlineStr">
        <is>
          <t>iBasso</t>
        </is>
      </c>
      <c r="B143" t="inlineStr">
        <is>
          <t>DC-Tonfa</t>
        </is>
      </c>
      <c r="C143" t="inlineStr">
        <is>
          <t>Dongle</t>
        </is>
      </c>
      <c r="D143" t="inlineStr">
        <is>
          <t>Type contient « dongle »</t>
        </is>
      </c>
      <c r="E143" t="inlineStr">
        <is>
          <t>Dongle DAC/amp R-2R</t>
        </is>
      </c>
      <c r="F143" t="n">
        <v>9</v>
      </c>
    </row>
    <row r="144">
      <c r="A144" t="inlineStr">
        <is>
          <t>iBasso</t>
        </is>
      </c>
      <c r="B144" t="inlineStr">
        <is>
          <t>Nunchaku</t>
        </is>
      </c>
      <c r="C144" t="inlineStr">
        <is>
          <t>Dongle</t>
        </is>
      </c>
      <c r="D144" t="inlineStr">
        <is>
          <t>« dongle » dans le résumé Headfonics</t>
        </is>
      </c>
      <c r="E144" t="inlineStr">
        <is>
          <t>Portable Amp/DAC (Headfonics)</t>
        </is>
      </c>
      <c r="F144" t="n">
        <v>6.5</v>
      </c>
    </row>
    <row r="145">
      <c r="A145" t="inlineStr">
        <is>
          <t>iBasso</t>
        </is>
      </c>
      <c r="B145" t="inlineStr">
        <is>
          <t>DC06</t>
        </is>
      </c>
      <c r="C145" t="inlineStr">
        <is>
          <t>Dongle</t>
        </is>
      </c>
      <c r="D145" t="inlineStr">
        <is>
          <t>« dongle » dans le résumé Headfonics</t>
        </is>
      </c>
      <c r="E145" t="inlineStr">
        <is>
          <t>Portable Amp/DAC (Headfonics)</t>
        </is>
      </c>
      <c r="F145" t="n">
        <v>9.5</v>
      </c>
    </row>
    <row r="146">
      <c r="A146" t="inlineStr">
        <is>
          <t>iBasso</t>
        </is>
      </c>
      <c r="B146" t="inlineStr">
        <is>
          <t>DC05</t>
        </is>
      </c>
      <c r="C146" t="inlineStr">
        <is>
          <t>Dongle</t>
        </is>
      </c>
      <c r="D146" t="inlineStr">
        <is>
          <t>« dongle » dans le résumé Headfonics</t>
        </is>
      </c>
      <c r="E146" t="inlineStr">
        <is>
          <t>Portable Amp/DAC (Headfonics)</t>
        </is>
      </c>
      <c r="F146" t="n">
        <v>9.5</v>
      </c>
    </row>
    <row r="147">
      <c r="A147" t="inlineStr">
        <is>
          <t>iBasso</t>
        </is>
      </c>
      <c r="B147" t="inlineStr">
        <is>
          <t>DC04</t>
        </is>
      </c>
      <c r="C147" t="inlineStr">
        <is>
          <t>Dongle</t>
        </is>
      </c>
      <c r="D147" t="inlineStr">
        <is>
          <t>« dongle » dans le résumé Headfonics</t>
        </is>
      </c>
      <c r="E147" t="inlineStr">
        <is>
          <t>Portable Amp/DAC (Headfonics)</t>
        </is>
      </c>
      <c r="F147" t="n">
        <v>9.5</v>
      </c>
    </row>
    <row r="148">
      <c r="A148" t="inlineStr">
        <is>
          <t>iFi audio</t>
        </is>
      </c>
      <c r="B148" t="inlineStr">
        <is>
          <t>GO link 2</t>
        </is>
      </c>
      <c r="C148" t="inlineStr">
        <is>
          <t>Dongle</t>
        </is>
      </c>
      <c r="D148" t="inlineStr">
        <is>
          <t>« dongle » dans le résumé Headfonics</t>
        </is>
      </c>
      <c r="E148" t="inlineStr">
        <is>
          <t>Portable Amp/DAC (Headfonics)</t>
        </is>
      </c>
      <c r="F148" t="n">
        <v>9.5</v>
      </c>
    </row>
    <row r="149">
      <c r="A149" t="inlineStr">
        <is>
          <t>iFi audio</t>
        </is>
      </c>
      <c r="B149" t="inlineStr">
        <is>
          <t>GO link Max</t>
        </is>
      </c>
      <c r="C149" t="inlineStr">
        <is>
          <t>Dongle</t>
        </is>
      </c>
      <c r="D149" t="inlineStr">
        <is>
          <t>« dongle » dans le résumé Headfonics</t>
        </is>
      </c>
      <c r="E149" t="inlineStr">
        <is>
          <t>Portable Amp/DAC (Headfonics)</t>
        </is>
      </c>
      <c r="F149" t="n">
        <v>9.5</v>
      </c>
    </row>
    <row r="150">
      <c r="A150" t="inlineStr">
        <is>
          <t>iFi audio</t>
        </is>
      </c>
      <c r="B150" t="inlineStr">
        <is>
          <t>GO bar Kensei</t>
        </is>
      </c>
      <c r="C150" t="inlineStr">
        <is>
          <t>Dongle</t>
        </is>
      </c>
      <c r="D150" t="inlineStr">
        <is>
          <t>« dongle » dans le résumé Headfonics</t>
        </is>
      </c>
      <c r="E150" t="inlineStr">
        <is>
          <t>Portable Amp/DAC (Headfonics)</t>
        </is>
      </c>
      <c r="F150" t="n">
        <v>9.300000000000001</v>
      </c>
    </row>
    <row r="151">
      <c r="A151" t="inlineStr">
        <is>
          <t>iFi audio</t>
        </is>
      </c>
      <c r="B151" t="inlineStr">
        <is>
          <t>GO bar</t>
        </is>
      </c>
      <c r="C151" t="inlineStr">
        <is>
          <t>Dongle</t>
        </is>
      </c>
      <c r="D151" t="inlineStr">
        <is>
          <t>« dongle » dans le résumé Headfonics</t>
        </is>
      </c>
      <c r="E151" t="inlineStr">
        <is>
          <t>Portable Amp/DAC (Headfonics)</t>
        </is>
      </c>
      <c r="F151" t="n">
        <v>9.300000000000001</v>
      </c>
    </row>
    <row r="152">
      <c r="A152" t="inlineStr">
        <is>
          <t>iKKO</t>
        </is>
      </c>
      <c r="B152" t="inlineStr">
        <is>
          <t>Zerda ITM02</t>
        </is>
      </c>
      <c r="C152" t="inlineStr">
        <is>
          <t>Dongle</t>
        </is>
      </c>
      <c r="D152" t="inlineStr">
        <is>
          <t>« dongle » dans le résumé Headfonics</t>
        </is>
      </c>
      <c r="E152" t="inlineStr">
        <is>
          <t>Portable Amp/DAC (Headfonics)</t>
        </is>
      </c>
      <c r="F152" t="n">
        <v>9.5</v>
      </c>
    </row>
    <row r="153">
      <c r="A153" t="inlineStr">
        <is>
          <t>xDuoo</t>
        </is>
      </c>
      <c r="B153" t="inlineStr">
        <is>
          <t>Link3</t>
        </is>
      </c>
      <c r="C153" t="inlineStr">
        <is>
          <t>Dongle</t>
        </is>
      </c>
      <c r="D153" t="inlineStr">
        <is>
          <t>« dongle » dans le résumé Headfonics</t>
        </is>
      </c>
      <c r="E153" t="inlineStr">
        <is>
          <t>Portable Amp/DAC (Headfonics)</t>
        </is>
      </c>
      <c r="F153" t="n">
        <v>7</v>
      </c>
    </row>
    <row r="154">
      <c r="A154" t="inlineStr">
        <is>
          <t>xDuoo</t>
        </is>
      </c>
      <c r="B154" t="inlineStr">
        <is>
          <t>Link2 Bal</t>
        </is>
      </c>
      <c r="C154" t="inlineStr">
        <is>
          <t>Dongle</t>
        </is>
      </c>
      <c r="D154" t="inlineStr">
        <is>
          <t>« dongle » dans le résumé Headfonics</t>
        </is>
      </c>
      <c r="E154" t="inlineStr">
        <is>
          <t>Portable Amp/DAC (Headfonics)</t>
        </is>
      </c>
      <c r="F154" t="n">
        <v>9.5</v>
      </c>
    </row>
    <row r="155">
      <c r="A155" t="inlineStr">
        <is>
          <t>xDuoo</t>
        </is>
      </c>
      <c r="B155" t="inlineStr">
        <is>
          <t>XD05T</t>
        </is>
      </c>
      <c r="C155" t="inlineStr">
        <is>
          <t>Dongle</t>
        </is>
      </c>
      <c r="D155" t="inlineStr">
        <is>
          <t>« dongle » dans le résumé Headfonics</t>
        </is>
      </c>
      <c r="E155" t="inlineStr">
        <is>
          <t>DAC / ampli portable</t>
        </is>
      </c>
      <c r="F155" t="n">
        <v>8</v>
      </c>
    </row>
    <row r="156">
      <c r="A156" t="inlineStr">
        <is>
          <t>Cayin</t>
        </is>
      </c>
      <c r="B156" t="inlineStr">
        <is>
          <t>C9ii</t>
        </is>
      </c>
      <c r="C156" t="inlineStr">
        <is>
          <t>Portable batterie</t>
        </is>
      </c>
      <c r="D156" t="inlineStr">
        <is>
          <t>mention batterie / transportable</t>
        </is>
      </c>
      <c r="E156" t="inlineStr">
        <is>
          <t>Portable Amp/DAC (Headfonics)</t>
        </is>
      </c>
      <c r="F156" t="n">
        <v>6.5</v>
      </c>
    </row>
    <row r="157">
      <c r="A157" t="inlineStr">
        <is>
          <t>Chord</t>
        </is>
      </c>
      <c r="B157" t="inlineStr">
        <is>
          <t>Mojo 2</t>
        </is>
      </c>
      <c r="C157" t="inlineStr">
        <is>
          <t>Portable batterie</t>
        </is>
      </c>
      <c r="D157" t="inlineStr">
        <is>
          <t>mention batterie / transportable</t>
        </is>
      </c>
      <c r="E157" t="inlineStr">
        <is>
          <t>Portable Amp/DAC (Headfonics)</t>
        </is>
      </c>
      <c r="F157" t="n">
        <v>8</v>
      </c>
    </row>
    <row r="158">
      <c r="A158" t="inlineStr">
        <is>
          <t>Dethonray</t>
        </is>
      </c>
      <c r="B158" t="inlineStr">
        <is>
          <t>Clarinet</t>
        </is>
      </c>
      <c r="C158" t="inlineStr">
        <is>
          <t>Portable batterie</t>
        </is>
      </c>
      <c r="D158" t="inlineStr">
        <is>
          <t>mention batterie / transportable</t>
        </is>
      </c>
      <c r="E158" t="inlineStr">
        <is>
          <t>DAC/amp portable sur batterie</t>
        </is>
      </c>
      <c r="F158" t="n">
        <v>7.2</v>
      </c>
    </row>
    <row r="159">
      <c r="A159" t="inlineStr">
        <is>
          <t>EarMen</t>
        </is>
      </c>
      <c r="B159" t="inlineStr">
        <is>
          <t>Angel</t>
        </is>
      </c>
      <c r="C159" t="inlineStr">
        <is>
          <t>Portable batterie</t>
        </is>
      </c>
      <c r="D159" t="inlineStr">
        <is>
          <t>mention batterie / transportable</t>
        </is>
      </c>
      <c r="E159" t="inlineStr">
        <is>
          <t>Portable Amp/DAC (Headfonics)</t>
        </is>
      </c>
      <c r="F159" t="n">
        <v>8</v>
      </c>
    </row>
    <row r="160">
      <c r="A160" t="inlineStr">
        <is>
          <t>FiiO</t>
        </is>
      </c>
      <c r="B160" t="inlineStr">
        <is>
          <t>Q11</t>
        </is>
      </c>
      <c r="C160" t="inlineStr">
        <is>
          <t>Portable batterie</t>
        </is>
      </c>
      <c r="D160" t="inlineStr">
        <is>
          <t>mention batterie / transportable</t>
        </is>
      </c>
      <c r="E160" t="inlineStr">
        <is>
          <t>Portable Amp/DAC (Headfonics)</t>
        </is>
      </c>
      <c r="F160" t="n">
        <v>8</v>
      </c>
    </row>
    <row r="161">
      <c r="A161" t="inlineStr">
        <is>
          <t>FiiO</t>
        </is>
      </c>
      <c r="B161" t="inlineStr">
        <is>
          <t>Q7</t>
        </is>
      </c>
      <c r="C161" t="inlineStr">
        <is>
          <t>Portable batterie</t>
        </is>
      </c>
      <c r="D161" t="inlineStr">
        <is>
          <t>mention batterie / transportable</t>
        </is>
      </c>
      <c r="E161" t="inlineStr">
        <is>
          <t>Portable Amp/DAC (Headfonics)</t>
        </is>
      </c>
      <c r="F161" t="n">
        <v>6.5</v>
      </c>
    </row>
    <row r="162">
      <c r="A162" t="inlineStr">
        <is>
          <t>Fosi Audio</t>
        </is>
      </c>
      <c r="B162" t="inlineStr">
        <is>
          <t>SK02</t>
        </is>
      </c>
      <c r="C162" t="inlineStr">
        <is>
          <t>Portable batterie</t>
        </is>
      </c>
      <c r="D162" t="inlineStr">
        <is>
          <t>mention batterie / transportable</t>
        </is>
      </c>
      <c r="E162" t="inlineStr">
        <is>
          <t>DAC / ampli portable</t>
        </is>
      </c>
      <c r="F162" t="n">
        <v>6.5</v>
      </c>
    </row>
    <row r="163">
      <c r="A163" t="inlineStr">
        <is>
          <t>Hidizs</t>
        </is>
      </c>
      <c r="B163" t="inlineStr">
        <is>
          <t>DH80s</t>
        </is>
      </c>
      <c r="C163" t="inlineStr">
        <is>
          <t>Portable batterie</t>
        </is>
      </c>
      <c r="D163" t="inlineStr">
        <is>
          <t>mention batterie / transportable</t>
        </is>
      </c>
      <c r="E163" t="inlineStr">
        <is>
          <t>Portable Amp/DAC (Headfonics)</t>
        </is>
      </c>
      <c r="F163" t="n">
        <v>8</v>
      </c>
    </row>
    <row r="164">
      <c r="A164" t="inlineStr">
        <is>
          <t>Hidizs</t>
        </is>
      </c>
      <c r="B164" t="inlineStr">
        <is>
          <t>DH80</t>
        </is>
      </c>
      <c r="C164" t="inlineStr">
        <is>
          <t>Portable batterie</t>
        </is>
      </c>
      <c r="D164" t="inlineStr">
        <is>
          <t>mention batterie / transportable</t>
        </is>
      </c>
      <c r="E164" t="inlineStr">
        <is>
          <t>Portable Amp/DAC (Headfonics)</t>
        </is>
      </c>
      <c r="F164" t="n">
        <v>8</v>
      </c>
    </row>
    <row r="165">
      <c r="A165" t="inlineStr">
        <is>
          <t>ONIX</t>
        </is>
      </c>
      <c r="B165" t="inlineStr">
        <is>
          <t>Mystic XP1</t>
        </is>
      </c>
      <c r="C165" t="inlineStr">
        <is>
          <t>Portable batterie</t>
        </is>
      </c>
      <c r="D165" t="inlineStr">
        <is>
          <t>mention batterie / transportable</t>
        </is>
      </c>
      <c r="E165" t="inlineStr">
        <is>
          <t>Portable Amp/DAC (Headfonics)</t>
        </is>
      </c>
      <c r="F165" t="n">
        <v>6.5</v>
      </c>
    </row>
    <row r="166">
      <c r="A166" t="inlineStr">
        <is>
          <t>Quloos</t>
        </is>
      </c>
      <c r="B166" t="inlineStr">
        <is>
          <t>MUB1</t>
        </is>
      </c>
      <c r="C166" t="inlineStr">
        <is>
          <t>Portable batterie</t>
        </is>
      </c>
      <c r="D166" t="inlineStr">
        <is>
          <t>mention batterie / transportable</t>
        </is>
      </c>
      <c r="E166" t="inlineStr">
        <is>
          <t>DAC/amp portable sur batterie</t>
        </is>
      </c>
      <c r="F166" t="n">
        <v>7.8</v>
      </c>
    </row>
    <row r="167">
      <c r="A167" t="inlineStr">
        <is>
          <t>Shanling</t>
        </is>
      </c>
      <c r="B167" t="inlineStr">
        <is>
          <t>H5 MQA</t>
        </is>
      </c>
      <c r="C167" t="inlineStr">
        <is>
          <t>Portable batterie</t>
        </is>
      </c>
      <c r="D167" t="inlineStr">
        <is>
          <t>mention batterie / transportable</t>
        </is>
      </c>
      <c r="E167" t="inlineStr">
        <is>
          <t>DAC/amp portable sur batterie</t>
        </is>
      </c>
      <c r="F167" t="n">
        <v>6.5</v>
      </c>
    </row>
    <row r="168">
      <c r="A168" t="inlineStr">
        <is>
          <t>Shanling</t>
        </is>
      </c>
      <c r="B168" t="inlineStr">
        <is>
          <t>H7</t>
        </is>
      </c>
      <c r="C168" t="inlineStr">
        <is>
          <t>Portable batterie</t>
        </is>
      </c>
      <c r="D168" t="inlineStr">
        <is>
          <t>mention batterie / transportable</t>
        </is>
      </c>
      <c r="E168" t="inlineStr">
        <is>
          <t>Portable Amp/DAC (Headfonics)</t>
        </is>
      </c>
      <c r="F168" t="n">
        <v>8</v>
      </c>
    </row>
    <row r="169">
      <c r="A169" t="inlineStr">
        <is>
          <t>Topping</t>
        </is>
      </c>
      <c r="B169" t="inlineStr">
        <is>
          <t>G5</t>
        </is>
      </c>
      <c r="C169" t="inlineStr">
        <is>
          <t>Portable batterie</t>
        </is>
      </c>
      <c r="D169" t="inlineStr">
        <is>
          <t>mention batterie / transportable</t>
        </is>
      </c>
      <c r="E169" t="inlineStr">
        <is>
          <t>DAC/amp portable sur batterie</t>
        </is>
      </c>
      <c r="F169" t="n">
        <v>6.5</v>
      </c>
    </row>
    <row r="170">
      <c r="A170" t="inlineStr">
        <is>
          <t>iBasso</t>
        </is>
      </c>
      <c r="B170" t="inlineStr">
        <is>
          <t>PB6 MACAW</t>
        </is>
      </c>
      <c r="C170" t="inlineStr">
        <is>
          <t>Portable batterie</t>
        </is>
      </c>
      <c r="D170" t="inlineStr">
        <is>
          <t>mention batterie / transportable</t>
        </is>
      </c>
      <c r="E170" t="inlineStr">
        <is>
          <t>Portable Amp/DAC (Headfonics)</t>
        </is>
      </c>
      <c r="F170" t="n">
        <v>6.5</v>
      </c>
    </row>
    <row r="171">
      <c r="A171" t="inlineStr">
        <is>
          <t>iFi audio</t>
        </is>
      </c>
      <c r="B171" t="inlineStr">
        <is>
          <t>iDSD Diablo 2</t>
        </is>
      </c>
      <c r="C171" t="inlineStr">
        <is>
          <t>Portable batterie</t>
        </is>
      </c>
      <c r="D171" t="inlineStr">
        <is>
          <t>mention batterie / transportable</t>
        </is>
      </c>
      <c r="E171" t="inlineStr">
        <is>
          <t>Portable Amp/DAC (Headfonics)</t>
        </is>
      </c>
      <c r="F171" t="n">
        <v>8</v>
      </c>
    </row>
    <row r="172">
      <c r="A172" t="inlineStr">
        <is>
          <t>iFi audio</t>
        </is>
      </c>
      <c r="B172" t="inlineStr">
        <is>
          <t>hip-dac 3</t>
        </is>
      </c>
      <c r="C172" t="inlineStr">
        <is>
          <t>Portable batterie</t>
        </is>
      </c>
      <c r="D172" t="inlineStr">
        <is>
          <t>mention batterie / transportable</t>
        </is>
      </c>
      <c r="E172" t="inlineStr">
        <is>
          <t>Portable Amp/DAC (Headfonics)</t>
        </is>
      </c>
      <c r="F172" t="n">
        <v>7.2</v>
      </c>
    </row>
    <row r="173">
      <c r="A173" t="inlineStr">
        <is>
          <t>iFi audio</t>
        </is>
      </c>
      <c r="B173" t="inlineStr">
        <is>
          <t>xDSD Gryphon</t>
        </is>
      </c>
      <c r="C173" t="inlineStr">
        <is>
          <t>Portable batterie</t>
        </is>
      </c>
      <c r="D173" t="inlineStr">
        <is>
          <t>mention batterie / transportable</t>
        </is>
      </c>
      <c r="E173" t="inlineStr">
        <is>
          <t>Portable Amp/DAC (Headfonics)</t>
        </is>
      </c>
      <c r="F173" t="n">
        <v>8</v>
      </c>
    </row>
    <row r="174">
      <c r="A174" t="inlineStr">
        <is>
          <t>iFi audio</t>
        </is>
      </c>
      <c r="B174" t="inlineStr">
        <is>
          <t>hip-dac2</t>
        </is>
      </c>
      <c r="C174" t="inlineStr">
        <is>
          <t>Portable batterie</t>
        </is>
      </c>
      <c r="D174" t="inlineStr">
        <is>
          <t>mention batterie / transportable</t>
        </is>
      </c>
      <c r="E174" t="inlineStr">
        <is>
          <t>Portable Amp/DAC (Headfonics)</t>
        </is>
      </c>
      <c r="F174" t="n">
        <v>9.5</v>
      </c>
    </row>
    <row r="175">
      <c r="A175" t="inlineStr">
        <is>
          <t>iFi audio</t>
        </is>
      </c>
      <c r="B175" t="inlineStr">
        <is>
          <t>iDSD Diablo</t>
        </is>
      </c>
      <c r="C175" t="inlineStr">
        <is>
          <t>Portable batterie</t>
        </is>
      </c>
      <c r="D175" t="inlineStr">
        <is>
          <t>mention batterie / transportable</t>
        </is>
      </c>
      <c r="E175" t="inlineStr">
        <is>
          <t>Portable Amp/DAC (Headfonics)</t>
        </is>
      </c>
      <c r="F175" t="n">
        <v>6.5</v>
      </c>
    </row>
    <row r="176">
      <c r="A176" t="inlineStr">
        <is>
          <t>xDuoo</t>
        </is>
      </c>
      <c r="B176" t="inlineStr">
        <is>
          <t>XD05 BAL 2</t>
        </is>
      </c>
      <c r="C176" t="inlineStr">
        <is>
          <t>Portable batterie</t>
        </is>
      </c>
      <c r="D176" t="inlineStr">
        <is>
          <t>mention batterie / transportable</t>
        </is>
      </c>
      <c r="E176" t="inlineStr">
        <is>
          <t>DAC/amp portable sur batterie</t>
        </is>
      </c>
      <c r="F176" t="n">
        <v>5.5</v>
      </c>
    </row>
    <row r="177">
      <c r="A177" t="inlineStr">
        <is>
          <t>xDuoo</t>
        </is>
      </c>
      <c r="B177" t="inlineStr">
        <is>
          <t>POKE II</t>
        </is>
      </c>
      <c r="C177" t="inlineStr">
        <is>
          <t>Portable batterie</t>
        </is>
      </c>
      <c r="D177" t="inlineStr">
        <is>
          <t>mention batterie / transportable</t>
        </is>
      </c>
      <c r="E177" t="inlineStr">
        <is>
          <t>DAC/amp portable sur batterie</t>
        </is>
      </c>
      <c r="F177" t="n">
        <v>6.8</v>
      </c>
    </row>
    <row r="178">
      <c r="A178" t="inlineStr">
        <is>
          <t>xDuoo</t>
        </is>
      </c>
      <c r="B178" t="inlineStr">
        <is>
          <t>XD05 Pro</t>
        </is>
      </c>
      <c r="C178" t="inlineStr">
        <is>
          <t>Portable batterie</t>
        </is>
      </c>
      <c r="D178" t="inlineStr">
        <is>
          <t>mention batterie / transportable</t>
        </is>
      </c>
      <c r="E178" t="inlineStr">
        <is>
          <t>Portable Amp/DAC (Headfonics)</t>
        </is>
      </c>
      <c r="F178" t="n">
        <v>6.5</v>
      </c>
    </row>
    <row r="179">
      <c r="A179" t="inlineStr">
        <is>
          <t>Qudelix</t>
        </is>
      </c>
      <c r="B179" t="inlineStr">
        <is>
          <t>5K</t>
        </is>
      </c>
      <c r="C179" t="inlineStr">
        <is>
          <t>Bluetooth</t>
        </is>
      </c>
      <c r="D179" t="inlineStr">
        <is>
          <t>mention wireless/Bluetooth sans « dongle »</t>
        </is>
      </c>
      <c r="E179" t="inlineStr">
        <is>
          <t>BT DAC/amp</t>
        </is>
      </c>
      <c r="F179" t="n">
        <v>9</v>
      </c>
    </row>
    <row r="180">
      <c r="A180" t="inlineStr">
        <is>
          <t>AudioQuest</t>
        </is>
      </c>
      <c r="B180" t="inlineStr">
        <is>
          <t>DragonFly Cobalt</t>
        </is>
      </c>
      <c r="C180" t="inlineStr">
        <is>
          <t>Dongle</t>
        </is>
      </c>
      <c r="D180" t="inlineStr">
        <is>
          <t>« dongle » dans le résumé Headfonics</t>
        </is>
      </c>
      <c r="E180" t="inlineStr">
        <is>
          <t>Dongle DAC/amp</t>
        </is>
      </c>
      <c r="F180" t="n">
        <v>8.6</v>
      </c>
    </row>
    <row r="181">
      <c r="A181" t="inlineStr">
        <is>
          <t>AudioQuest</t>
        </is>
      </c>
      <c r="B181" t="inlineStr">
        <is>
          <t>DragonFly Red</t>
        </is>
      </c>
      <c r="C181" t="inlineStr">
        <is>
          <t>Dongle</t>
        </is>
      </c>
      <c r="D181" t="inlineStr">
        <is>
          <t>« dongle » dans le résumé Headfonics</t>
        </is>
      </c>
      <c r="E181" t="inlineStr">
        <is>
          <t>Dongle DAC/amp</t>
        </is>
      </c>
      <c r="F181" t="n">
        <v>8.5</v>
      </c>
    </row>
    <row r="182">
      <c r="A182" t="inlineStr">
        <is>
          <t>Truthear</t>
        </is>
      </c>
      <c r="B182" t="inlineStr">
        <is>
          <t>SHIO</t>
        </is>
      </c>
      <c r="C182" t="inlineStr">
        <is>
          <t>Dongle</t>
        </is>
      </c>
      <c r="D182" t="inlineStr">
        <is>
          <t>« dongle » dans le résumé Headfonics</t>
        </is>
      </c>
      <c r="E182" t="inlineStr">
        <is>
          <t>Dongle DAC/amp</t>
        </is>
      </c>
      <c r="F182" t="n">
        <v>8.300000000000001</v>
      </c>
    </row>
    <row r="183">
      <c r="A183" t="inlineStr">
        <is>
          <t>Simgot</t>
        </is>
      </c>
      <c r="B183" t="inlineStr">
        <is>
          <t>Dew4x</t>
        </is>
      </c>
      <c r="C183" t="inlineStr">
        <is>
          <t>Dongle</t>
        </is>
      </c>
      <c r="D183" t="inlineStr">
        <is>
          <t>« dongle » dans le résumé Headfonics</t>
        </is>
      </c>
      <c r="E183" t="inlineStr">
        <is>
          <t>Dongle DAC/amp</t>
        </is>
      </c>
      <c r="F183" t="n">
        <v>8.800000000000001</v>
      </c>
    </row>
    <row r="184">
      <c r="A184" t="inlineStr">
        <is>
          <t>iBasso</t>
        </is>
      </c>
      <c r="B184" t="inlineStr">
        <is>
          <t>DC01</t>
        </is>
      </c>
      <c r="C184" t="inlineStr">
        <is>
          <t>Dongle</t>
        </is>
      </c>
      <c r="D184" t="inlineStr">
        <is>
          <t>« dongle » dans le résumé Headfonics</t>
        </is>
      </c>
      <c r="E184" t="inlineStr">
        <is>
          <t>Dongle DAC/amp</t>
        </is>
      </c>
      <c r="F184" t="n">
        <v>8.199999999999999</v>
      </c>
    </row>
    <row r="185">
      <c r="A185" t="inlineStr">
        <is>
          <t>Kiwi Ears</t>
        </is>
      </c>
      <c r="B185" t="inlineStr">
        <is>
          <t>Allegro Pro</t>
        </is>
      </c>
      <c r="C185" t="inlineStr">
        <is>
          <t>Dongle</t>
        </is>
      </c>
      <c r="D185" t="inlineStr">
        <is>
          <t>« dongle » dans le résumé Headfonics</t>
        </is>
      </c>
      <c r="E185" t="inlineStr">
        <is>
          <t>Dongle DAC/amp</t>
        </is>
      </c>
      <c r="F185" t="n">
        <v>8.4</v>
      </c>
    </row>
    <row r="186">
      <c r="A186" t="inlineStr">
        <is>
          <t>EPZ</t>
        </is>
      </c>
      <c r="B186" t="inlineStr">
        <is>
          <t>TP35 Pro</t>
        </is>
      </c>
      <c r="C186" t="inlineStr">
        <is>
          <t>Dongle</t>
        </is>
      </c>
      <c r="D186" t="inlineStr">
        <is>
          <t>« dongle » dans le résumé Headfonics</t>
        </is>
      </c>
      <c r="E186" t="inlineStr">
        <is>
          <t>Dongle DAC/amp</t>
        </is>
      </c>
      <c r="F186" t="n">
        <v>8.800000000000001</v>
      </c>
    </row>
    <row r="187">
      <c r="A187" t="inlineStr">
        <is>
          <t>EPZ</t>
        </is>
      </c>
      <c r="B187" t="inlineStr">
        <is>
          <t>TP20 Pro</t>
        </is>
      </c>
      <c r="C187" t="inlineStr">
        <is>
          <t>Dongle</t>
        </is>
      </c>
      <c r="D187" t="inlineStr">
        <is>
          <t>« dongle » dans le résumé Headfonics</t>
        </is>
      </c>
      <c r="E187" t="inlineStr">
        <is>
          <t>Dongle DAC/amp</t>
        </is>
      </c>
      <c r="F187" t="n">
        <v>8.6</v>
      </c>
    </row>
    <row r="188">
      <c r="A188" t="inlineStr">
        <is>
          <t>EPZ</t>
        </is>
      </c>
      <c r="B188" t="inlineStr">
        <is>
          <t>TP50</t>
        </is>
      </c>
      <c r="C188" t="inlineStr">
        <is>
          <t>Dongle</t>
        </is>
      </c>
      <c r="D188" t="inlineStr">
        <is>
          <t>« dongle » dans le résumé Headfonics</t>
        </is>
      </c>
      <c r="E188" t="inlineStr">
        <is>
          <t>Dongle DAC/amp</t>
        </is>
      </c>
      <c r="F188" t="n">
        <v>8.4</v>
      </c>
    </row>
    <row r="189">
      <c r="A189" t="inlineStr">
        <is>
          <t>Rose Technics</t>
        </is>
      </c>
      <c r="B189" t="inlineStr">
        <is>
          <t>RS9039</t>
        </is>
      </c>
      <c r="C189" t="inlineStr">
        <is>
          <t>Dongle</t>
        </is>
      </c>
      <c r="D189" t="inlineStr">
        <is>
          <t>« dongle » dans le résumé Headfonics</t>
        </is>
      </c>
      <c r="E189" t="inlineStr">
        <is>
          <t>Dongle DAC/amp</t>
        </is>
      </c>
      <c r="F189" t="n">
        <v>8.6</v>
      </c>
    </row>
    <row r="190">
      <c r="A190" t="inlineStr">
        <is>
          <t>AFUL</t>
        </is>
      </c>
      <c r="B190" t="inlineStr">
        <is>
          <t>SnowyNight</t>
        </is>
      </c>
      <c r="C190" t="inlineStr">
        <is>
          <t>Dongle</t>
        </is>
      </c>
      <c r="D190" t="inlineStr">
        <is>
          <t>« dongle » dans le résumé Headfonics</t>
        </is>
      </c>
      <c r="E190" t="inlineStr">
        <is>
          <t>Dongle DAC/amp</t>
        </is>
      </c>
      <c r="F190" t="n">
        <v>8.5</v>
      </c>
    </row>
    <row r="191">
      <c r="A191" t="inlineStr">
        <is>
          <t>iKKO</t>
        </is>
      </c>
      <c r="B191" t="inlineStr">
        <is>
          <t>Zerda ITM01</t>
        </is>
      </c>
      <c r="C191" t="inlineStr">
        <is>
          <t>Dongle</t>
        </is>
      </c>
      <c r="D191" t="inlineStr">
        <is>
          <t>« dongle » dans le résumé Headfonics</t>
        </is>
      </c>
      <c r="E191" t="inlineStr">
        <is>
          <t>Dongle DAC/amp</t>
        </is>
      </c>
      <c r="F191" t="n">
        <v>8.199999999999999</v>
      </c>
    </row>
    <row r="192">
      <c r="A192" t="inlineStr">
        <is>
          <t>EarMen</t>
        </is>
      </c>
      <c r="B192" t="inlineStr">
        <is>
          <t>Eagle</t>
        </is>
      </c>
      <c r="C192" t="inlineStr">
        <is>
          <t>Dongle</t>
        </is>
      </c>
      <c r="D192" t="inlineStr">
        <is>
          <t>« dongle » dans le résumé Headfonics</t>
        </is>
      </c>
      <c r="E192" t="inlineStr">
        <is>
          <t>Dongle DAC/amp</t>
        </is>
      </c>
      <c r="F192" t="n">
        <v>8.300000000000001</v>
      </c>
    </row>
    <row r="193">
      <c r="A193" t="inlineStr">
        <is>
          <t>EarMen</t>
        </is>
      </c>
      <c r="B193" t="inlineStr">
        <is>
          <t>Sparrow</t>
        </is>
      </c>
      <c r="C193" t="inlineStr">
        <is>
          <t>Dongle</t>
        </is>
      </c>
      <c r="D193" t="inlineStr">
        <is>
          <t>« dongle » dans le résumé Headfonics</t>
        </is>
      </c>
      <c r="E193" t="inlineStr">
        <is>
          <t>Dongle DAC/amp</t>
        </is>
      </c>
      <c r="F193" t="n">
        <v>7.9</v>
      </c>
    </row>
    <row r="194">
      <c r="A194" t="inlineStr">
        <is>
          <t>Audirect</t>
        </is>
      </c>
      <c r="B194" t="inlineStr">
        <is>
          <t>Atom 2</t>
        </is>
      </c>
      <c r="C194" t="inlineStr">
        <is>
          <t>Dongle</t>
        </is>
      </c>
      <c r="D194" t="inlineStr">
        <is>
          <t>« dongle » dans le résumé Headfonics</t>
        </is>
      </c>
      <c r="E194" t="inlineStr">
        <is>
          <t>Dongle DAC/amp</t>
        </is>
      </c>
      <c r="F194" t="n">
        <v>8.4</v>
      </c>
    </row>
    <row r="195">
      <c r="A195" t="inlineStr">
        <is>
          <t>Audirect</t>
        </is>
      </c>
      <c r="B195" t="inlineStr">
        <is>
          <t>Atom 3</t>
        </is>
      </c>
      <c r="C195" t="inlineStr">
        <is>
          <t>Dongle</t>
        </is>
      </c>
      <c r="D195" t="inlineStr">
        <is>
          <t>« dongle » dans le résumé Headfonics</t>
        </is>
      </c>
      <c r="E195" t="inlineStr">
        <is>
          <t>Dongle DAC/amp</t>
        </is>
      </c>
      <c r="F195" t="n">
        <v>9.5</v>
      </c>
    </row>
    <row r="196">
      <c r="A196" t="inlineStr">
        <is>
          <t>Audirect</t>
        </is>
      </c>
      <c r="B196" t="inlineStr">
        <is>
          <t>Team 1</t>
        </is>
      </c>
      <c r="C196" t="inlineStr">
        <is>
          <t>Portable batterie</t>
        </is>
      </c>
      <c r="D196" t="inlineStr">
        <is>
          <t>mention batterie / transportable</t>
        </is>
      </c>
      <c r="E196" t="inlineStr">
        <is>
          <t>DAC/amp portable</t>
        </is>
      </c>
      <c r="F196" t="n">
        <v>5.5</v>
      </c>
    </row>
    <row r="197">
      <c r="A197" t="inlineStr">
        <is>
          <t>Venture Electronics</t>
        </is>
      </c>
      <c r="B197" t="inlineStr">
        <is>
          <t>Odyssey HD</t>
        </is>
      </c>
      <c r="C197" t="inlineStr">
        <is>
          <t>Dongle</t>
        </is>
      </c>
      <c r="D197" t="inlineStr">
        <is>
          <t>« dongle » dans le résumé Headfonics</t>
        </is>
      </c>
      <c r="E197" t="inlineStr">
        <is>
          <t>Dongle DAC/amp</t>
        </is>
      </c>
      <c r="F197" t="n">
        <v>7</v>
      </c>
    </row>
    <row r="198">
      <c r="A198" t="inlineStr">
        <is>
          <t>TempoTec</t>
        </is>
      </c>
      <c r="B198" t="inlineStr">
        <is>
          <t>Sonata HD II</t>
        </is>
      </c>
      <c r="C198" t="inlineStr">
        <is>
          <t>Dongle</t>
        </is>
      </c>
      <c r="D198" t="inlineStr">
        <is>
          <t>« dongle » dans le résumé Headfonics</t>
        </is>
      </c>
      <c r="E198" t="inlineStr">
        <is>
          <t>Dongle DAC/amp</t>
        </is>
      </c>
      <c r="F198" t="n">
        <v>9</v>
      </c>
    </row>
    <row r="199">
      <c r="A199" t="inlineStr">
        <is>
          <t>BGVP</t>
        </is>
      </c>
      <c r="B199" t="inlineStr">
        <is>
          <t>T01s</t>
        </is>
      </c>
      <c r="C199" t="inlineStr">
        <is>
          <t>Dongle</t>
        </is>
      </c>
      <c r="D199" t="inlineStr">
        <is>
          <t>« dongle » dans le résumé Headfonics</t>
        </is>
      </c>
      <c r="E199" t="inlineStr">
        <is>
          <t>Dongle DAC/amp</t>
        </is>
      </c>
      <c r="F199" t="n">
        <v>8</v>
      </c>
    </row>
    <row r="200">
      <c r="A200" t="inlineStr">
        <is>
          <t>Campfire Audio</t>
        </is>
      </c>
      <c r="B200" t="inlineStr">
        <is>
          <t>Relay</t>
        </is>
      </c>
      <c r="C200" t="inlineStr">
        <is>
          <t>Dongle</t>
        </is>
      </c>
      <c r="D200" t="inlineStr">
        <is>
          <t>« dongle » dans le résumé Headfonics</t>
        </is>
      </c>
      <c r="E200" t="inlineStr">
        <is>
          <t>Dongle DAC/amp</t>
        </is>
      </c>
      <c r="F200" t="n">
        <v>8.5</v>
      </c>
    </row>
    <row r="201">
      <c r="A201" t="inlineStr">
        <is>
          <t>Cozoy</t>
        </is>
      </c>
      <c r="B201" t="inlineStr">
        <is>
          <t>Takt-C</t>
        </is>
      </c>
      <c r="C201" t="inlineStr">
        <is>
          <t>Dongle</t>
        </is>
      </c>
      <c r="D201" t="inlineStr">
        <is>
          <t>« dongle » dans le résumé Headfonics</t>
        </is>
      </c>
      <c r="E201" t="inlineStr">
        <is>
          <t>Dongle DAC/amp</t>
        </is>
      </c>
      <c r="F201" t="n">
        <v>7</v>
      </c>
    </row>
    <row r="202">
      <c r="A202" t="inlineStr">
        <is>
          <t>Celest</t>
        </is>
      </c>
      <c r="B202" t="inlineStr">
        <is>
          <t>CD-2</t>
        </is>
      </c>
      <c r="C202" t="inlineStr">
        <is>
          <t>Dongle</t>
        </is>
      </c>
      <c r="D202" t="inlineStr">
        <is>
          <t>« dongle » dans le résumé Headfonics</t>
        </is>
      </c>
      <c r="E202" t="inlineStr">
        <is>
          <t>Dongle DAC/amp</t>
        </is>
      </c>
      <c r="F202" t="n">
        <v>7.5</v>
      </c>
    </row>
    <row r="203">
      <c r="A203" t="inlineStr">
        <is>
          <t>Apogee</t>
        </is>
      </c>
      <c r="B203" t="inlineStr">
        <is>
          <t>Groove</t>
        </is>
      </c>
      <c r="C203" t="inlineStr">
        <is>
          <t>Dongle</t>
        </is>
      </c>
      <c r="D203" t="inlineStr">
        <is>
          <t>« dongle » dans le résumé Headfonics</t>
        </is>
      </c>
      <c r="E203" t="inlineStr">
        <is>
          <t>Dongle DAC/amp</t>
        </is>
      </c>
      <c r="F203" t="n">
        <v>6.5</v>
      </c>
    </row>
    <row r="204">
      <c r="A204" t="inlineStr">
        <is>
          <t>SMSL</t>
        </is>
      </c>
      <c r="B204" t="inlineStr">
        <is>
          <t>C200</t>
        </is>
      </c>
      <c r="C204" t="inlineStr">
        <is>
          <t>Desktop / secteur</t>
        </is>
      </c>
      <c r="D204" t="inlineStr">
        <is>
          <t>mention batterie / transportable</t>
        </is>
      </c>
      <c r="E204" t="inlineStr">
        <is>
          <t>DAC/amp portable</t>
        </is>
      </c>
      <c r="F204" t="n">
        <v>7.5</v>
      </c>
    </row>
    <row r="205">
      <c r="A205" t="inlineStr">
        <is>
          <t>NuPrime</t>
        </is>
      </c>
      <c r="B205" t="inlineStr">
        <is>
          <t>Hi-mDAC</t>
        </is>
      </c>
      <c r="C205" t="inlineStr">
        <is>
          <t>Dongle</t>
        </is>
      </c>
      <c r="D205" t="inlineStr">
        <is>
          <t>« dongle » dans le résumé Headfonics</t>
        </is>
      </c>
      <c r="E205" t="inlineStr">
        <is>
          <t>Dongle DAC/amp</t>
        </is>
      </c>
      <c r="F205" t="n">
        <v>8</v>
      </c>
    </row>
    <row r="206">
      <c r="A206" t="inlineStr">
        <is>
          <t>Apos Audio</t>
        </is>
      </c>
      <c r="B206" t="inlineStr">
        <is>
          <t>Druid</t>
        </is>
      </c>
      <c r="C206" t="inlineStr">
        <is>
          <t>Dongle</t>
        </is>
      </c>
      <c r="D206" t="inlineStr">
        <is>
          <t>« dongle » dans le résumé Headfonics</t>
        </is>
      </c>
      <c r="E206" t="inlineStr">
        <is>
          <t>DAC/amp portable</t>
        </is>
      </c>
      <c r="F206" t="n">
        <v>7</v>
      </c>
    </row>
    <row r="207">
      <c r="A207" t="inlineStr">
        <is>
          <t>EarMen</t>
        </is>
      </c>
      <c r="B207" t="inlineStr">
        <is>
          <t>TR-Amp</t>
        </is>
      </c>
      <c r="C207" t="inlineStr">
        <is>
          <t>Portable batterie</t>
        </is>
      </c>
      <c r="D207" t="inlineStr">
        <is>
          <t>mention batterie / transportable</t>
        </is>
      </c>
      <c r="E207" t="inlineStr">
        <is>
          <t>DAC/amp portable</t>
        </is>
      </c>
      <c r="F207" t="n">
        <v>8.300000000000001</v>
      </c>
    </row>
    <row r="208">
      <c r="A208" t="inlineStr">
        <is>
          <t>Radsone</t>
        </is>
      </c>
      <c r="B208" t="inlineStr">
        <is>
          <t>Earstudio HUD100 MK2</t>
        </is>
      </c>
      <c r="C208" t="inlineStr">
        <is>
          <t>Dongle</t>
        </is>
      </c>
      <c r="D208" t="inlineStr">
        <is>
          <t>« dongle » dans le résumé Headfonics</t>
        </is>
      </c>
      <c r="E208" t="inlineStr">
        <is>
          <t>Dongle DAC/amp</t>
        </is>
      </c>
      <c r="F208" t="n">
        <v>8.5</v>
      </c>
    </row>
    <row r="209">
      <c r="A209" t="inlineStr">
        <is>
          <t>iKKO</t>
        </is>
      </c>
      <c r="B209" t="inlineStr">
        <is>
          <t>Heimdalir ITB03</t>
        </is>
      </c>
      <c r="C209" t="inlineStr">
        <is>
          <t>Bluetooth</t>
        </is>
      </c>
      <c r="D209" t="inlineStr">
        <is>
          <t>mention wireless/Bluetooth sans « dongle »</t>
        </is>
      </c>
      <c r="E209" t="inlineStr">
        <is>
          <t>BT DAC/amp</t>
        </is>
      </c>
      <c r="F209" t="n">
        <v>8.199999999999999</v>
      </c>
    </row>
    <row r="210">
      <c r="A210" t="inlineStr">
        <is>
          <t>TimeEar</t>
        </is>
      </c>
      <c r="B210" t="inlineStr">
        <is>
          <t>BTE-9</t>
        </is>
      </c>
      <c r="C210" t="inlineStr">
        <is>
          <t>Bluetooth</t>
        </is>
      </c>
      <c r="D210" t="inlineStr">
        <is>
          <t>mention wireless/Bluetooth sans « dongle »</t>
        </is>
      </c>
      <c r="E210" t="inlineStr">
        <is>
          <t>BT DAC/amp</t>
        </is>
      </c>
      <c r="F210" t="n">
        <v>8.800000000000001</v>
      </c>
    </row>
  </sheetData>
  <dataValidations count="1">
    <dataValidation sqref="C5:C178" showDropDown="0" showInputMessage="0" showErrorMessage="0" allowBlank="1" type="list">
      <formula1>"Dongle,Portable batterie,Bluetooth,Desktop / secteur,DAP,À classer"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2026-08-07T09:41:27Z</dcterms:created>
  <dcterms:modified xmlns:dcterms="http://purl.org/dc/terms/" xmlns:xsi="http://www.w3.org/2001/XMLSchema-instance" xsi:type="dcterms:W3CDTF">2026-08-10T23:11:15Z</dcterms:modified>
</cp:coreProperties>
</file>